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sharedStrings.xml" ContentType="application/vnd.openxmlformats-officedocument.spreadsheetml.sharedStrings+xml"/>
  <Override PartName="/xl/featurePropertyBag/featurePropertyBag.xml" ContentType="application/vnd.ms-excel.featurepropertybag+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Ελλάδα" sheetId="1" r:id="rId1"/>
    <sheet name="Ευρώπη" sheetId="2" r:id="rId2"/>
    <sheet name="Στατιστικά" sheetId="3" r:id="rId3"/>
    <sheet name="Dashboard" sheetId="4" r:id="rId8"/>
  </sheets>
  <calcPr calcId="124519" fullCalcOnLoad="1"/>
</workbook>
</file>

<file path=xl/sharedStrings.xml><?xml version="1.0" encoding="utf-8"?>
<sst xmlns="http://schemas.openxmlformats.org/spreadsheetml/2006/main" count="14249" uniqueCount="4966">
  <si>
    <t>11:30</t>
  </si>
  <si>
    <t/>
  </si>
  <si>
    <t>Δίστρατο Κόνιτσας</t>
  </si>
  <si>
    <t>Ήπειρος</t>
  </si>
  <si>
    <t>Ιωαννίνων</t>
  </si>
  <si>
    <t>Κόνιτσα</t>
  </si>
  <si>
    <t>1 ομάδα πεζοπόρου (5ης ΕΜΟΔΕ)</t>
  </si>
  <si>
    <t>ΧΑΜΗΛΗ</t>
  </si>
  <si>
    <t>σε εξέλιξη</t>
  </si>
  <si>
    <t>κεραυνός</t>
  </si>
  <si>
    <t>https://www.in.gr/2026/09/23/greece/fotia-sto-distrato-konitsas-sikothike-elikoptero/ ; https://www.newsbeast.gr/greece/arthro/13376247/fotia-se-dasiki-ektasi-sto-distrato-konitsas ; https://www.eleftherostypos.gr/ellada/fotia-tora-stin-distrato-konitsas-epicheirei-ena-elikoptero ; https://www.documentonews.gr/article/fotia-tora-stin-konitsa-sti-machi-tis-katasvesis-kai-elikoptero/</t>
  </si>
  <si>
    <t>Ξεχωριστό περιστατικό από τη φωτιά Βασιλίτσας (22/9) — διαφορετική τοποθεσία, διαφορετική ημέρα. Δύσβατο/δυσπρόσιτο σημείο, αδυναμία πρόσβασης οχημάτων. Μαρτυρίες κατοίκων: κεραυνός (ασταθής ατμόσφαιρα Πίνδου).</t>
  </si>
  <si>
    <t>2026-09-23</t>
  </si>
  <si>
    <t>12:50</t>
  </si>
  <si>
    <t>Μαυροβούνι Κορωπίου (Υμηττός)</t>
  </si>
  <si>
    <t>Αττικής</t>
  </si>
  <si>
    <t>Κορωπί</t>
  </si>
  <si>
    <t>ΜΕΣΗ</t>
  </si>
  <si>
    <t>https://www.mononews.gr/society/fotia-apo-keravno-sto-mavrovouni-koropiou-stous-propodes-tou-ymittou ; https://pressing.gr/ellada/keravnoi-prokaloun-pyrkagies-apo-tin-kerkyra-os-ton-ymitto-synagermos-se-kanoni-kai-koropi/ ; https://www.newsbomb.gr/ellada/story/1765140/keraynoi-prokaloyn-pyrkagies-apo-tin-kerkyra-eos-ton-ymitto-synagermos-se-kanoni-kai-koropi ; https://voicenews.gr/pyrkagia-se-dasiki-ektasi-ston-ymitto-meta-apo-ptosi-keravnou/ ; https://www.naftemporiki.gr/society/2164966/fotia-tora-apo-kerayno-sto-mayrovoyni-koropioy-stoys-propodes-toy-ymittoy/ ; https://www.flash.gr/ymittos-fotia-se-dasiki-ektasi-meta-apo-ptosi-keraynoy-1082417 ; https://www.eleftherostypos.gr/ellada/fotia-tora-stous-propodes-tou-ymittou-keravnos-chtypise-sto-mavrovouni-koropiou ; https://www.documentonews.gr/article/fotia-tora-sto-koropi-apo-keravno-se-dasiki-ektasi-sti-thesi-mavrovouni/amp/</t>
  </si>
  <si>
    <t>Πτώση κεραυνού λίγο πριν 13:00· πρόποδες Υμηττού, δύσβατη έκταση· βροχή κατά την επιχείρηση· μέρος κύματος κεραυνοπτώσεων 22/9 από Κόνιτσα έως Υμηττό | Δασική έκταση στους πρόποδες Υμηττού. Πτώση κεραυνού εν μέσω καταιγίδας. Δύσβατο σημείο, βροχή. Ισχυρές επίγειες δυνάμεις Πυροσβεστικής (αριθμός δεν αναφέρεται).</t>
  </si>
  <si>
    <t>00:30</t>
  </si>
  <si>
    <t>Γυαλός Αθανίου</t>
  </si>
  <si>
    <t>Ιόνιοι Νήσοι</t>
  </si>
  <si>
    <t>Λευκάδας</t>
  </si>
  <si>
    <t>Λευκάδα</t>
  </si>
  <si>
    <t>https://www.tanea.gr/2026/09/23/greece/agonia-sti-leykada-metamesonyktia-pyrkagia-se-dasiki-perioxi-ston-gyalo/ ; https://www.inewsgr.com/27/agonia-sti-lefkada--metamesonyktia-pyrkagia-se-dasiki-periochi-ston-gyalo.htm ; https://athlosnews.gr/1056105/agonia-sti-lefkada-pyrkagia-meta-ta-mesanychta-se-dasiki-periochi-ston-gyalo/</t>
  </si>
  <si>
    <t>Μεταμεσονύχτια πυρκαγιά (λίγο μετά τα μεσάνυχτα Τρίτης 22/9). Ισχυροί άνεμοι. Πρώτες δυνάμεις από Κονταράινα ~00:30. Δεν εντοπίστηκαν στοιχεία 112 ή τελική κατάσταση.</t>
  </si>
  <si>
    <t>Γυαλός Λευκάδας (Αθάνιο)</t>
  </si>
  <si>
    <t>Ιονίων Νήσων</t>
  </si>
  <si>
    <t>Λευκάδος</t>
  </si>
  <si>
    <t>https://www.tanea.gr/2026/09/23/greece/agonia-sti-leykada-metamesonyktia-pyrkagia-se-dasiki-perioxi-ston-gyalo/</t>
  </si>
  <si>
    <t>Εκδηλώθηκε λίγο μετά τα μεσάνυχτα 21→22/9· δασική περιοχή πάνω από Γυαλό περιοχής Αθανίου· κάτοικοι επιχείρησαν αρχικά με κλαδιά· πυρ/στές από Κοντάραινα και πόλη Λευκάδας· δυνατοί άνεμοι στην περιοχή</t>
  </si>
  <si>
    <t>Βασιλίτσα Κόνιτσας</t>
  </si>
  <si>
    <t>Ηπείρου</t>
  </si>
  <si>
    <t>1 ομάδα πεζοπόρων 5ης ΕΜΟΔΕ</t>
  </si>
  <si>
    <t>https://www.cnn.gr/ellada/story/553523/fotia-se-dasiki-perioxi-stin-vasilitsa-konitsas-sikothike-aeroskafos ; https://www.protothema.gr/greece/article/1882783/fotia-stin-vasilitsa-konitsas-sikothike-1-elikoptero/ ; https://www.firefightingreece.gr/2026/09/22/pyrkagia-se-dasiki-ektasi-sti-vasilitsa-konitsas-epicheiroun-10-pyrosvestes-kai-1-elikoptero/ ; https://www.tanea.gr/2026/09/22/greece/fotia-sti-vasilitsa-konitsas-sikothike-ena-elikoptero/ ; https://voicenews.gr/fotia-se-dysvati-dasiki-ektasi-sti-vasilitsa-konitsas-apo-ptosi-keravnou/ ; https://thepressproject.gr/fotia-xespase-se-dasiki-ektasi-sti-vasilitsa-konitsas/ ; https://www.madata.gr/epikairotita/social/981522-fotia-sti-vasilitsa-konitsas-se-exelixi-i-epicheirisi-katasvesis-me-epigeies-kai-enaeries-dynameis.html ; https://pressing.gr/ellada/fotia-se-dasiki-ektasi-sti-vasilitsa-konitsas/</t>
  </si>
  <si>
    <t>Δύσβατη-απρόσιτη έκταση· αδύνατη πρόσβαση πυροσβεστικών οχημάτων· αιτία πτώση κεραυνού (στο πλαίσιο καταιγίδας 22/9)· ξεχωριστή φωτιά από Τραπεζίτσα αν και ίδιος Δήμος | Δύσβατο/δυσπρόσιτο σημείο. Αέρια μέσα: tanea αναφέρει ελικόπτερο, CNN.gr αναφέρει αεροσκάφος — πιθανώς το ίδιο μέσο, ασαφής ορολογία. Αίτιο κεραυνός (συμφραζόμενα ίδιας ημέρας με κεραυνική δραστηριότητα).</t>
  </si>
  <si>
    <t>Μαυροβούνι-Λακίζα</t>
  </si>
  <si>
    <t>Αττική</t>
  </si>
  <si>
    <t>Κρωπίας</t>
  </si>
  <si>
    <t>https://www.paraskhnio.gr/2026/09/22/koropi-fotia-ston-ymitto-meta-apo-ptosi-keravnou/ ; https://www.irafina.gr/koropi-fotia-apo-keravno-sto-mavrovouni/ ; https://www.patrisnews.com/keraynoi-prokaloyn-pyrkagies-apo-tin-kerkyra-os-ton-ymitto-synagermos-se-kanoni-kai-koropi/ ; https://www.newsbomb.gr/ellada/story/1765140/keravnoi-prokaloyn-pyrkagies-apo-tin-kerkyra-eos-ton-ymitto-synagermos-se-kanoni-kai-koropi</t>
  </si>
  <si>
    <t>Δασική έκταση στις πλαγιές Υμηττού. Δύσβατο έδαφος + βροχή δυσχέραναν επιχειρήσεις. Μέρος ευρύτερης κεραυνικής δραστηριότητας 22/09 (&gt;25.000 κεραυνοί πανελλαδικά). Αμιγώς δασική/φυσική περιοχή.</t>
  </si>
  <si>
    <t>19:00</t>
  </si>
  <si>
    <t>Κοτσύλια Υλίκης</t>
  </si>
  <si>
    <t>Στερεά Ελλάδα</t>
  </si>
  <si>
    <t>Βοιωτίας</t>
  </si>
  <si>
    <t>1 ομάδα πεζοπόρου (4ης ΕΜΟΔΕ)</t>
  </si>
  <si>
    <t>υπό μερικό έλεγχο</t>
  </si>
  <si>
    <t>ύποπτο</t>
  </si>
  <si>
    <t>https://www.kanaliena.gr/voiotia-ypo-meriko-elegcho-i-fotia-konta-sti-limni-yliki/ ; https://www.policenet.gr/article/pyrkagia-se-agrotodasiki-ektasi-konta-sti-limni-yliki ; https://www.skaikritis.gr/fotia-sti-voiotia-synagermos-konta-sti-limni-yliki-sikothike-elikoptero/</t>
  </si>
  <si>
    <t>Αγροτοδασική έκταση κοντά στη λίμνη Υλίκη. Αρσονιστική ανάκριση από ομάδα Φθιώτιδας.</t>
  </si>
  <si>
    <t>14:45</t>
  </si>
  <si>
    <t>Στρυμονικό Σερρών</t>
  </si>
  <si>
    <t>Κεντρικής Μακεδονίας</t>
  </si>
  <si>
    <t>Σερρών</t>
  </si>
  <si>
    <t>Ηράκλεια</t>
  </si>
  <si>
    <t>2 ομάδες πεζοπόρων 2ης ΕΜΟΔΕ</t>
  </si>
  <si>
    <t>υδροφόρες Δήμου Ηράκλειας</t>
  </si>
  <si>
    <t>κατασβέστηκε</t>
  </si>
  <si>
    <t>υπό έρευνα (πιθανός εμπρησμός)</t>
  </si>
  <si>
    <t>https://www.cnn.gr/ellada/story/553348/dasiki-pyrkagia-sto-strymoniko-serron-epixeiroyn-dyo-elikoptera ; https://www.newsbomb.gr/ellada/story/1764899/fotia-se-dasiki-ektasi-sto-strymoniko-serron-epixeiroyn-dyo-elikoptera ; https://www.naftemporiki.gr/society/2164526/serres-fotia-kai-pali-sto-strymoniko/ ; https://debater.gr/ellada/fotia-sto-strymoniko-serron-kaiei-dasiki-ektasi/ ; https://voicenews.gr/pyrkagia-se-dasiki-ektasi-sto-strymoniko-serron/ ; https://www.thestival.gr/eidiseis/astynomika/choris-energo-metopo-i-fotia-se-dasiki-e-3/ ; https://www.newsbomb.gr/ellada/story/1764552/serres-mia-syllipsi-gia-ti-fotia-sto-strymoniko ; https://www.dimocracy.gr/epikairotita/fotia-sto-strymoniko-serron-synelifthi-odigos-vytioforou/</t>
  </si>
  <si>
    <t>Χωρίς ενεργό μέτωπο ~17:18· δεύτερη φωτιά στο ίδιο σημείο σε λίγες ημέρες· παρακολούθηση ΕΣΚΕΔΙΚ με drones θερμικής/οπτικής απεικόνισης· έρευνα Ανακριτικού Κλιμακίου Εμπρησμού Σερρών</t>
  </si>
  <si>
    <t>18:00</t>
  </si>
  <si>
    <t>Λουτράκι Αλμωπίας</t>
  </si>
  <si>
    <t>Κεντρική Μακεδονία</t>
  </si>
  <si>
    <t>Πέλλης</t>
  </si>
  <si>
    <t>Αλμωπίας</t>
  </si>
  <si>
    <t>2 ορειβατικές ομάδες 2ης ΕΜΟΔΕ</t>
  </si>
  <si>
    <t>Δήμος Αλμωπίας (υδροφόρες)</t>
  </si>
  <si>
    <t>κεραυνοί</t>
  </si>
  <si>
    <t>https://www.tanea.gr/2026/09/20/greece/pella-pyrkagia-se-dysprositi-dasiki-ektasi-epixeiroun-3-elikoptera/ ; https://www.newsit.gr/ellada/fotia-stin-pella-stin-perioxi-loutraki-kinitopoiithikan-16-pyrosvestes/4779155/ ; https://www.newsbomb.gr/ellada/story/1764687/pyrkagia-stin-pella-kaiei-se-dysprositi-dasiki-perioxi-epixeiroyn-kai-3-elikoptera</t>
  </si>
  <si>
    <t>Δυσπρόσιτη/δύσβατη δασική περιοχή — αδύνατη πρόσβαση πυροσβεστικών οχημάτων. Αποκλειστικά ελικόπτερα για αεροπυρόσβεση. Αιτία: έντονη κεραυνική δραστηριότητα 20/09.</t>
  </si>
  <si>
    <t>14:30</t>
  </si>
  <si>
    <t>Χώνος Σητείας</t>
  </si>
  <si>
    <t>Κρήτη</t>
  </si>
  <si>
    <t>Λασιθίου</t>
  </si>
  <si>
    <t>Σητεία</t>
  </si>
  <si>
    <t>5 ομάδες πεζοπόρου (3ης &amp; 19ης ΕΜΟΔΕ)</t>
  </si>
  <si>
    <t>Δήμος Σητείας (βυτιοφόρα)</t>
  </si>
  <si>
    <t>ΥΨΗΛΗ</t>
  </si>
  <si>
    <t>οριοθετήθηκε</t>
  </si>
  <si>
    <t>20/9 ~17:00 εκκένωση Καρυδίου → Ζάκρος· ~20:27 ετοιμότητα Ζάκρος/Κλισίδι/Αδράβαστοι/Αζωκέραμο/Κελλαριά· ~23:30 εκκένωση Κελλαριά/Αδράβαστη/Αζώκεραμος → Παλαίκαστρο· ~23:35 εκκένωση Ζάκρος → Ξερόκαμπο</t>
  </si>
  <si>
    <t>https://www.liberal.gr/ellada/fotia-ston-hono-lasithioy-112-gia-etoimotita-se-polles-periohes-kai-ekkenosi-sto-karydi ; https://www.larissanet.gr/2026/09/20/fotia-sto-lasithi-stin-periochi-chonos-neo-112-gia-etoimotita-se-pente-choria-kai-gia-ekkenosi-sto-karydi-vinteo/ ; https://www.newsit.gr/ellada/fotia-sto-lasithi-stin-perioxi-xonos-nea-112-gia-ekkenosi-pros-kserokampo-kai-palaikastro-vinteo/4779200/ ; https://www.ertnews.gr/perifereiakoi-stathmoi/mainetai-i-fotia-sto-lasithi-neo-112-gia-ekkenosi-pros-kserokampo/ ; https://www.in.gr/2026/09/21/greece/kriti-xoris-energo-metopo-i-fotia-ston-xono-lasithiou/ ; https://www.madata.gr/epikairotita/social/981031-fotia-sti-siteia-minyma-toy-112-gia-ekkenosi-toy-karydioy-pros-zakro.html ; https://www.tanea.gr/2026/09/20/greece/fotia-sto-lasithi-112-gia-ekkenosi-tis-perioxis-karydi-sti-maxi-kai-enaeria-mesa-video ; https://www.iefimerida.gr/ellada/se-exelixi-i-megali-fotia-sti-siteia-neo-minyma-apo-112-gia-ekkenosi ; https://www.in.gr/2026/09/20/greece/olonyxtia-maxi-me-ti-fotia-sti-siteia-neo-minyma-apo-to-112-gia-ekkenosi/ ; https://www.alt.gr/lasithi-choris-energo-metopo-i-pyrkagia/ ; https://www.rizospastis.gr/story.do?id=13419120</t>
  </si>
  <si>
    <t>Ολονύχτια μάχη. 4 σήματα 112 για εκκένωση/ετοιμότητα 6 οικισμών. Πρωί 21/9 χωρίς ενεργό μέτωπο. Ενισχύθηκαν δυνάμεις διαρκώς κατά τη νύχτα (αρχική κινητοποίηση: 46 πυροσβέστες, 15 οχήματα, 3 ελικόπτερα).</t>
  </si>
  <si>
    <t>13:20</t>
  </si>
  <si>
    <t>Παλαμάς</t>
  </si>
  <si>
    <t>Θεσσαλία</t>
  </si>
  <si>
    <t>Καρδίτσης</t>
  </si>
  <si>
    <t>Παλαμά</t>
  </si>
  <si>
    <t>1 ορειβατική ομάδα 10ης ΕΜΟΔΕ</t>
  </si>
  <si>
    <t>https://www.skai.gr/news/greece/pyrkagia-se-xamili-vlastisi-ston-palama-karditsas-epixeiroun-4-enaeria ; https://www.efsyn.gr/ellada/1469093/fotia-ston-palama-karditsas-epiheiroyn-tessera-aeroskafi/ ; https://www.lamiareport.gr/topika/topikanea/item/pyrkagia-stin-karditsa-epixeiroun-enaeria-mesa-ston-dimo-palama/</t>
  </si>
  <si>
    <t>Χαμηλή βλάστηση (όχι αμιγώς δασική). Σημαντική αεροπυρόσβεση παρά τον χαμηλό κίνδυνο. Πυροσβεστική ενημερώθηκε ~13:20.</t>
  </si>
  <si>
    <t>10:45</t>
  </si>
  <si>
    <t>Παραδείσι</t>
  </si>
  <si>
    <t>Εύβοιας</t>
  </si>
  <si>
    <t>Καρύστου</t>
  </si>
  <si>
    <t>1 ορειβατική ομάδα 20ης ΕΜΟΔΕ</t>
  </si>
  <si>
    <t>Δήμος Καρύστου (υδροφόρες)</t>
  </si>
  <si>
    <t>υπό διερεύνηση</t>
  </si>
  <si>
    <t>112: ετοιμότητα κατοίκων Παραδείσι — ακολουθήστε οδηγίες αρχών (16/09 ~10:45)</t>
  </si>
  <si>
    <t>https://www.ertnews.gr/eidiseis/eyvoia-xoris-energo-metopo-i-pyrkagia-se-dasiki-ektasi-stin-perioxi-paradeisi-ixise-to-112/ ; https://www.emakedonia.gr/synagermos-stin-eyvoia-kaigetai-dasiki-ektasi-sto-paradeisi-ischyri-paroysia-enaerion-meson ; https://ecozen.gr/2026/09/pyrkagia-se-dasiki-ektasi-sto-paradeisi-evvoias-epicheiroun-epigeia-kai-enaeria-mesa/ ; https://www.newsbeast.gr/greece/arthro/13359934/fotia-tora-sto-paradeisi-evvoias-minyma-tou-112</t>
  </si>
  <si>
    <t>Χωρίς ενεργό μέτωπο (ertnews). Κατηγορία κινδύνου 3 (ertnews). Χάρτης 16/09 επισημαίνει αυξημένο κίνδυνο σε περιοχές με πτώση κεραυνών.</t>
  </si>
  <si>
    <t>Ξύγκια</t>
  </si>
  <si>
    <t>Ζακύνθου</t>
  </si>
  <si>
    <t>1 ορειβατική ομάδα 17ης ΕΜΟΔΕ</t>
  </si>
  <si>
    <t>τοπικές υδροφόρες</t>
  </si>
  <si>
    <t>εθελοντές</t>
  </si>
  <si>
    <t>υπό έλεγχο</t>
  </si>
  <si>
    <t>https://www.ertnews.gr/perifereiakoi-stathmoi/zakinthos/zakynthos-pyrkagia-se-dasiki-ektasi-sta-ksygkia/</t>
  </si>
  <si>
    <t>Απόγευμα 16/09 (ενημέρωση 17:17). Δασική έκταση — δεν απειλήθηκαν κατοικημένες περιοχές. 6 αεροσκάφη (fixed-wing).</t>
  </si>
  <si>
    <t>Ανατολή</t>
  </si>
  <si>
    <t>Λαρίσης</t>
  </si>
  <si>
    <t>επίγειες δυνάμεις</t>
  </si>
  <si>
    <t>https://www.ekathimerini.com/news/1315214/wildfires-hit-forests-in-northern-greece-despite-lower-risk/</t>
  </si>
  <si>
    <t>5 αεροσκάφη ρίψης νερού. Χωρίς αναφορές ζημιών. Ώρα info: 16:16 EEST (ekathimerini).</t>
  </si>
  <si>
    <t>Ελάνη</t>
  </si>
  <si>
    <t>Χαλκιδικής</t>
  </si>
  <si>
    <t>7 εναέρια μέσα (αεροσκάφη+ελικόπτερα, διάκριση άγνωστη). Χωρίς αναφορές ζημιών σε ιδιοκτησίες ή τραυματισμών. Πυρκαγιά παρά τον ηπιότερο κίνδυνο της ημέρας (ekathimerini).</t>
  </si>
  <si>
    <t>13:30</t>
  </si>
  <si>
    <t>Στρουμπούλα-Λευκά</t>
  </si>
  <si>
    <t>Νότιο Αιγαίο</t>
  </si>
  <si>
    <t>Κυκλάδων</t>
  </si>
  <si>
    <t>Πάρου</t>
  </si>
  <si>
    <t>Δήμος Πάρου (υδροφόρες, μηχάνημα έργου)</t>
  </si>
  <si>
    <t>ΔΕΥΑΠ</t>
  </si>
  <si>
    <t>ανάφλεξη τετράτροχου οχήματος</t>
  </si>
  <si>
    <t>https://www.cnn.gr/ellada/story/552104/oriothetithike-i-fotia-stin-paro-se-epifylaki-gia-anazopyroseis</t>
  </si>
  <si>
    <t>10 πυροσβέστες από Πάρο + 7 από Σύρο. Υπό πλήρη έλεγχο — επιφυλακή για αναζωπυρώσεις. Χαμηλή βλάστηση γύρω από τετράτροχο που τυλίχθηκε φλόγες.</t>
  </si>
  <si>
    <t>07:00</t>
  </si>
  <si>
    <t>Ευκαρπία Θεσσαλονίκης</t>
  </si>
  <si>
    <t>Θεσσαλονίκης</t>
  </si>
  <si>
    <t>Παύλος Μελάς</t>
  </si>
  <si>
    <t>https://www.ertnews.gr/video/thessaloniki-oriothetithike-i-fotia-pou-ksespase-stin-eykarpia/ ; https://www.naftemporiki.gr/society/1971170/thessaloniki-oriothetithike-i-pyrkagia-stin-eykarpia-se-exelixi-fotia-se-chorta-sti-thermi/ ; https://www.emakedonia.gr/thessaloniki-pyrkagia-se-xira-chorta-konta-stin-eykarpia-sto-simeio-i-pyrosvestiki ; https://cretaone.gr/thessaloniki-synagermos-gia-fotia-se-xera-chorta/</t>
  </si>
  <si>
    <t>Φωτιά σε ξερά χόρτα κοντά σε ΤΙΤΑΝ. Γρήγορη οριοθέτηση. Υλικές ζημιές σε όχημα. 112 δεν επιβεβαιώθηκε για αυτό το συγκεκριμένο συμβάν 08-09.</t>
  </si>
  <si>
    <t>2026-09-08</t>
  </si>
  <si>
    <t>Πανασός</t>
  </si>
  <si>
    <t>Ηρακλείου</t>
  </si>
  <si>
    <t>ΠΟΛΥ ΥΨΗΛΗ</t>
  </si>
  <si>
    <t>https://www.newsbomb.gr/ellada/story/1761801/foties-olonyxtia-i-maxi-ton-pyrosveston-sta-pyrina-metopa-red-code-simera-se-polles-perioxes</t>
  </si>
  <si>
    <t>Εκδηλώθηκε τη νύχτα 7/8 Σεπ. Τέθηκε γρήγορα υπό έλεγχο.</t>
  </si>
  <si>
    <t>Πλάτη Τριφυλίας</t>
  </si>
  <si>
    <t>Πελοπόννησος</t>
  </si>
  <si>
    <t>Μεσσηνίας</t>
  </si>
  <si>
    <t>Τριφυλίας</t>
  </si>
  <si>
    <t>https://www.ertnews.gr/perifereiakoi-stathmoi/kalamata/messinia-ypo-elegxo-pyrkagia-stin-plati-trifylias-kaikan-peripou-10-stremmata/ ; https://www.enikos.gr/society/fotia-sti-messinia-oriothetithike-amesa-apo-tin-pyrosvestiki/2640596/</t>
  </si>
  <si>
    <t>Αγροτοδασική έκταση. 10 στρέμματα = 1 ha. Γρήγορη επέμβαση απέτρεψε μεγαλύτερη εξάπλωση.</t>
  </si>
  <si>
    <t>Πλατύ Μεσσηνίας</t>
  </si>
  <si>
    <t>Μεσσήνη</t>
  </si>
  <si>
    <t>https://www.protothema.gr/greece/article/1875412/fotia-se-agrotodasiki-ektasi-sto-plati-messinias/ ; https://www.cnn.gr/ellada/story/551323/fotia-se-agrotodasiki-ektasi-sto-plati-messinias ; https://www.documentonews.gr/article/fotia-tora-sto-plati-messinias/ ; https://www.athensvoice.gr/epikairotita/ellada/984156/fotia-tora-sto-plati-messinias/</t>
  </si>
  <si>
    <t>Αγροτοδασική έκταση. Πρωινή εκδήλωση. Κατηγορία κινδύνου 4 (ΠΟΛΥ ΥΨΗΛΗ) για Πελοπόννησο / Μεσσηνία 08-09.</t>
  </si>
  <si>
    <t>21:15</t>
  </si>
  <si>
    <t>Ασπροκκλησιά Καλαμπάκας</t>
  </si>
  <si>
    <t>Τρικάλων</t>
  </si>
  <si>
    <t>Καλαμπάκα</t>
  </si>
  <si>
    <t>1 πεζοπόρος ομάδα 10ης ΕΜΟΔΕ</t>
  </si>
  <si>
    <t>υδροφόρες Δήμου Καλαμπάκας</t>
  </si>
  <si>
    <t>https://www.karditsalive.net/eidiseis/thessalia/trikala/%CE%B4%CE%B1%CF%83%CE%B9%CE%BA%CE%AE-%CF%80%CF%85%CF%81%CE%BA%CE%B1%CE%B3%CE%B9%CE%AC-%CF%83%CF%84%CE%B7%CE%BD-%CE%B1%CF%83%CF%80%CF%81%CE%BF%CE%BA%CE%BA%CE%BB%CE%B7%CF%83%CE%B9%CE%AC-%CE%BA%CE%B1%CE%BB%CE%B1%CE%BC%CF%80%CE%AC%CE%BA%CE%B1%CF%82,-%CE%BE%CE%AD%CF%83%CF%80%CE%B1%CF%83%CE%B5-%CF%84%CE%BF-%CE%B2%CF%81%CE%AC%CE%B4%CF%85-%CF%84%CE%B7%CF%82-%CE%B4%CE%B5%CF%85%CF%84%CE%AD%CF%81%CE%B1%CF%82-7-9 ; https://www.cnn.gr/ellada/story/551315/fotia-stin-asprokklisia-kalampakas-kinitopoiithikan-epigeies-pyrosvestikes-dynameis ; https://www.enikos.gr/society/fotia-se-dasiki-ektasi-stin-kalabaka-megali-kinitopoiisi-tis-pyrosvestikis/2640485/ ; https://www.naftemporiki.gr/society/2158624/pyrkagia-se-dasiki-ektasi-stin-asprokklisia-kalampakas/ ; https://www.in.gr/2026/09/07/greece/fotia-stin-asprokklisia-kalampakas ; https://www.newsbomb.gr/ellada/story/1761801/foties-olonyxtia-i-maxi-ton-pyrosveston-sta-pyrina-metopa-red-code-simera-se-polles-perioxes</t>
  </si>
  <si>
    <t>Ξέσπασε βράδυ Δευτέρας 7/9, ~21:15. Κινητοποίηση μόνο επίγειων δυνάμεων. Αεροπλάνα δεν αναφέρθηκαν (νυκτερινή επιχείρηση). | Ξέσπασε βράδυ 7/9. Στις 8/9 επιχειρούσαν ακόμα 20 πυρ. με 7 οχήματα.</t>
  </si>
  <si>
    <t>15:30</t>
  </si>
  <si>
    <t>Βρυζέικα Αλεξανδρούπολης</t>
  </si>
  <si>
    <t>Ανατολική Μακεδονία και Θράκη</t>
  </si>
  <si>
    <t>Έβρου</t>
  </si>
  <si>
    <t>Αλεξανδρούπολης</t>
  </si>
  <si>
    <t>16 τμήματα πεζοπόρων 2ης &amp; 21ης ΕΜΟΔΕ</t>
  </si>
  <si>
    <t>Δήμος Αλεξανδρούπολης (υδροφόρες), Περιφέρεια, Στρατός</t>
  </si>
  <si>
    <t>https://www.ertnews.gr/perifereiakoi-stathmoi/orestiada/aleksandroupoli-fotia-stin-perioxi-vryzeika/ ; https://www.naftemporiki.gr/society/2158382/alexandroypoli-pyrkagia-konta-stin-egnatia-odo/ ; https://www.newsbomb.gr/ellada/story/1761687/fotia-tora-se-dasos-stin-aleksandroypoli-kaiei-konta-stin-egnatia-odo ; https://civilprotection.gov.gr/sites/default/files/2026-09/260907.jpg ; https://pameevro.gr/alexandroupoli-fotia-vryzeika/ ; https://www.imerodromos.gr/fotia-stin-alexandroupoli/ ; https://voicenews.gr/alexandroupoli-pyrkagia-se-dasiki-ektasi/ ; https://www.documentonews.gr/article/foties-tria-energa-metopa-se-evvoia-alexandroupoli-kai-drama-synechis-enischysi-ton-pyrosvestikon-dynameon/ ; https://www.libre.gr/2026/09/07/fotia-stin-alexandroupoli-4/</t>
  </si>
  <si>
    <t>Κοντά στην Εγνατία Οδό· μεγάλο τμήμα της περιοχής είχε καεί σε πυρκαγιά 2023 | Μεγάλο μέρος ζώνης ήδη καμένο από πυρκαγιές 2023. Μετά κατάσβεση, τα 4 εναέρια ανακατευθύνθηκαν στη Δράμα.</t>
  </si>
  <si>
    <t>15:15</t>
  </si>
  <si>
    <t>Υψηλή Ράχη Δράμας</t>
  </si>
  <si>
    <t>Δράμας</t>
  </si>
  <si>
    <t>3 ομάδες πεζοπόρων 2ης &amp; 21ης ΕΜΟΔΕ</t>
  </si>
  <si>
    <t>https://www.eleftherostypos.gr/ellada/pyrkagia-sti-drama-8-ochimata-pezopora-tmimata-kai-enaeria-mesa-sti-machi-tis-katasvesis ; https://pelop.gr/fotia-drama-ypsili-rachi-dyo-esties/ ; https://www.paraskhnio.gr/2026/09/07/drama-dyo-esties-pyrkagias-se-dasiki-ektasi-stin-ypsili-rachi/ ; https://civilprotection.gov.gr/sites/default/files/2026-09/260907.jpg ; https://www.documentonews.gr/article/fotia-tora-stin-ypsili-rachi-tis-dramas-dyo-diaforetikes-esties-se-dasiki-ektasi/ ; https://newpost.gr/eidiseis/pyrinos-efialtis-se-tessera-metopa-machi-me-tis-floges-se-eyvoia-drama-alexandroypoli-kai-konitsa-vinteo/ ; https://www.ertnews.gr/eidiseis/synagermos-stin-pyrosvestiki-gia-fotia-sti-drama-dyo-esties-stin-ypsili-raxi/ ; https://www.newsbeast.gr/greece/arthro/13340449/diplo-metopo-fotias-stin-ypsili-rachi-tis-dramas</t>
  </si>
  <si>
    <t>Δύο ξεχωριστές εστίες σε μικρή απόσταση· αεροσκάφη αντλούν νερό από Καβάλα | Δύο διαφορετικές εστίες στη δασική έκταση Υψηλής Ράχης. Εναέρια ενισχύθηκαν από Αλεξανδρούπολη. Eleftheros Typos: 8 οχήματα. | Δύο ξεχωριστές εστίες σε δασική έκταση, κοντινή απόσταση μεταξύ τους. Συναγερμός Πυροσβεστικής 07/09/2026.</t>
  </si>
  <si>
    <t>Μακρυκάπα Εύβοιας</t>
  </si>
  <si>
    <t>Ευβοίας</t>
  </si>
  <si>
    <t>Διρφύων-Μεσσαπίων</t>
  </si>
  <si>
    <t>2 ομάδες πεζοπόρων</t>
  </si>
  <si>
    <t>Δήμος Διρφύων-Μεσσαπίων (υδροφόρες, βαρέα μηχανήματα)</t>
  </si>
  <si>
    <t>υπό διερεύνηση (ΔΑΕΕ)</t>
  </si>
  <si>
    <t>112 7/9 14:55: ενημέρωση ευρύτερης περιοχής πυρκαγιάς· 112 7/9 15:11: εκκένωση οικισμού Τριάδας προς Ψαχνά | 112 14:55 07-09: πληροφοριακό μήνυμα ευρύτερης περιοχής Μακρυκάπας· 112 15:11 07-09: εκκένωση οικισμού Τριάδας προς Ψαχνά | 112: εκκένωση κατοίκων Τριάδας προς Ψαχνά | 07/09 ~14:55: ενημερωτικό μήνυμα 112 σε κατοίκους ευρύτερης περιοχής Μακρυκάπας Εύβοιας</t>
  </si>
  <si>
    <t>https://www.eleftherostypos.gr/ellada/makrykapa-evvoias-92-pyrosvestes-kai-14-enaeria-mesa-epicheiroun-sti-fotia ; https://www.enikos.gr/society/evvoia-anexelegkti-i-fotia-metaxy-makrykapas-kai-triadas-enischythikan-oi-dynameis-anafores-gia-zimies-se-egkatastaseis-kai-kalliergeies/2640306/ ; https://www.paraskhnio.gr/2026/09/07/fotia-stin-evvoia-ekkenonetai-i-triada-minyma-tou-112-pros-tous-katoikous/ ; https://www.enikos.gr/society/fotia-se-pefkodasos-stin-evvoia-minyma-apo-to-112-gia-etoimotita-vinteo/2640169/ ; https://newpost.gr/eidiseis/eyvoia-megali-fotia-sti-makrykapa-ischyres-epigeies-kai-enaeries-dynameis/ ; https://civilprotection.gov.gr/sites/default/files/2026-09/260907.jpg ; https://www.ertnews.gr/roi-idiseon/pyrkagia-se-dasiki-ektasi-stin-perioxi-makrykapa-eyvoias-ixise-to-112/ ; https://www.ertnews.gr/roi-idiseon/pyrkagia-sti-makrykapa-eyvoias-minyma-112-gia-apomakrynsi-apo-triada-pros-psaxna/ ; https://www.zougla.gr/greece/se-yfesi-i-pyrkagia-stin-evvoia/ ; https://www.voliotaki.gr/2026/09/%CF%83%CE%B5-%CF%8D%CF%86%CE%B5%CF%83%CE%B7-%CE%B7-%CF%80%CF%85%CF%81%CE%BA%CE%B1%CE%B3%CE%B9%CE%AC-%CF%83%CF%84%CE%B7%CE%BD-%CE%B5%CF%8D%CE%B2%CE%BF%CE%B9%CE%B1.html ; https://www.newsit.gr/ellada/fotia-stin-eyvoia-stin-perioxi-makrykapa-ixise-to-112-gia-ekkenosi-apo-tin-triada-pros-psaxna-enisxythikan-oi-dynameis/4768125/ ; https://www.naftemporiki.gr/society/2158360/eyvoia-fotia-tora-sti-makrykapa-minyma-toy-112/ ; https://www.efsyn.gr/ellada/1462122/pyrkagia-se-dasiki-ektasi-sti-makrykapa-eyvoias-ihise-to-112-sikothikan-5-enaeria-mesa/ ; https://newpost.gr/eidiseis/pyrinos-efialtis-se-tessera-metopa-machi-me-tis-floges-se-eyvoia-drama-alexandroypoli-kai-konitsa-vinteo/</t>
  </si>
  <si>
    <t>Ανεξέλεγκτη· καίει πευκοδάσος· κίνδυνος επέκτασης προς Πισσώνα· ζημιές σε εγκαταστάσεις και καλλιέργειες· ΓΕΣ κινητοποιήθηκε | Αρχική κινητοποίηση 55 πυρ + 17 οχ + 2 αεροσκ + 3 ελικ (14:30–14:55). Δυνάμεις ενισχύθηκαν σε 92 πυρ / 32 οχ / 10+4 εναέρια μετά το 112 εκκένωσης. Κατάσταση σε ύφεση αργότερα. | Ανεξέλεγκτη αρχικά — δυνατοί άνεμοι, πυκνός καπνός. Ζημιές σε αγροτικές εγκαταστάσεις/καλλιέργειες. Κίνδυνος επέκτασης προς Πισσώνα. Αργότερα σε ύφεση/χωρίς ενεργό μέτωπο. | Ενεργοποίηση ΔΑΕΕ Εύβοιας για διερεύνηση. Στις 8/9: χωρίς ενεργό μέτωπο, μόνο διάσπαρτες εστίες. Αρχικές δυνάμεις: 55 πυρ., 17 οχ., 2 α/φ, 3 ελικ.</t>
  </si>
  <si>
    <t>12:00</t>
  </si>
  <si>
    <t>Άγιος Αθανάσιος Εύβοιας</t>
  </si>
  <si>
    <t>https://www.ertnews.gr/eidiseis/eyvoia-pyrkagia-se-xamili-vlastisi-ston-agio-athanasio/ ; https://civilprotection.gov.gr/sites/default/files/2026-09/260907.jpg</t>
  </si>
  <si>
    <t>Χαμηλή βλάστηση· ίδιος δήμος με Μακρυκάπα αλλά διαφορετική τοποθεσία και ώρα</t>
  </si>
  <si>
    <t>2026-09-07</t>
  </si>
  <si>
    <t>Κωφοί Μαγνησίας</t>
  </si>
  <si>
    <t>Μαγνησίας</t>
  </si>
  <si>
    <t>Αλμυρού</t>
  </si>
  <si>
    <t>2 ομάδες πεζοπόρων 10ης ΕΜΟΔΕ</t>
  </si>
  <si>
    <t>Δήμος Αλμυρού (υδροφόρες)</t>
  </si>
  <si>
    <t>ΚΑΤΑΣΤΑΣΗ ΣΥΝΑΓΕΡΜΟΥ</t>
  </si>
  <si>
    <t>https://www.newsit.gr/ellada/fotia-sti-magnisia-stin-perioxi-kofoi-sti-maxi-kai-3-aeroskafi/4767882/ ; https://www.newsbomb.gr/ellada/story/1761626/fotia-stous-kofoys-magnisias-epixeiroyn-kai-tessera-enaeria-mesa ; https://www.ertnews.gr/perifereiakoi-stathmoi/volos/se-kokkino-synagermo-magnisia-kai-sporades-gia-ton-kindyno-pyrkagias/ ; https://civilprotection.gov.gr/sites/default/files/2026-09/260907.jpg ; https://www.protothema.gr/greece/article/1875026/fotia-se-dasiki-ektasi-sti-magnisia-epiheiroun-tessera-enaeria-mesa/ ; https://newpost.gr/eidiseis/magnisia-oriothetithike-i-pyrkagia-se-dasiki-ektasi-stin-periochi-kofoi/ ; https://pelop.gr/magnisia-fotia-stous-kofous-epicheiroun-35-pyrosvestes-kai-tessera-enaeria-mesa/</t>
  </si>
  <si>
    <t>Μαγνησία και Σποράδες σε «κόκκινο συναγερμό» (κατ. 5) κατά ertnews· ΔΑΕΕ ενεργοποιήθηκε για διερεύνηση αιτίων | Ώρα ειδοποίησης Πυροσβεστικής ~11:30. ΔΑΕΕ Μαγνησίας για διερεύνηση αιτίων.</t>
  </si>
  <si>
    <t>09:45</t>
  </si>
  <si>
    <t>11:00</t>
  </si>
  <si>
    <t>Ελαιοχώρι Καβάλας</t>
  </si>
  <si>
    <t>Καβάλας</t>
  </si>
  <si>
    <t>1 ομάδα 21ης ΕΜΟΔΕ</t>
  </si>
  <si>
    <t>Δήμος (υδροφόρες)</t>
  </si>
  <si>
    <t>112 (07/09 πρωί): ετοιμότητα κατοίκων Ελαιοχωρίου Καβάλας | 112 7/9: ετοιμότητα κατοίκων Ελαιοχωρίου Καβάλας (χωρίς εντολή εκκένωσης)</t>
  </si>
  <si>
    <t>https://www.ertnews.gr/eidiseis/ellada/fotia-sto-elaioxori-kavalas-minyma-apo-to-112-stous-katoikous-na-vriskontai-se-etoimotita/ ; https://www.in.gr/2026/09/07/greece/fotia-sto-elaioxori-kavalas-epixeiroun-tria-enaeria/ ; https://newpost.gr/eidiseis/pyrkagia-se-dasiki-ektasi-sto-elaiochori-kavalas/ ; https://www.flash.gr/fotia-tora-sto-elaiochori-kavalas-minyma-toy-112-stoys-katoikoys-1080116 ; https://parallaximag.gr/epikairotita/greece/kavala-minyma-112-gia-tin-pyrkagia-se-dasiki-ektasi-sto-elaiochori ; https://civilprotection.gov.gr/sites/default/files/2026-09/260907.jpg ; https://www.paggaio.news/%CF%80%CF%85%CF%81%CE%BA%CE%B1%CE%B3%CE%B9%CE%AC-%CF%83%CE%B5-%CE%B4%CE%B1%CF%83%CE%B9%CE%BA%CE%AE-%CE%AD%CE%BA%CF%84%CE%B1%CF%83%CE%B7-%CF%83%CF%84%CE%BF-%CE%B5%CE%BB%CE%B1%CE%B9%CE%BF%CF%87%CF%8E-2/ ; https://www.ertnews.gr/roi-idiseon/fotia-sto-elaioxori-kavalas-anagkastiki-prosgeiosi-pyrosvestikou-elikopterou-ereynontai-ta-aitia/ ; https://www.naftemporiki.gr/society/2158624/pyrkagia-se-dasiki-ektasi-stin-asprokklisia-kalampakas/</t>
  </si>
  <si>
    <t>Δασική έκταση. 3 εναέρια = 2 αεροσκάφη + 1 ελικόπτερο. Άρθρο ertnews.gr: 10:32 07/09. Κίνδυνος (07/09 χάρτης ΓΓΠΠ): Καβάλας κίτρινο=3. | Δασική έκταση· newsit ανέφερε «χωρίς ενεργό μέτωπο»· Θάσος σε κατ. 4 ενώ Καβάλα σε κατ. 3 | Πυρκαγιά στην περιοχή «Προφήτης Ηλίας». Αναγκαστική προσγείωση πυροσβεστικού ελικοπτέρου κατά τη διάρκεια κατάσβεσης (χωρίς αναφορά τραυματισμών). Υπό έλεγχο ~11:00.</t>
  </si>
  <si>
    <t>Διασέλλα</t>
  </si>
  <si>
    <t>Ηλείας</t>
  </si>
  <si>
    <t>3 ορειβατικές ομάδες 18ης ΕΜΟΔΕ</t>
  </si>
  <si>
    <t>https://www.ertnews.gr/perifereiakoi-stathmoi/pirgos/diimero-me-polles-pyrkagies-stin-ileia/</t>
  </si>
  <si>
    <t>Ξεχωριστό μέτωπο από Σκιλλούντια. Αναφέρεται σε άρθρο ertnews 07/09. Επίσης πυρκαγιά σε Κάτω Σαμικό &amp; Αγρίδια ταυτόχρονα. | Χαρακτηρίστηκε ως η «σημαντικότερη και πιο απαιτητική» πυρκαγιά του διημέρου 06–07/09 στην Ηλεία (ertnews). Ημερομηνία εκτιμάται 07/09 βάσει διημέρου άρθρου.</t>
  </si>
  <si>
    <t>Ελαιοχώρι (Προφήτης Ηλίας)</t>
  </si>
  <si>
    <t>Παγγαίου</t>
  </si>
  <si>
    <t>1 ομάδα πεζοπόρων 21ης ΕΜΟΔΕ</t>
  </si>
  <si>
    <t>υδροφόρες τοπικής αυτοδιοίκησης</t>
  </si>
  <si>
    <t>https://www.paggaio.news/%CF%80%CF%85%CF%81%CE%BA%CE%B1%CE%B3%CE%B9%CE%AC-%CF%83%CE%B5-%CE%B4%CE%B1%CF%83%CE%B9%CE%BA%CE%AE-%CE%AD%CE%BA%CF%84%CE%B1%CF%83%CE%B7-%CF%83%CF%84%CE%BF-%CE%B5%CE%BB%CE%B1%CE%B9%CE%BF%CF%87%CF%8E-2/</t>
  </si>
  <si>
    <t>Πρωινό περιστατικό, υπό έλεγχο λίγο μετά τις 11:00. Περιοχή «Προφήτης Ηλίας».</t>
  </si>
  <si>
    <t>12:48</t>
  </si>
  <si>
    <t>Μουρίκι</t>
  </si>
  <si>
    <t>Δυτική Ελλάδα</t>
  </si>
  <si>
    <t>Αχαΐας</t>
  </si>
  <si>
    <t>Καλαβρύτων</t>
  </si>
  <si>
    <t>1 ομάδα πεζοπόρων 6ης ΕΜΟΔΕ</t>
  </si>
  <si>
    <t>υδροφόρες Δήμου Καλαβρύτων</t>
  </si>
  <si>
    <t>υπό διερεύνηση (Ανακριτικό Κλιμάκιο Αντιμετώπισης Εγκλημάτων Εμπρησμού Αχαΐας)</t>
  </si>
  <si>
    <t>https://pelop.gr/achaia-fotia-sto-mouriki-epicheiroun-21-pyrosvestes-kai-elikoptero/ ; https://www.newsit.gr/ellada/oriothetithike-i-fotia-sto-mouriki-axaias-kinitopoiithikan-21-pyrosvestes/4767855/ ; https://www.naftemporiki.gr/society/2158223/achaia-fotia-tora-sto-moyriki/ ; https://www.eleftherostypos.gr/ellada/oriothetithikan-oi-foties-se-achaia-kai-magnisia ; https://www.kalavrytanews.com/2026/09/blog-post_241.html</t>
  </si>
  <si>
    <t>Οριοθετήθηκε μέχρι τις 12:48 της 7/9.</t>
  </si>
  <si>
    <t>17:01</t>
  </si>
  <si>
    <t>17:16</t>
  </si>
  <si>
    <t>Άγιο Όρος Χαλκιδικής</t>
  </si>
  <si>
    <t>Αγίου Όρους</t>
  </si>
  <si>
    <t>καύση απορριμμάτων (σύλληψη 53χρονου)</t>
  </si>
  <si>
    <t>https://www.skai.gr/ ; https://www.newsit.gr/ellada/ypo-elegxo-i-fotia-sto-agio-oros-epixeirisan-6-enaeria-mesa/4766278/ ; https://www.newsbomb.gr/ellada/story/1761244/pyrkagia-sto-agio-oros-megali-pyrosvestiki-epicheirisi-ripseis-apo-6-enaeria-mesa ; https://www.rthess.gr/ellada/syllipsi-gia-pyrkagia-sto-agio-oros-sti-chalkidiki/ ; https://www.xalkidikipolitiki.com/fotia-agio-oros-paparnika/ ; https://messolonghivoice.gr/dasiki-pyrkagia-sto-agio-oros-se-pliri-exelixi-i-epicheirisi-katasvesis-me-6-enaeria-mesa ; https://www.skai.gr</t>
  </si>
  <si>
    <t>Επεκτάθηκε σε ξηρό γρασίδι και καλάμια. Συνελήφθη 53χρονος για εμπρησμό από καύση απορριμμάτων. Πηγή: Yutori/skai.gr (δεν εντοπίστηκε αυτοτελές άρθρο). ΓΓΠΠ 06/09 Χαλκιδικής: μπλε (2). | Εξάπλωση σε ξηρό γρασίδι και καλάμια. Σύλληψη 53χρονου. Danger_level βάσει χάρτη ΓΓΠΠ 06/09/2026 (Χαλκιδική=μπλε). | Εξάπλωση σε ξηρό χόρτο και καλάμια. Σύλληψη δράστη. Δεδομένα δυνάμεων δεν αναφέρθηκαν από Yutori. | Εξάπλωση σε ξηρό γρασίδι και καλάμια. 53χρονος συνελήφθη ως υπαίτιος.</t>
  </si>
  <si>
    <t>Καύση απορριμμάτων (53χρονος συνελήφθη)</t>
  </si>
  <si>
    <t>https://www.skai.gr/</t>
  </si>
  <si>
    <t>Εξαπλώθηκε σε ξηρό γρασίδι και καλάμια. Σύλληψη δράστη.</t>
  </si>
  <si>
    <t>16:51</t>
  </si>
  <si>
    <t>Σκιλλούντια (Αρχαία Σκιλλούς)</t>
  </si>
  <si>
    <t>Ανδρίτσαινα-Κρεστένων</t>
  </si>
  <si>
    <t>υδροφόρες Δήμου Ανδρίτσαινας</t>
  </si>
  <si>
    <t>ναι</t>
  </si>
  <si>
    <t>06/09 ~17:30: μήνυμα 112 ετοιμότητας σε κατοίκους Σκιλλούντιας Ηλείας</t>
  </si>
  <si>
    <t>https://www.newsit.gr/ellada/fotia-stin-perioxi-skillountia-ileias-ixise-to-112-gia-etoimotita-stin-maxi-kai-10-aeroskafi/4767235/ ; https://www.flash.gr/ileia-fotia-megalon-diastaseon-sti-skilloyntia-minyma-etoimotitas-apo-to-112-1080046 ; https://www.ertnews.gr/perifereiakoi-stathmoi/pirgos/diimero-me-polles-pyrkagies-stin-ileia/ ; https://www.in.gr/2026/09/06/greece/fotia-stin-ileia-sti-maxi-eksi-enaeria/</t>
  </si>
  <si>
    <t>10 εναέρια: 5 Canadair + 5 Air Tractor. ΕΣΚΕΔΙΚ παρακολουθεί με drone (οπτικό και θερμικό). Ανάλυση ΔΑΕΕ Ηλείας για αιτία.</t>
  </si>
  <si>
    <t>16:15</t>
  </si>
  <si>
    <t>17:08</t>
  </si>
  <si>
    <t>Πινεία Ηλείας</t>
  </si>
  <si>
    <t>Ήλιδας</t>
  </si>
  <si>
    <t>Δήμος Ήλιδας: υδροφόρες</t>
  </si>
  <si>
    <t>υπό διερεύνηση (ΔΑΕΕ Ηλείας)</t>
  </si>
  <si>
    <t>https://www.newsit.gr/ellada/ileia-deyteri-fotia-stin-perioxi-pineia-oriothetithike-i-fotia-stin-perioxi-skillountia/4767259/ ; https://www.newsbomb.gr/ellada/story/1761475/ileia-pyrkagia-stin-perioxi-tis-pineias-epixeiroyn-6-aeroskafi ; https://www.parapolitika.gr/ellada/article/1786979/fotia-stin-pineia-ileias-kinitopoiithikan-kai-enaeria-mesa ; https://www.skai.gr ; https://www.newsit.gr/ellada/ileia-deyteri-fotia-stin-perioxi-pineia-mainetai-i-fotia-stin-perioxi-skillountia/4767259/ ; https://www.ertnews.gr/eidiseis/ellada/fotia-stin-pineia-ileias/ ; https://www.in.gr/2026/09/06/greece/fotia-stin-ileia-sti-maxi-eksi-enaeria/ ; https://www.efsyn.gr/ellada/1461467/fotia-stin-pineia-ileias-epiheiroyn-exi-aeroskafi/ ; https://www.cnn.gr/ellada/story/551109/nea-fotia-stin-pineia-ileias-sikothikan-eksi-aeroskafi ; https://www.tanea.gr/2026/09/06/greece/diplo-pyrino-metopo-stin-ileia-enisxysi-ton-pyrosvestikon-dynameon-kai-112-stin-skillountia-maxi-stin-pineia ; https://www.skai.gr/</t>
  </si>
  <si>
    <t>Χαμηλή βλάστηση. Πλήρης κατάσβεση ~17:08 EEST. Διερεύνηση αιτίων ΔΑΕΕ Ηλείας. ΓΓΠΠ 06/09 Ηλείας: κίτρινο (3). | Πλήρης κατάσβεση εντός 6/9. Σύγχρονη με την πυρκαγιά Σκιλλούντιας. Danger_level βάσει χάρτη ΓΓΠΠ 06/09/2026 (Ηλεία=κίτρινο). | Χαμηλή βλάστηση. Πλήρης κατάσβεση εντός 06/09 (Yutori: «εξαλειφθείσα»). Διερεύνηση αιτίας από ΔΑΕΕ Ηλείας. Κίνδυνος (06/09 χάρτης ΓΓΠΠ): Ηλείας κίτρινο=3. | Δεύτερη φωτιά στην Πηνεία ξεκίνησε ~16:15. Γρήγορη κατάσβεση. Χαμηλή βλάστηση. ΔΑΕΕ Ηλείας ερεύνησε αιτίες. | Πλήρης κατάσβεση εντός της ίδιας ημέρας. Διερεύνηση αιτίων από ΔΑΕΕ Ηλείας. | Πλήρης κατάσβεση. Διερεύνηση αιτίων από ΔΑΕΕ Ηλείας.</t>
  </si>
  <si>
    <t>16:00</t>
  </si>
  <si>
    <t>Σκιλλούντια Ηλείας</t>
  </si>
  <si>
    <t>Ζαχάρω</t>
  </si>
  <si>
    <t>Δήμος Ανδριτσαίνης (υδροφόρες)</t>
  </si>
  <si>
    <t>112 μήνυμα ετοιμότητας κατοίκων Σκιλλούντιας | 112 06/09 ~17:25: ετοιμότητα κατοίκων Σκιλλούντιας Ηλείας (δεν εκδόθηκε εντολή εκκένωσης) — εστάλη και δεύτερο μήνυμα 112 αργότερα | 112 (~17:30 06/09): ετοιμότητα κατοίκων Σκιλλούντιας | 112 ~17:30 06-09: ετοιμότητα κατοίκων Σκιλλουντίας | 112 (~17:30): ετοιμότητα κατοίκων περιοχής</t>
  </si>
  <si>
    <t>https://www.in.gr/2026/09/06/greece/fotia-stin-ileia-sti-maxi-eksi-enaeria/ ; https://ertnews.gr/perifereiakoi-stathmoi/pirgos/fotia-sti-skillounta-ileias ; https://www.tanea.gr/2026/09/06/greece/diplo-pyrino-metopo-stin-ileia-enisxysi-ton-pyrosvestikon-dynameon-kai-112-stin-skillountia-maxi-stin-pineia ; https://www.newsit.gr/ellada/ileia-deyteri-fotia-stin-perioxi-pineia-oriothetithike-i-fotia-stin-perioxi-skillountia/4767259/ ; https://www.news24world.com/fotia-tora-stin-palia-skillountia-ileias-megali-kinitopoiisi-tis-pyrosvestikis-epicheiroun-6-aeroplana/ ; https://www.newsit.gr/ellada/fotia-stin-perioxi-skillountia-ileias-ixise-to-112-gia-etoimotita-stin-maxi-kai-10-aeroskafi/4767235/ ; https://www.flash.gr/ileia-fotia-megalon-diastaseon-sti-skilloyntia-minyma-etoimotitas-apo-to-112-1080046 ; https://www.ertnews.gr/perifereiakoi-stathmoi/pirgos/fotia-sti-skillountia-ileias-enisxythikan-oi-dynameis/ ; https://lawandorder.gr/ileia-choris-energo-metopo-i-fotia-skillountia-6-9/ ; https://todaypress.gr/2026/09/06/fotia-stin-ileia-neo-minyma-112-gia-ti-skillountia-se-etoimotita-oi-katoikoi/ ; https://www.protothema.gr ; https://www.skai.gr ; https://x.com/112Greece/status/2096606146849124849 ; https://www.mononews.gr/society/fotia-stin-ileia-112-gia-etoimotita-stin-skillountia-enischythikan-oi-dynameis-tis-pyrosvestikis ; https://www.topontiki.gr/2026/09/06/fotia-tora-stin-periochi-skillounta-ilias-epichiroun-6-enaeria-mesa/ ; https://www.reader.gr/ellada/fotia-stin-ileia-minyma-toy-112-gia-etoimotita-sti-skilloyntia/660399 ; https://todaypress.gr/2026/09/06/fotia-stin-ileia-mainetai-i-pyrkagia-sti-skillountia-10-aeroskafi-sti-machi-me-tis-floges/ ; https://www.larissanet.gr/2026/09/06/pyrgos-fotia-se-agrotodasiki-ektasi-stin-periochi-skillountia/ ; https://www.enikos.gr/society/fotia-sti-skillountia-ileias-minyma-apo-to-112-gia-etoimotita/2639703/ ; https://pelop.gr/ileia-mainetai-i-fotia-sti-skillountia/ ; https://www.skai.gr/ ; https://www.protothema.gr/ ; https://www.ertnews.gr/perifereiakoi-stathmoi/pirgos/diimero-me-polles-pyrkagies-stin-ileia/</t>
  </si>
  <si>
    <t>Αγροτοδασική έκταση. 10 εναέρια συνολικά (Yutori). Drone επιτήρηση θερμικής κάμερας. Αρχικά 38 πυρ./9 οχ./6 εναέρια, ενισχύθηκε σε 45/16/10. Αργότερα οριοθετήθηκε (newsit). ΓΓΠΠ 06/09 Ηλείας: κίτρινο (3). | Πυρκαγιά μεγάλων διαστάσεων. Αριθμοί δυνάμεων αφορούν ενισχυμένη σύνθεση. «Χωρίς ενεργό μέτωπο» βάσει lawandorder.gr. Danger_level βάσει χάρτη ΓΓΠΠ 06/09/2026 (Ηλεία=κίτρινο). | 10 εναέρια συνολικά (split αεροσκαφών/ελικοπτέρων άγνωστος). Ταυτόχρονη πυρκαγιά Πηνείας Ηλείας (δεύτερο μέτωπο). Κίνδυνος (06/09 χάρτης ΓΓΠΠ): Ηλείας κίτρινο=3. | Αναζωπύρωση στην παλιά Σκιλλούντα στα όρια Ανδρίτσαινας-Κρέστενας με ισχυρή ενίσχυση (ανακτήθηκε 38 πυροσβέστες + 19 οχ + 10 αεροσκ κατά τη φάση αναζωπύρωσης). ΔΑΕΕ ερεύνησε αιτία. | 10 εναέρια μέσα συνολικά (χωρίς ανάλυση). Κίνδυνος σε πευκοδάσος.</t>
  </si>
  <si>
    <t>15:39</t>
  </si>
  <si>
    <t>19:27</t>
  </si>
  <si>
    <t>Πετσάκοι Αχαΐας</t>
  </si>
  <si>
    <t>2 ορειβατικές ομάδες 6ης ΕΜΟΔΕ</t>
  </si>
  <si>
    <t>υδροφόρα Δήμου</t>
  </si>
  <si>
    <t>υπό διερεύνηση (ΔΑΕΕ Αχαΐας)</t>
  </si>
  <si>
    <t>https://www.protothema.gr/greece/article/1874743/fotia-stous-petsakous-ahaias-megali-kinitopoiisi-tis-purosvestikis-sikothikan-epta-enaeria/ ; https://www.naftemporiki.gr/society/2157877/fotia-tora-stoys-petsakoys-achaias-epta-enaeria-sti-machi-tis-katasvesis/ ; https://www.aigiovoice.gr/peripou-200-stremmata-dasous-kaikan-stous-petsakous-ypo-elegcho-i-pyrkagia/ ; https://www.newsit.gr/ellada/fotia-stin-axaia-epixeiroun-7-enaeria-stin-perioxi-petsakoi/4767200/ ; https://www.efsyn.gr/ellada/1461529/horis-energo-metopo-i-fotia-tin-periohi-petsakoi-ahaias/ ; https://dete.gr/pyrkagia-stous-petsakous-achaias-sti-machi-epta-enaeria-mesa/ ; https://www.skai.gr ; https://www.protothema.gr ; https://pelop.gr/fotia-petsakoi-achaia-7-enaeria/ ; https://www.paraskhnio.gr/2026/09/06/fotia-stous-petsakous-achaias-megali-kinitopoiisi-tis-pyrosvestikis-epicheiroun-epta-enaeria/ ; https://tempo24.news/fotia-stous-petsakous-achaias-epta-enaeria-sti-machi-tis-katasvesis/ ; https://www.newsbomb.gr/ellada/story/1761475/ileia-pyrkagia-stin-perioxi-tis-pineias-epixeiroyn-6-aeroskafi ; https://www.skai.gr/ ; https://www.protothema.gr/</t>
  </si>
  <si>
    <t>Αγροτοδασική έκταση. ~200 στρέμματα = 20 ha δάσους κάηκαν. Κινητοποιήθηκε ΔΑΕΕ Αχαΐας. ΓΓΠΠ 06/09 Αχαΐας: κίτρινο (3). | «Χωρίς ενεργό μέτωπο» από 19:27 στις 6/9. Danger_level ρητά επιβεβαιωμένο ως κατηγορία 3 (πηγή Yutori/skai) και χάρτης ΓΓΠΠ 06/09/2026 (Αχαΐα=κίτρινο). | Αγροτοδασική έκταση. 7 εναέρια = 6 αεροσκάφη + 1 ελικόπτερο (pelop.gr). Κίνδυνος (06/09 χάρτης ΓΓΠΠ): Αχαΐας κίτρινο=3. | Δεδομένα δυνάμεων από Yutori Scout 06-09-2026. Κατηγορία κινδύνου 3 κατά Yutori. | 7 εναέρια μέσα συνολικά (χωρίς ανάλυση αεροσκαφών/ελικοπτέρων). Πηγές email: skai.gr, protothema.gr (αποκωδικοποιημένες από Yutori). | Δυνάμεις σύμφωνα με Yutori/skai. Κατηγορία κινδύνου 3 την ημέρα έναρξης.</t>
  </si>
  <si>
    <t>Κλειδί Βοιωτίας</t>
  </si>
  <si>
    <t>2 ορειβατικές ομάδες 4ης ΕΜΟΔΕ</t>
  </si>
  <si>
    <t>112 (06/09): ετοιμότητα</t>
  </si>
  <si>
    <t>https://www.thetoc.gr/koinwnia/article/fotia-sti-boiotia-enisxuthikan-oi-dunameis-sto-kleidi---megali-kinitopoiisi-kai-apo-aeros-ixise-to-112 ; https://pelop.gr/fotia-kleidi-voiotias-112-enaeria/ ; https://www.skaikritis.gr/pyrkagia-se-agrotodasiki-ektasi-sto-kleidi-voiotias-112-gia-etoimotita-epicheiroun-11-enaeria/ ; https://www.libre.gr/2026/09/06/choris-energo-metopo-i-fotia-sto-kleidi/ ; https://www.newsbomb.gr/ellada/story/1761443/pyrkagia-sto-kleidi-voiotias-epixeiroyn-4-enaeria-mesa ; https://www.zarpanews.gr/synagermos-gia-fotia-stin-periochi-kleidi-voiotias-ichise-to-112-sikothikan-enaeria-mesa/ ; https://ecozen.gr/2026/09/megali-fotia-sto-kleidi-voiotias-kai-112-gia-etoimotita/ ; https://www.documentonews.gr/article/fotia-tora-sto-kleidi-voiotias/</t>
  </si>
  <si>
    <t>Αγροτοδασική έκταση. Αρχικά 50 πυροσβέστες/4 εναέρια – ενισχύθηκε σε 55/11 εναέρια (8 αεροσκάφη + 3 ελικόπτερα). Τελευταία κατάσταση: χωρίς ενεργό μέτωπο. Κίνδυνος (06/09 χάρτης ΓΓΠΠ): Βοιωτίας κίτρινο=3.</t>
  </si>
  <si>
    <t>Κλειδί Τανάγρας</t>
  </si>
  <si>
    <t>Τανάγρας</t>
  </si>
  <si>
    <t>Δήμος Τανάγρας: υδροφόρες</t>
  </si>
  <si>
    <t>112 13:58: μήνυμα ετοιμότητας κατοίκων Κλειδιού Τανάγρας</t>
  </si>
  <si>
    <t>https://www.thetoc.gr/koinwnia/article/fotia-sti-boiotia-enisxuthikan-oi-dunameis-sto-kleidi---megali-kinitopoiisi-kai-apo-aeros-ixise-to-112 ; https://newsit.gr/ellada/fotia-sto-kleidi-tanagras-voiotias-minyma-tou-112-gia-etoimotita-enisxythikan-oi-dynameis-epixeiroun-11-enaeria/4767134 ; https://www.tanea.gr/2026/09/06/greece/fotia-sto-kleidi-tanagras-voiotias-stalthike-minyma-apo-to-112-epixeiroun-11-enaeria-mesa ; https://www.in.gr/2026/09/06/greece/fotia-sto-kleidi-voiotias-epixeiroun-4-enaeria-mesa</t>
  </si>
  <si>
    <t>Αγροτοδασική έκταση. Σύνολο 11 εναέρια κατά κορύφωση. Χωρίς ενεργό μέτωπο αργότερα. Ξεχωριστό περιστατικό από την πυρκαγιά του Phantom (05/09) στην ίδια περιοχή. ΓΓΠΠ 06/09 Βοιωτίας: κίτρινο (3).</t>
  </si>
  <si>
    <t>2026-09-06</t>
  </si>
  <si>
    <t>10:30</t>
  </si>
  <si>
    <t>Δροσοπηγή Αφιδνών</t>
  </si>
  <si>
    <t>Μαραθώνος</t>
  </si>
  <si>
    <t>10 πεζοπόρα τμήματα 1ης ΕΜΟΔΕ</t>
  </si>
  <si>
    <t>υδροφόρα Δήμου Ωρωπού</t>
  </si>
  <si>
    <t>112 06/09 10:58: ενημέρωση/προειδοποίηση κατοίκων ευρύτερης περιοχής Αφιδνών (δεν εκδόθηκε εντολή εκκένωσης) | 112 (06/09): ετοιμότητα κατοίκων Αφιδνών/Δροσοπηγής | 112 (~10:30): ετοιμότητα κατοίκων Δροσοπηγής — «Φωτιά στην περιοχή Δροσοπηγής ΠΕ Ανατολικής Αττικής. Παραμείνετε σε ετοιμότητα και ακολουθείτε τις οδηγίες των Αρχών.» | 06/09 10:58: ενημερωτικό μήνυμα 112 για κατοίκους ευρύτερης περιοχής Αφιδνών-Ωρωπού</t>
  </si>
  <si>
    <t>https://www.ertnews.gr/eidiseis/xoris-energo-metopo-i-pyrkagia-sti-drosopigi-afidnon/ ; https://www.skai.gr ; https://www.ertnews.gr/eidiseis/afidnes-enisxythikan-oi-dynameis-stin-pyrkagia-sti-drosopigi-ixise-to-112-diekopi-i-kykloforia/ ; https://www.emakedonia.gr/attiki-fotia-stis-afidnes-ichise-to-112-diekopi-i-kykloforia ; https://www.capital.gr/epikairotita/4014850/afidnes-enisxuthikan-oi-dunameis-stin-purkagia-sti-drosopigi-ixise-to-112-diakopike-i-kukloforia/ ; https://www.in.gr/2026/09/06/greece/fotia-stis-afidnes-sikothikan-5-enaeria/ ; https://www.tanea.gr/2026/09/06/greece/fotia-stis-afidnes-sti-maxi-kai-enaeria-mesa/ ; https://www.efsyn.gr/ellada/1461287/fotia-stis-afidnes-kinitopoiithikan-pente-enaeria-mesa/ ; https://www.pontosnews.gr/860719/ellada/fotia-sti-drosopigi-afidnon-enischythikan-oi-dynameis-minyma-112/ ; https://tomanifesto.gr/fotia-se-khamili-vlastisi-stis-afidnes-ikhise-to-112-ghia-etoimotita-251199 ; https://www.ekathimerini.com ; https://www.tanea.gr/2026/09/06/greece/fotia-stis-drosopigi-enisxythikan-oi-pyrosvestikes-dynameis-112-gia-etoimotita-poioi-dromoi-einai-kleistoi-video ; https://popaganda.gr/newstrack/greece-newstrack/se-pliri-kinitopoiisi-vrisketai-i-pyrosvestiki-gia-ti-fotia-stis-afidnes ; https://www.ekathimerini.com/ ; https://www.protothema.gr/greece/article/1874633/fotia-tora-stis-afidnes-megali-kinitopoiisi-tis-purosvestikis/</t>
  </si>
  <si>
    <t>Χαμηλή βλάστηση. Χωρίς ενεργό μέτωπο (ertnews). Δεν αναφέρθηκαν εκκενώσεις. ΓΓΠΠ 06/09 Αττικής: κίτρινο (3). | Καίει χαμηλή βλάστηση. Δεν αναφέρθηκαν εκκενώσεις. «Χωρίς ενεργό μέτωπο» βάσει ERT. Εναέρια λειτουργούσαν περιοδικά. Danger_level βάσει χάρτη ΓΓΠΠ 06/09/2026 (Αττική=κίτρινο). | Χαμηλή βλάστηση, Δήμος Ωρωπού. Διακοπή κυκλοφορίας Ν.Ε.Ο. Αθηνών-Λαμίας, οδ. Ειρήνης Δροσοπηγής, οδ. Χρυσανθέμων. Διερεύνηση από ΑΑΔΕ Αθηνών. Yutori: «δεν αναφέρθηκαν εκκενώσεις» – ωστόσο 112 ήχησε για ετοιμότητα. Κίνδυνος (06/09 χάρτης ΓΓΠΠ): Αττικής κίτρινο=3. | Καίει χαμηλή βλάστηση. Δεν αναφέρθηκαν εκκενώσεις. Πληροφορίες μόνο από Yutori Scout 06-09-2026 μέσω ekathimerini. | Χαμηλή βλάστηση. Διακοπή κυκλοφορίας ΕΟ Αθηνών-Λαμίας στον κόμβο Δροσοπηγής και οδό Ειρήνης Δροσοπηγής. Email ανέφερε «δεν αναφέρθηκαν εκκενώσεις» αλλά 112 ετοιμότητας εστάλη. | Χωρίς ενεργό μέτωπο αργότερα. Κλειστή η εθνική οδός Αθηνών-Λαμίας (είσοδος Δροσοπηγής), Ιρίνης Δροσοπηγής και Χρυσανθέμων.</t>
  </si>
  <si>
    <t>17:15</t>
  </si>
  <si>
    <t>Νέος Κουβαράς Αττικής</t>
  </si>
  <si>
    <t>Δήμος Σαρωνικού</t>
  </si>
  <si>
    <t>2 ομάδες πεζοπόρων (1ης ΕΜΟΔΕ)</t>
  </si>
  <si>
    <t>Υδροφόρες Δήμου Σαρωνικού</t>
  </si>
  <si>
    <t>Πυρκαγιά ΙΧ οχήματος στην οδό Μιχαήλ Γκίνη — εντοπίστηκε απανθρακωμένη σορός εντός αυτοκινήτου</t>
  </si>
  <si>
    <t>https://www.in.gr/2026/09/05/greece/fotia-ston-neo-kouvara-attikis-ksekinise-apo-ix-sikothikan-4-enaeria-mesa ; https://www.newsbomb.gr/ellada/story/1761271/neos-kouvaras-attikis-entopistike-soros-mesa-sto-aftokinito-apo-to-opoio-ksekinise-i-fotia ; https://www.cnn.gr/ellada/story/550957/fotia-se-dasiki-ektasi-ston-neo-kouvara-attikis-sikothikan-tessera-enaeria-mesa ; https://messolonghivoice.gr/neos-kouvaras-fotia-se-dasiki-ektasi-apo-anaflegomeno-ich-45-pyrosvestes-4-enaeria-kai-15-ochimata-sti-machi ; https://www.youweekly.gr/article/enimerwsi/neos-kouvaras-apanthrakomeni-soros-mesa-se-ich-apo-to-aftokinito-xekinise-i-fotia ; https://www.lykavitos.gr/news/greece/neos-kouvara-attikis-vrethike-apanthrakomeni-soros-mesa-se-ix-aytokinito-ap-opou-ksekini ; https://hellasjournal.com/2026/09/neos-kouvaras-apanthrakomeni-soros-se-aftokinito-apo-to-opoio-xekinise-pyrkagia-pou-epektathike-se-dasiki-ektasi-tethike-ypo-elegcho/ ; https://www.libre.gr/2026/09/05/fotia-ston-neo-kouvara-attikis-soros-e/</t>
  </si>
  <si>
    <t>Υπό διερεύνηση από Ανακριτικό Κλιμάκιο Ανατολικής Αττικής. | Απανθρακωμένη σορός εντοπίστηκε εντός του ΙΧ. ΔΑΕΕ Ανατολικής Αττικής ερεύνησε αιτία. Επεκτάθηκε σε δασική έκταση.</t>
  </si>
  <si>
    <t>Διάσελλα Ηλείας</t>
  </si>
  <si>
    <t>2 ομάδες πεζοπόρων (18ης ΕΜΟΔΕ)</t>
  </si>
  <si>
    <t>Υδροφόρες ΟΤΑ</t>
  </si>
  <si>
    <t>112 μετά 16:15: κατοίκοι Διάσελλας να παραμείνουν στην πλατεία χωριού και να αναμένουν οδηγίες αρχών | 112 ~16:15 05/09: προειδοποίηση κατοίκων Διάσελλων - παραμείνετε στην πλατεία, ακολουθείτε οδηγίες αρχών (πυρκαγιά αγροτοδασικής έκτασης) | 112 μήνυμα ετοιμότητας: κάτοικοι Διασελλών να παραμείνουν στην πλατεία και να ακολουθήσουν οδηγίες αρχών | 112 ήχησε (ώρα/τύπος αδιευκρίνιστος)</t>
  </si>
  <si>
    <t>https://www.athensvoice.gr/epikairotita/ellada/983824/fotia-tora-sti-diasella-ileias-minuma-apo-to-112/ ; https://www.tovima.gr/2026/09/05/society/fotia-tora-stin-ileia-diasella-ixise-to-112-gia-etoimotita ; https://messolonghivoice.gr/fotia-sta-diasella-ileias-epicheiroun-45-pyrosvestes-kai-exi-aeroskafi-ichise-to-112 ; https://athina984.gr/2026/09/05/pyrkagia-se-agrotodasiki-ektasi-sti-diasella-ileias-sikothikan-6-enaeria-mesa/ ; https://www.documentonews.gr/article/fotia-tora-stin-ileia-ichise-to-112/ ; https://www.tanea.gr/2026/09/05/greece/pyrkagia-stin-diasella-ileias-ixise-to-112 ; https://www.tanea.gr/2026/09/05/greece/fotia-sta-diasella-ileias-veltiomeni-i-eikona-paramenoun-isxyres-dynameis-tis-pyrosvestikis ; https://www.newsbomb.gr/ellada/story/1761311/ileia-oriothetithike-i-fotia-sta-diasella ; https://www.newsit.gr/ellada/fotia-sta-diasella-ileias-oi-floges-apeilisan-spitia-sikothikan-6-aeroskafi/4766365/ ; https://www.huffingtonpost.gr/kinonia/fotia-sta-diasella-ileias-minyma-apo-to-112-stous-katoikous/ ; https://www.patrisnews.com/pyrkagia-sta-diasella-ischyres-epigeies-dynameis-kai-6-aeroskafi-sti-machi-me-tis-flogesmegali-epicheirisiaki-kinitopoiisi-ton-pyrosvestikon-dynameon-vrisketai-se-exelixi-stin-ileia-meta-ap/ ; https://www.cnn.gr/ellada/story/550978/veltiomeni-i-eikona-tis-fotias-sta-diasella-ileias-eixe-ixisei-to-112-gia-etoimotita ; https://www.patrisnews.com/diassela-tethike-ypo-elegcho-i-fotia/ ; https://best-tv.gr/titania-machi-me-tis-floges-sti-diasella-epicheiroyn-ischyrotates-dynameis-photos-video/ ; https://www.enikos.gr/society/fotia-stin-ileia-stis-floges-agrotodasiki-ektasi-stin-periochi-diasella/2639178/ ; https://ilia.news/%CF%85%CF%80%CF%8C-%CE%AD%CE%BB%CE%B5%CE%B3%CF%87%CE%BF-%CE%B7-%CF%80%CF%85%CF%81%CE%BA%CE%B1%CE%B3%CE%B9%CE%AC-%CF%83%CF%84%CE%B1-%CE%B4%CE%B9%CE%B1%CF%83%CE%AD%CE%BB%CE%BB%CE%B1-%CF%83/</t>
  </si>
  <si>
    <t>Αγροτοδασική έκταση. Σήμα 112 ετοιμότητας (όχι εκκένωσης). | Φλόγες απείλησαν σπίτια. Εικόνα βελτιώθηκε αργότερα. | Αγροτοδασική έκταση. Οι φλόγες απείλησαν σπίτια. Βελτιωμένη εικόνα αργότερα — τέθηκε υπό έλεγχο (patrisnews). ΓΓΠΠ 05/09 Ηλείας: κίτρινο (3). | Φλόγες απείλησαν κατοικίες. Βελτιωμένη εικόνα από 19:30. | Ελάχιστα στοιχεία – μόνο τοποθεσία και κατάσταση επιβεβαιωμένα. Κίνδυνος (05/09 χάρτης ΓΓΠΠ): Ηλείας κίτρινο=3. | Αγροτοδασική έκταση. Εντοπίστηκε εκτός email Yutori. Χάρτης ΓΓΠΠ 05/09 δεν κατεβλήθη.</t>
  </si>
  <si>
    <t>15:00</t>
  </si>
  <si>
    <t>Μισόκαμπος Κύμης</t>
  </si>
  <si>
    <t>Δήμος Κύμης-Αλιβερίου</t>
  </si>
  <si>
    <t>1 ομάδα πεζοπόρων (20ής ΕΜΟΔΕ)</t>
  </si>
  <si>
    <t>Υπό διερεύνηση (Ανακριτικό Κλιμάκιο)</t>
  </si>
  <si>
    <t>https://www.ertnews.gr/eidiseis/ellada/pyrkagia-se-dasiki-ektasi-stin-perioxi-misokampos-stin-kymi-eyvoias/ ; https://www.newsbomb.gr/ellada/story/1761256/eyvoia-pyrkagia-se-dasos-tis-kymis-megali-pyrosvestiki-epixeirisi ; https://pelop.gr/misokabos-kymis-aliveriou-evvoias-xespase-pyrkagia-epicheiroun-dyo-aeroskafi-kai-30-pyrosvestes/ ; https://www.cnn.gr/ellada/story/550948/fotia-se-dasiki-ektasi-stin-eyvoia-sikothikan-dyo-aeroskafi ; https://www.flash.gr/fotia-stin-kymi-eyvoias-se-exelixi-i-epicheirisi-tis-pyrosvestikis-1079940 ; https://www.newsit.gr/ellada/fotia-stin-kymi-eyvoias-isxyres-dynameis-sti-maxi-me-tis-floges/4766410/ ; https://www.newsit.gr/ellada/fotia-stin-kymi-eyvoias-synelifthi-55xronos-gia-emprismo-afethike-eleytheros/4766547/ ; https://newpost.gr/eidiseis/fotia-stin-kymi-eyvoias-sti-machi-30-pyrosvestes-kai-dyo-elikoptera/ ; https://www.skai.gr/news/greece/fotia-se-dasiki-ektasi-stin-kymi-eyvoias-sikothikan-kai-2-elikoptera ; https://www.documentonews.gr/article/fotia-tora-stin-evvoia-kaigetai-dasos-stin-kymi/</t>
  </si>
  <si>
    <t>Πηγή ertnews αναφέρει 2 ελικόπτερα· pelop.gr αναφέρει 2 αεροσκάφη — πιθανή σύγχυση ονοματολογίας για τα ίδια 2 εναέρια μέσα. | Danger level κατ. 4 επιβεβαιωμένο από πηγή. Ανακριτικό Κλιμάκιο Εμπρησμού Ευβοίας κινητοποιήθηκε. CNN αναφέρει 2 αεροσκάφη (πιθανώς ίδια με τα 2 ελικόπτερα ertnews). | Πυρκαγιά σε δασική έκταση. Κατηγορία κινδύνου 4 βάσει ERT News. Εκκινήθηκε έρευνα από ΔΑΕΕ Εύβοιας. Danger_level βάσει ρητής αναφοράς (κατηγορία 4) και χάρτη ΓΓΠΠ 05/09/2026. | Δασική έκταση. Πηγές διίστανται: skai/newpost: 2 ελικόπτερα· pelop: 2 αεροσκάφη (πιθανώς χρήση «αεροσκάφη» ως γενικός όρος). Κατάσταση μετά κατάσβεση άγνωστη. Κίνδυνος (05/09 χάρτης ΓΓΠΠ): Ευβοίας πορτοκαλί=4.</t>
  </si>
  <si>
    <t>Σχηματάρι Τανάγρας</t>
  </si>
  <si>
    <t>Δήμος Τανάγρας</t>
  </si>
  <si>
    <t>3 ομάδες πεζοπόρων (4ης ΕΜΟΔΕ), τμήματα 1ης &amp; 7ης ΕΜΑΚ</t>
  </si>
  <si>
    <t>Πτώση F-4E Phantom II (338 Μοίρα, 117 ΠΤΕ) κατά αεροπορική επίδειξη «Athens Flying Week 2026» — αεροσκάφος χωρίστηκε στα δύο, τμήμα έπεσε σε δάσος, τμήμα σε εργοστάσιο γεωργικών μηχανημάτων</t>
  </si>
  <si>
    <t>112 15:34: ετοιμότητα κατοίκων &amp; επισκεπτών Σχηματαρίου Βοιωτίας | 112 15:34 05/09: προειδοποίηση ετοιμότητας κατοίκων ευρύτερης περιοχής πυρκαγιάς - ακολουθείτε οδηγίες αρχών</t>
  </si>
  <si>
    <t>https://www.newsit.gr/ellada/fotia-se-dasiki-ektasi-stin-tanagra-apo-tin-ptosi-tou-phantom-ixise-to-112-pou-yparxei-diakopi-kykloforias/4766351/ ; https://www.newsbomb.gr/ellada/story/1761253/kaigetai-dasos-stin-tanagra-epektathikan-oi-floges-apo-to-phantom-epixeiroyn-11-enaeria ; https://www.naftemporiki.gr/society/2157615/tanagra-veltiomeni-i-eikona-tis-fotias-poy-xespase-meta-ti-syntrivi-toy-phantom/ ; https://www.skai.gr/news/greece/tanagra-ptosi-aeroskafous ; https://www.enikos.gr/society/tanagra-fotia-se-dasiki-ektasi-meta-tin-ptosi-tou-phantom-minyma-apo-to-112/2639174/ ; https://www.tanea.gr/2026/09/05/greece/syntrivi-phantom-stin-tanagra-nekroi-oi-xeiristes-i-episimi-anakoinosi-tou-gea ; https://www.eleftherostypos.gr/ellada/fotia-sti-tanagra-veltiomeni-i-eikona-tis-pyrkagias-pou-prokalese-i-syntrivi-tou-phantom ; https://www.skai.gr/news/greece/tanagra-fotia-meta-ti-syntrivi-tou-phantom-stin-tanagra-minyma-apo-to-112 ; https://www.tanea.gr/2026/09/05/greece/fotia-se-dasiki-ektasi-stin-tanagra-meta-tin-ptosi-tou-phantom-ixise-to-112 ; https://www.firefightingreece.gr/2026/09/05/pyrkagia-se-dasiki-ektasi-stin-periochi-tou-schimatariou-voiotias/ ; https://www.flash.gr/fotia-sto-schimatari-voiotias-minyma-toy-112-stoys-katoikoys-1079931 ; https://www.cnn.gr/ellada/story/550939/fotia-se-dasiki-ektasi-stin-sximatari-ixise-to-112-gia-etoimotita</t>
  </si>
  <si>
    <t>Νεκροί και οι δύο χειριστές (επίσημη ανακοίνωση ΓΕΑ). Διακοπή κυκλοφορίας Νέας Εθνικής Οδού Αθηνών–Λαμίας (διακλάδωση Οινόης). | Πυρκαγιά εκδηλώθηκε από πτώση F-4 Phantom στην Athens Flying Week 2026.</t>
  </si>
  <si>
    <t>Παπαρνίκα Αγίου Όρους</t>
  </si>
  <si>
    <t>https://www.newsit.gr/ellada/ypo-elegxo-i-fotia-sto-agio-oros-epixeirisan-6-enaeria-mesa/4766278/ ; https://todaypress.gr/2026/09/05/fotia-tora-sto-agio-oros-stis-floges-dasiki-ektasi-sikothikan-6-enaeria-mesa/ ; https://www.real.gr/koinonia/arthro/pyrkagia-sto-agio-oros-epicheiroun-6-enaeria-mesa-914244/ ; https://www.emakedonia.gr/chalkidiki-ypo-elegcho-i-pyrkagia-sti-chersoniso-toy-atho</t>
  </si>
  <si>
    <t>Τέθηκε υπό έλεγχο σε ~15 λεπτά. Ανακριτικό Κλιμάκιο Εμπρησμού Χαλκιδικής κινητοποιήθηκε. Danger level κατ. 3 επιβεβαιωμένο από πηγή (ertnews).</t>
  </si>
  <si>
    <t>Παπαρνίκα, χερσόνησος Άθω</t>
  </si>
  <si>
    <t>2 ορειβατικές ομάδες</t>
  </si>
  <si>
    <t>Καύση απορριμμάτων (σύλληψη 53χρονου)</t>
  </si>
  <si>
    <t>https://www.newsit.gr/ellada/ypo-elegxo-i-fotia-sto-agio-oros-epixeirisan-6-enaeria-mesa/4766278/</t>
  </si>
  <si>
    <t>Εξαπλώθηκε σε ξηρό γρασίδι και καλάμια. Ταχεία περιορισμός (~15 λεπτά αρχικά). Yutori (06/09): «περιεχόμενη/ελεγχόμενη». Κίνδυνος (05/09 χάρτης ΓΓΠΠ): Χαλκιδικής κίτρινο=3.</t>
  </si>
  <si>
    <t>09:30</t>
  </si>
  <si>
    <t>Μέσα Λέσβου</t>
  </si>
  <si>
    <t>Βόρειο Αιγαίο</t>
  </si>
  <si>
    <t>Λέσβου</t>
  </si>
  <si>
    <t>1 πεζοπόρο τμήμα 12ης ΕΜΟΔΕ</t>
  </si>
  <si>
    <t>υπό διερεύνηση (ΔΑΕΕ Λέσβου)</t>
  </si>
  <si>
    <t>https://www.newsit.gr/ellada/fotia-sti-lesvo-stin-perioxi-mesa-kaiei-se-agrotodasiki-ektasi-epixeiroun-8-enaeria/4766119/ ; https://www.thetoc.gr/koinwnia/article/fotia-tora-sti-lesbo-kaiei-se-agrotodasiki-ektasi-stin-perioxi-mesa---epixeiroun-8-enaeria ; https://www.skai.gr/news/greece/lesvos-pyrkagia-se-agrotodasiki-ektasi-stin-perioxi-mesa ; https://www.tanea.gr/2026/09/05/greece/pyrino-metopo-sti-lesvo-epixeiroun-isxyres-epigeies-kai-enaeries-dynameis ; https://lesvosvoice.gr/2026/09/05/lesvos-fotia-se-agrotodasiki-ektasi-stin-perioxi-tis-rizonas/</t>
  </si>
  <si>
    <t>Πυρκαγιά σε αγροτοδασική έκταση στην περιοχή Μέσα. Σε μεταγενέστερη ενημέρωση αναφέρθηκαν 8 εναέρια. Danger_level βάσει ρητής αναφοράς πηγής (κατηγορία 3) και χάρτη ΓΓΠΠ 05/09/2026.</t>
  </si>
  <si>
    <t>05:00</t>
  </si>
  <si>
    <t>Achaia Clauss</t>
  </si>
  <si>
    <t>Δυτικής Ελλάδας</t>
  </si>
  <si>
    <t>Πατρέων</t>
  </si>
  <si>
    <t>1 ομάδα πεζοπόρου 6ης ΕΜΟΔΕ</t>
  </si>
  <si>
    <t>εθελοντές πυροσβέστες Πατρέων</t>
  </si>
  <si>
    <t>https://www.newsit.gr/ellada/patra-fotia-sto-istoriko-oinopoieio-achaia-clauss-ekrikseis-kai-maxi-na-min-perasoun-oi-floges-sto-dasos/4766019/ ; https://www.madata.gr/epikairotita/social/976969-fotia-sto-istoriko-oinopoieio-achaia-clauss-stin-patra-katastrafike-oloscheros-petrino-ktirio.html ; https://www.in.gr/2026/09/05/uncategorized/patra-megali-fotia-kai-ekrikseis-stin-achaia-clauss-maxi-na-min-epektathei-sto-dasos ; https://www.iefimerida.gr/ellada/katastrofes-fotia-clauss-patra ; https://www.in.gr/2026/09/05/greece/patra-ypo-elegxo-i-megali-fotia-sto-istoriko-oinopoieio-achaia-clauss-deite-fotografies ; https://patrapress.gr/patra-nees-eikones-apo-ti-machi-katasvesis-stin-pyrkagia-tis-achaia-clauss-ethelontes-pyrosvestes-en-drasei-vinteo-foto/ ; https://www.argolidaportal.gr/news/116984/patra-pyrkagia-stin-achaia-clauss-katastrafike-petrino-ktirio-vid</t>
  </si>
  <si>
    <t>Πυρκαγιά σε κτίριο ιστορικής οινοποιίας — αγώνας να μην επεκταθεί στο παρακείμενο δάσος. Καταστράφηκε πέτρινο κτίριο. Εκρήξεις. Vehicles: 8 οχήματα + 1 κλιμακοφόρο. Αίτια υπό διερεύνηση από Κλιμάκιο Εμπρησμού. | Καταστράφηκε ολοσχερώς ιστορικό πέτρινο κτίριο δύο ορόφων. Εκρήξεις κατά τη διάρκεια κατάσβεσης. Ακυρώθηκε εκδήλωση Open Harvest 2026.</t>
  </si>
  <si>
    <t>Αγρίδι Ηλείας</t>
  </si>
  <si>
    <t>https://www.newsit.gr/ellada/foties-sti-notia-ileia-megali-kinitopoiisi-tis-pyrosvestikis-se-kato-samiko-kai-agridi/4766265/ ; https://pelop.gr/ileia-nea-fotia-sto-agridi-xespase-liga-lepta-meta-to-kato-samiko/ ; https://www.iefimerida.gr/ellada/ileia-pyrkagies-kato-samiko-agridi-enaeria-mesa ; https://www.documentonews.gr/article/fotia-tora-stin-ileia-2-diaforetika-metopa-se-liga-molis-lepta-epicheiroun-4-aeroskafi/</t>
  </si>
  <si>
    <t>Νέα ανακάλυψη. Ξέσπασε λίγα λεπτά μετά την πυρκαγιά Κάτω Σαμικό. Μικρότερης έκτασης· επιχείρησαν μόνο επίγειες δυνάμεις.</t>
  </si>
  <si>
    <t>Αεροδρόμιο Τανάγρας — Athens Flying Week (Phantom crash)</t>
  </si>
  <si>
    <t>3 επίγειες ομάδες</t>
  </si>
  <si>
    <t>συντριβή F-4 Phantom Πολεμικής Αεροπορίας κατά διάρκεια Athens Flying Week 2026 — 2 νεκροί πιλότοι</t>
  </si>
  <si>
    <t>https://greekcitytimes.com/2026/09/05/phantom-crash-athens-flying-week-2026-tanagra ; https://www.euronews.com/my-europe/2026/09/05/two-pilots-killed-in-phantom-f-4-jet-crash-during-greek-air-force-annual-show ; https://theaviationist.com/2026/09/05/greek-f-4-phantom-crashes/ ; https://greekreporter.com/2026/09/05/greek-air-force-f-4-phantom-crash/</t>
  </si>
  <si>
    <t>Πυρκαγιά εκδηλώθηκε από τη συντριβή F-4 Phantom κατά χαμηλή επίδειξη και επεκτάθηκε σε γύρω δασική έκταση. 115 πυρ./36 οχ./3 ομάδες. Δεν τραυματίστηκαν άμαχοι. Ακυρώθηκαν υπόλοιπες εκδηλώσεις. ΓΓΠΠ 05/09 Βοιωτίας: κίτρινο (3).</t>
  </si>
  <si>
    <t>Αχλαδερή (περιοχή Ριζώνας)</t>
  </si>
  <si>
    <t>Βορείου Αιγαίου</t>
  </si>
  <si>
    <t>1 ομάδα πεζοπόρων 12 μελών</t>
  </si>
  <si>
    <t>υδροφόρες Δήμου Δυτικής Λέσβου</t>
  </si>
  <si>
    <t>https://www.protothema.gr/greece/article/1874331/lesvos-fotia-se-hortolivasiki-ektasi-stin-ahladeri-epiheiroun-kai-enaeria-mesa/ ; https://cretaone.gr/fotia-se-chortolivasiki-ektasi-stin-achladeri-lesvoy/ ; https://lesvosvoice.gr/2026/09/05/lesvos-fotia-se-agrotodasiki-ektasi-stin-perioxi-tis-rizonas/ ; https://www.tanea.gr/2026/09/05/greece/pyrino-metopo-sti-lesvo-epixeiroun-isxyres-epigeies-kai-enaeries-dynameis ; https://www.pentapostagma.gr/ethnika-themata/esoteriki-asfaleia/7388223_lesbos-fotia-se-hortolibasiki-ektasi-stin-ahladeri ; https://radar.gr/article/lesvos-fotia-se-chortolivasiki-ektasi-stin-achladeri-epicheiroun-kai-enaeria-mesa ; https://www.npress.gr/greece/lesvos-fotia-stin-achladeri-epicheiroun-ischyres-epigeies-kai-enaeries-dynameis/ ; https://www.protothema.gr/greece/article/1874331/lesvos-fotia-se-hortolivasiki-ektasi-stin-ahladeri-epicheiroun-kai-enaeria-mesa/</t>
  </si>
  <si>
    <t>Χορτολιβασική και δασική βλάστηση (αστιβιές). Personnel: 25 πυροσβέστες + 12μελής ομάδα πεζοπόρου. Αίτηση βαρέων μηχανημάτων για αντιπυρικές ζώνες. | Χορτολιβαδική/αγροτοδασική έκταση. Συνολικά 8 εναέρια (αρχικά 2 PZL + 1 ελικόπτερο – npress.gr· ενισχύθηκε σε 8 – pentapostagma.gr). Κατάσταση μετά κατάσβεση άγνωστη. Κίνδυνος (05/09 χάρτης ΓΓΠΠ): Λέσβου κίτρινο=3.</t>
  </si>
  <si>
    <t>Βάλτος Ορεστιάδας</t>
  </si>
  <si>
    <t>Ανατολική Μακεδονία &amp; Θράκη</t>
  </si>
  <si>
    <t>Δήμος Ορεστιάδας</t>
  </si>
  <si>
    <t>1 ομάδα πεζοπόρου 7ης ΕΜΟΔΕ</t>
  </si>
  <si>
    <t>υδροφόρες ΟΤΑ, μηχανήματα έργου</t>
  </si>
  <si>
    <t>https://www.protothema.gr/greece/article/1874426/fotia-se-agrotodasiki-ektasi-stin-periohi-valtos-orestiadas/ ; https://www.tanea.gr/2026/09/05/greece/orestiada-pyrkagia-se-agrotodasiki-ektasi-sto-valto ; https://www.emakedonia.gr/orestiada-pyrkagia-se-agrotodasiki-ektasi-ston-valto-tessera-enaeria ; https://www.newsit.gr/ellada/fotia-se-agrotodasiki-ektasi-stin-orestiada-sti-maxi-kai-enaeria-mesa/4766376/ ; https://www.newsbomb.gr/ellada/story/1761318/orestiada-veltiomeni-i-eikona-tis-fotias-ston-valto ; https://messolonghivoice.gr/fotia-ston-valto-orestiadas-kinitopoiithikan-23-pyrosvestes-kai-4-enaeria-mesa</t>
  </si>
  <si>
    <t>Αγροτοδασική έκταση. Δεν υπάρχουν στοιχεία δυνάμεων στη διαθέσιμη πηγή. | Αγροτοδασική έκταση. Λεπτομέρειες δυνάμεων μη διαθέσιμες από διαθέσιμες πηγές.</t>
  </si>
  <si>
    <t>Κάτω Σαμικό</t>
  </si>
  <si>
    <t>1 ομάδα πεζοπόρων 18ης ΕΜΟΔΕ</t>
  </si>
  <si>
    <t>Υδροφόρα δήμου</t>
  </si>
  <si>
    <t>https://www.newsbomb.gr/ellada/story/1761239/fotia-stin-ileia-pyrkagia-se-agrotodasiki-ektasi-sto-kato-samiko-epixeiroyn-kai-3-enaeria-mesa ; https://www.skai.gr/news/greece/pyrkagia-stin-perioxi-kato-samiko ; https://www.protothema.gr/greece/article/1874403/fotia-tora-sto-kato-samiko-ileias-kaiei-xera-horta/ ; https://www.newsit.gr/ellada/foties-sti-notia-ileia-megali-kinitopoiisi-tis-pyrosvestikis-se-kato-samiko-kai-agridi/4766265/ ; https://pelop.gr/ileia-fotia-sto-kato-samiko-kaiei-xera-chorta/ ; https://www.patrisnews.com/pyrkagia-sto-kato-samiko-megali-kinitopoiisi-tis-pyrosvestikis/ ; https://www.npress.gr/greece/fotia-sto-kato-samiko-ileias-epicheiroun-epigeies-kai-enaeries-dynameis/</t>
  </si>
  <si>
    <t>Αγροτοδασική έκταση, αρχικά ξερά χόρτα. Ξεχωριστό συμβάν από τα Διάσελλα (ίδιος Δήμος).</t>
  </si>
  <si>
    <t>19:55</t>
  </si>
  <si>
    <t>Τουρκοβούνια</t>
  </si>
  <si>
    <t>Ψυχικού</t>
  </si>
  <si>
    <t>4 ομάδες πεζοπόρου 1ης ΕΜΟΔΕ</t>
  </si>
  <si>
    <t>υδροφόρες Δήμου Ψυχικού</t>
  </si>
  <si>
    <t>υπό διερεύνηση (Ανακριτικό Κλιμάκιο Εμπρησμού Αθηνών)</t>
  </si>
  <si>
    <t>https://www.firefightingreece.gr/2026/09/04/pyrkagia-se-chamili-vlastisi-stin-periochi-ton-tourkovounion-sto-psychiko/ ; https://www.skai.gr/news/greece/fotia-se-dasiki-ektasi-stous-pentagious-fokidas ; https://www.tanea.gr/2026/09/04/greece/oriothetithike-i-fotia-sta-tourkovounia-paramenoun-sto-simeio-epigeies-dynameis-video ; https://www.tanea.gr/2026/09/04/greece/fotia-sta-tourkovounia-sto-psyxiko-epixeiroun-epigeies-dynameis-kai-elikoptera ; https://www.newsbomb.gr/ellada/story/1757679/fotia-sta-tourkovoynia ; https://www.in.gr/2026/09/04/greece/fotia-sta-tourkovounia-sto-psyxiko-isxyres-pyrosvestikes-dynameis ; https://www.zougla.gr/greece/psychiko-pyrkagia-sta-tourkovounia/ ; https://www.eleftherostypos.gr/ellada/fotia-sto-psychiko-choris-energo-metopo-i-pyrkagia-sta-tourkovounia ; https://www.dnews.gr/eidhseis/ellada/608368/fotia-tora-sta-tourkovoynia-epixeiroyn-64-pyrosvestes ; https://www.skai.gr/news/greece/pyrkagia-sto-psyxiko-sta-tourkovounia ; https://www.pentapostagma.gr/ethnika-themata/esoteriki-asfaleia/7388154_psyhiko-pyrkagia-xespase-sta-toyrkoboynia ; https://www.reader.gr/ellada/fotia-tora-sta-toyrkoboynia-ohima-tylihthike-stis-floges/658320</t>
  </si>
  <si>
    <t>Χαμηλή βλάστηση. Drone θερμικής κάμερας ΕΣΚΕΔΙΚ. Ενισχυμένοι αριθμοί (~19:49): 64 πυρ., 15 οχ., 2 ελικ. | Χαμηλή βλάστηση/χόρτα, οδός Περσέως, Ψυχικό. Κατηγορία κινδύνου 4. Χωρίς ενεργό μέτωπο ~20:00. Drone ΕΣΚΕΔΙΚ (θερμικές+οπτικές) + υδροφόρες Δήμου Ψυχικού. Αναφορά πιθανής εμπλοκής ανηλίκων (αδιαβεβαίωτο, ΣΚΑΪ). Καμένη έκταση δεν επιβεβαιώθηκε σε καμία πηγή. | Χαμηλή βλάστηση κοντά σε οδό Περσέως. Οριοθετήθηκε· παρέμειναν επίγειες δυνάμεις.</t>
  </si>
  <si>
    <t>2026-09-05</t>
  </si>
  <si>
    <t>17:45</t>
  </si>
  <si>
    <t>Άνω Περαία</t>
  </si>
  <si>
    <t>Θερμαϊκού</t>
  </si>
  <si>
    <t>1 ομάδα πεζοπόρου 2ης ΕΜΟΔΕ</t>
  </si>
  <si>
    <t>υδροφόρες Δήμου Θερμαϊκού</t>
  </si>
  <si>
    <t>112 ~17:50: προειδοποίηση ετοιμότητας ευρύτερης περιοχής Άνω Περαίας Θεσσαλονίκης – «παραμείνετε σε ετοιμότητα και ακολουθείτε οδηγίες Αρχών» | ναι | 112 17:50: ετοιμότητα κατοίκων Άνω Περαίας ΠΕ Θεσσαλονίκης — «Παραμείνετε σε ετοιμότητα και ακολουθείτε τις οδηγίες των Αρχών»</t>
  </si>
  <si>
    <t>https://www.newsit.gr/ellada/fotia-sti-thessaloniki-stin-ano-peraia-estali-112-sikothikan-1-aeroskafos-kai-2-elikoptera/4765662/ ; https://www.cnn.gr/ellada/story/550816/fotia-stin-ano-peraia-thessalonikis-ixise-to-112-gia-etoimotita ; https://www.rthess.gr/ellada/thessaloniki-pyrkagia-stin-ano-peraia-ichise-to-112/ ; https://www.enikos.gr/society/thessaloniki-fotia-se-agrotodasiki-ektasi-stin-ano-peraia-minyma-apo-to-112/2638734/ ; https://www.tanea.gr/2026/09/04/greece/fotia-se-agrotodasiki-ektasi-stin-ano-peraia-thessalonikis-minyma-tou-112 ; https://www.newsit.gr/ellada/oriothetithike-i-fotia-sti-thessaloniki-stin-ano-peraia-estali-112-sikothikan-1-aeroskafos-kai-2-elikoptera/4765662/ ; https://www.libre.gr/2026/09/04/fotia-stin-ano-peraia-thessalonikis-112-g/ ; https://www.emakedonia.gr/thessaloniki-oriothetithike-i-fotia-stin-peraia ; https://www.newsbomb.gr/ellada/story/1761079/thessaloniki-oriothetithike-i-fotia-stin-ano-peraia ; https://athina984.gr/2026/09/04/thessaloniki-pyrkagia-stin-ano-peraia-ichise-to-112/ ; https://www.protothema.gr/greece/article/1874108/fotia-stin-ano-peraia-thessalonikis-ihise-to-112-to-gia-etoimotita-3-enaeria-sti-mahi/</t>
  </si>
  <si>
    <t>Drone θερμικής κάμερας ΕΣΚΕΔΙΚ. Διάσπαρτες κατοικίες κοντά στην εστία. | Αγροτοδασική έκταση κοντά σε κατοικίες. | Ανακριτικό Κλιμάκιο Αντιμετώπισης Εγκλημάτων Εμπρησμού Θεσσαλονίκης κινητοποιήθηκε. 112 εστάλη στις 17:50 για ετοιμότητα κατοίκων.</t>
  </si>
  <si>
    <t>17:11</t>
  </si>
  <si>
    <t>Δίστομο Βοιωτίας</t>
  </si>
  <si>
    <t>Δίστομο-Αράχωβα-Αντίκυρα</t>
  </si>
  <si>
    <t>3 ομάδες πεζοπόρων 4ης ΕΜΟΔΕ</t>
  </si>
  <si>
    <t>https://www.firefightingreece.gr/2026/09/04/pyrkagia-se-chamili-vlastisi-sto-distomo-voiotias-epicheiroun-25-pyrosvestes-kai-4-enaeria-mesa/ ; https://www.cnn.gr/ellada/story/550802/fotia-se-xamili-vlastisi-sto-distomo-voiotias-epixeiroyn-kai-tessera-enaeria-mesa ; https://www.newsbomb.gr/ellada/story/1761050/pyrkagia-sto-distomo-voiotias-sikothikan-tessera-enaeria-mesa ; https://www.enikos.gr/society/voiotia-fotia-se-chamili-vlastisi-sto-distomo-sti-machi-kai-4-enaeria-mesa/2638712/ ; https://www.dikastiko.gr/eidhsh/veltiomeni-i-eikona-ton-pyrkagon-se-voiotia-kai-salamina/ ; https://www.flash.gr/fotia-sto-distomo-voiotias-megali-kinitopoiisi-tis-pyrosvestikis-1079838</t>
  </si>
  <si>
    <t>Χαμηλή βλάστηση. | Πυρκαγιά σε χαμηλή βλάστηση, απογευματινές ώρες. | Φωτιά σε χαμηλή βλάστηση, απόγευμα Παρασκευής. Ανακριτικό Κλιμάκιο Εμπρησμού Φθιώτιδας κινητοποιήθηκε.</t>
  </si>
  <si>
    <t>Γομάτι Χαλκιδικής</t>
  </si>
  <si>
    <t>Αριστοτέλη</t>
  </si>
  <si>
    <t>υδροφόρες Δήμου Αριστοτέλη</t>
  </si>
  <si>
    <t>υπό διερεύνηση (Ανακριτικό Κλιμάκιο Εμπρησμών Χαλκιδικής)</t>
  </si>
  <si>
    <t>https://www.thestival.gr/eidiseis/astynomika/chalkidiki-oriothetithike-i-fotia-poy-xe/ ; https://www.emakedonia.gr/chalkidiki-oriothetithike-i-pirkaghia-se-dysvati-dasiki-ektasi-sto-gomati ; https://www.skai.gr/news/greece/fotia-se-dasiki-ektasi-sto-gomati-xalkidikis ; https://www.tanea.gr/2026/09/04/greece/fotia-se-dasiki-ektasi-sto-gomati-xalkidikis ; https://www.enikos.gr/society/chalkidiki-fotia-se-dasiki-ektasi-sto-gomati-epicheirei-ki-ena-elikoptero/2638709/ ; https://new.cyprusnews.eu/skai-ellada/oriothetithike-i-fotia-se-dasiki-ektasi-sto-gomati-chalkidikis/</t>
  </si>
  <si>
    <t>Δυσπρόσιτη δασική έκταση. | Δύσβατη δασική έκταση. Οριοθέτηση ~18:00. Συνδρομή Δήμου Αριστοτέλη (υδροφόρες). | Δασική έκταση. Ελλιπή επιχειρησιακά στοιχεία. | Ανακριτικό Κλιμάκιο Εμπρησμού Χαλκιδικής ενεργοποιήθηκε για διερεύνηση αιτίων. | Δασική έκταση, νωρίς απόγευμα. | Δασική έκταση. Νωρίς απόγευμα Παρασκευής. Λεπτομέρειες δυνάμεων μη διαθέσιμες (πηγή 403).</t>
  </si>
  <si>
    <t>17:40</t>
  </si>
  <si>
    <t>Πενταγιοί Φωκίδας</t>
  </si>
  <si>
    <t>Φωκίδος</t>
  </si>
  <si>
    <t>Δωρίδος</t>
  </si>
  <si>
    <t>1 ομάδα πεζοπόρου 4ης ΕΜΟΔΕ</t>
  </si>
  <si>
    <t>υδροφόρες Δήμου Δωρίδος</t>
  </si>
  <si>
    <t>υπό διερεύνηση (Ανακριτικό Κλιμάκιο Εμπρησμού Φθιώτιδας)</t>
  </si>
  <si>
    <t>https://www.skai.gr/news/greece/fotia-se-dasiki-ektasi-stous-pentagious-fokidas ; https://www.eleftherostypos.gr/ellada/fotia-tora-sti-fokida-sikothikan-aeroskafos-kai-elikoptero ; https://www.lamiareport.gr/topika/topikanea/item/pyrkagia-sti-fokida-stin-perioxi-pentagioi-sikothike-1-elikoptero-kai-1-aeroskafos/ ; https://messolonghivoice.gr/fokida-dasiki-pyrkagia-stous-pentagious-sto-simeio-18-pyrosvestes-kai-dyo-enaeria-mesa ; https://www.newsit.gr/ellada/fotia-sti-fokida-stin-perioxi-pentagioi-sikothike-1-elikoptero-kai-1-aeroskafos/4765573/ ; https://www.tanea.gr/2026/09/04/greece/fokida-pyrkagia-se-dasiki-perioxi-konta-stous-pentagious ; https://www.enikos.gr/society/fokida-fotia-se-dasiki-ektasi-stous-pentagious-sti-machi-kai-enaeria-mesa/2638669/ ; https://www.libre.gr/2026/09/04/fotia-stous-pentagious-fokidas-sikoth/</t>
  </si>
  <si>
    <t>Δασική πυρκαγιά απογευματινές ώρες 04/09. Εκκίνηση έρευνας ΔΑΕΕ Φθιώτιδας. ΓΓΠΠ 04/09 Φωκίδος: κίτρινο (3).</t>
  </si>
  <si>
    <t>Θίνες Βαρθολομιού</t>
  </si>
  <si>
    <t>Πηνειού</t>
  </si>
  <si>
    <t>2 ομάδες πεζοπόρου 18ης ΕΜΟΔΕ</t>
  </si>
  <si>
    <t>υδροφόρες Δήμου Πηνειού</t>
  </si>
  <si>
    <t>112 15:03: προειδοποίηση ετοιμότητας για Θίνες Βαρθολομιού</t>
  </si>
  <si>
    <t>https://www.cnn.gr/ellada/story/550784/fotia-sto-vartholomio-ileias-epixeirei-kai-ena-elikoptero ; https://www.enikos.gr/society/ileia-fotia-se-agrotodasiki-ektasi-sto-vartholomio-ichise-to-112-gia-etoimotita/2628499/ ; https://www.ilialive.gr/epikaira/436536/vartholomio-ypo-elegxo-i-pyrkagia-konta-stis-thines-paramenoun-sto-simeio-oi-dynameis-pyrosvesis ; https://dete.gr/fotia-se-agrotodasiki-ektasi-stis-thines-vartholomiou/ ; https://www.patrisnews.com/fotia-se-agrotodasiki-ektasi-stis-thines-vartholomioy-megali-kinitopoiisi-tis-pyrosvestikis/</t>
  </si>
  <si>
    <t>Αγροτοδασική έκταση. Δυνάμεις παρέμειναν στο σημείο μετά τον έλεγχο.</t>
  </si>
  <si>
    <t>2026-09-04</t>
  </si>
  <si>
    <t>14:00</t>
  </si>
  <si>
    <t>Λεσίνι Ξηρομέρου</t>
  </si>
  <si>
    <t>Αιτωλοακαρνανίας</t>
  </si>
  <si>
    <t>Ξηρομέρου</t>
  </si>
  <si>
    <t>δημοτικά οχήματα Δήμου Ξηρομέρου</t>
  </si>
  <si>
    <t>https://www.newsit.gr/ellada/fotia-stin-aitoloakarnania-stin-perioxi-lesini-7-enaeria-epicheiroun-sto-pyrino-metopo/4765488/ ; https://www.in.gr/2026/09/04/greece/fotia-stin-aitoloakarnania-sikothikan-7-enaeria-mesa ; https://www.agriniosite.gr/synagermos-sto-lesini-megali-epicheirisi-tis-pyrosvestikis-gia-ti-fotia/ ; https://messolonghivoice.gr/aitoloakarnania-fotia-sto-lesini-xiromerou-megali-kinitopoiisi-tis-pyrosvestikis-me-7-enaeria-mesa ; https://www.enikos.gr/society/aitoloakarnania-fotia-se-chamili-vlastisi-sto-xiromero-epicheiroun-kai-7-enaeria-mesa/2638637/ ; https://www.naftemporiki.gr/society/2157165/fotia-tora-sto-xiromero-aitoloakarnanias-sti-machi-7-enaeria-mesa/ ; https://www.newsit.gr/ellada/fotia-stin-aitoloakarnania-stin-perioxi-lesini-7-enaeria-epixeiroun-sto-pyrino-metopo/4765488/ ; https://www.tanea.gr/2026/09/04/greece/fotia-sto-ksiromero-aitoloakarnanias-sikothikan-7-enaeria-mesa ; https://newpost.gr/eidiseis/lesini-aitoloakarnanias-pyrkagia-se-chamili-vlastisi-paramenoyn-ta-ochimata-sto-simeio/</t>
  </si>
  <si>
    <t>Χαμηλή βλάστηση. Δεν κινδύνευε κατοικημένη περιοχή. | ΕΣΚΕΔΙΚ παρακολουθεί με drone θερμικών/οπτικών καμερών. Κλιμάκιο Εμπρησμού ενεργοποιήθηκε. Χαμηλή βλάστηση.</t>
  </si>
  <si>
    <t>13:45</t>
  </si>
  <si>
    <t>Ασπρόχωμα</t>
  </si>
  <si>
    <t>υδροφόρες ΟΤΑ</t>
  </si>
  <si>
    <t>https://www.cnn.gr/ellada/story/550781/fotia-stin-perioxi-asproxoma-messinias-sikothike-ena-elikoptero ; https://www.enikos.gr/society/fotia-sto-asprochoma-messinias-sikothikan-kai-2-aeroskafi/2638644/ ; https://www.firefightingreece.gr/2026/09/04/pyrkagia-sto-asprochoma-messinias-epicheiroun-20-pyrosvestes-kai-1-elikoptero/ ; https://www.parapolitika.gr/ellada/article/1786140/fotia-sti-messinia-stin-periohi-asprohoma-ishures-dunameis-sto-simeio-sti-mahi-kai-enaeria-mesa ; https://www.dnews.gr/eidhseis/ellada/608303/fotia-sto-asproxoma-messinias</t>
  </si>
  <si>
    <t>Αγροτοδασική έκταση. 2 αεροσκάφη ενισχύθηκαν σε μεταγενέστερη φάση.</t>
  </si>
  <si>
    <t>12:30</t>
  </si>
  <si>
    <t>Αργιθέα Παιανίας</t>
  </si>
  <si>
    <t>Παιανίας</t>
  </si>
  <si>
    <t>2 ομάδες πεζοπόρου 1ης ΕΜΟΔΕ</t>
  </si>
  <si>
    <t>υδροφόρες Δήμου Παιανίας</t>
  </si>
  <si>
    <t>112 12:13: μήνυμα ετοιμότητας για Αργιθέα Παιανίας | 12:13 ετοιμότητα ευρύτερης περιοχής Αργιθέας Παιανίας | 112 12:13: ενημέρωση κατοίκων περιοχής Αργιθέα Παιανίας | 112 12:13: ετοιμότητα κατοίκων ευρύτερης περιοχής — να παραμείνουν σε ετοιμότητα και να ακολουθούν οδηγίες αρχών</t>
  </si>
  <si>
    <t>https://www.ertnews.gr/eidiseis/paiania-oriothetithike-i-pyrkagia-stin-argithea-paianias/ ; https://www.newsit.gr/ellada/fotia-stin-argithea-paianias-oriothetithike-mesa-se-30-lepta-stalthike-minyma-tou-112-gia-etoimotita/4765357/ ; https://www.newsbomb.gr/ellada/story/1761020/paiania-mesa-se-30-lepta-oriothetithike-i-fotia-provlimatizoun-ta-syxna-peristatika ; https://pelop.gr/fotia-stin-paiania-ichise-to-112-sti-machi-74-pyrosvestes-kai-5-enaeria-mesa/ ; https://www.in.gr/2026/09/04/greece/fotia-stin-paiania-minyma-apo-to-112-stous-katoikous-gia-etoimotita ; https://www.athensvoice.gr/epikairotita/ellada/983651/fotia-tora-stin-argithea-paianias-minuma-tou-112-stous-katoikous/</t>
  </si>
  <si>
    <t>Οριοθέτηση εντός 30 λεπτών. Drone θερμικής κάμερας ΕΣΚΕΔΙΚ. Κυκλοφοριακές ρυθμίσεις που άρθηκαν αργότερα. | Οριοθετήθηκε σε ~30 λεπτά. Κλιμάκιο Εμπρησμού Ανατολικής Αττικής ενεργοποιήθηκε. Χαμηλή βλάστηση. | Χαμηλή βλάστηση. Οριοθετήθηκε εντός ~30 λεπτών. Παρακολούθηση με drone (θερμικές &amp; οπτικές κάμερες). Ανακριτικό Κλιμάκιο Εμπρησμού Ανατολικής Αττικής ενεργοποιήθηκε. | Οριοθετήθηκε σε ~30 λεπτά μετά ταχεία επέμβαση εναέριων μέσων. Η control_time είναι εκτιμώμενη (~+30′).</t>
  </si>
  <si>
    <t>10:00</t>
  </si>
  <si>
    <t>Ξηροπήγαδο Μάνδρας</t>
  </si>
  <si>
    <t>Μάνδρα-Ειδυλλία</t>
  </si>
  <si>
    <t>1 ομάδα πεζοπόρων (1η ΕΜΟΔΕ)</t>
  </si>
  <si>
    <t>υδροφόρες Δήμου Μάνδρας-Ειδυλλίας &amp; Δήμου Ασπροπύργου, μηχανήματα Περιφέρειας Δυτ. Αττικής</t>
  </si>
  <si>
    <t>ξερά χόρτα και απορρίμματα</t>
  </si>
  <si>
    <t>112 ~10:30 (4 Σεπτ): προειδοποίηση για πυκνούς καπνούς — παραμονή εντός κτηρίου με κλειστές πόρτες/παράθυρα (τύπος: ετοιμότητα, όχι εκκένωση) | ναι</t>
  </si>
  <si>
    <t>https://www.ertnews.gr/eidiseis/mandra-enisxythikan-oi-dynameis-stin-pyrkagia-sto-ksiropigado-minyma-apo-to-112/ ; https://www.tovima.gr/2026/09/04/society/fotia-tora-sti-mandra-minyma-apo-to-112-isxyres-dynameis-sto-ksiropigado ; https://www.naftemporiki.gr/society/2157012/fotia-tora-sti-mandra-kinitopoiisi-tis-pyrosvestikis/ ; https://www.flash.gr/fotia-tora-sto-xiropigado-mandras-pyknoi-mayroi-kapnoi-stin-periochi-ichise-to-112-1079746 ; https://www.tanea.gr/2026/09/04/greece/mandra-fotia-stin-perioxi-ksiropigado-kaigontai-ksera-xorta-kai-aporrimmata/ ; https://www.newsit.gr/ellada/fotia-stin-mandra-kaiei-skoupidia-sto-ksiropigado-minyma-tou-112-gia-etoimotita-kai-gia-pyknous-kapnous-enisxythikan-oi-dynameis/4765283/ ; https://www.ertnews.gr/eidiseis/mandra-ypo-elegxo-i-pyrkagia-sto-ksiropigado/</t>
  </si>
  <si>
    <t>Κυκλοφοριακές ρυθμίσεις στην είσοδο οικισμού από Παλ. Εθν. Οδό Αθηνών-Κορίνθου. Κινητοποίηση ανακριτικής ομάδας εμπρησμού Δυτ. Αττικής.</t>
  </si>
  <si>
    <t>Βλάχα Πιερίας</t>
  </si>
  <si>
    <t>Πιερίας</t>
  </si>
  <si>
    <t>Κατερίνης</t>
  </si>
  <si>
    <t>https://www.firefightingreece.gr/2026/09/04/pyrkagia-se-chamili-vlastisi-stin-periochi-vlacha-pieria/ ; https://odelalis.gr/pieria-fotia-sti-vlacha-kindynepse-fotovoltaiko-parko-vid/</t>
  </si>
  <si>
    <t>2 στύλοι ΔΕΔΔΗΕ κατέπεσαν, κινδύνεψε φωτοβολταϊκό πάρκο. | Κινδύνεψε φωτοβολταϊκό πάρκο στην περιοχή.</t>
  </si>
  <si>
    <t>Θεσπρωτικό</t>
  </si>
  <si>
    <t>Πρέβεζας</t>
  </si>
  <si>
    <t>Δήμος Ζηρού</t>
  </si>
  <si>
    <t>https://www.alt.gr/foties-se-exelixi-se-fokida-messinia-k/ ; https://www.skai.gr/news/greece/preveza-fotia-se-agrotodasiki-ektasi-sto-thesprotiko ; https://www.enikos.gr/society/preveza-enischythikan-oi-dynameis-gia-tin-fotia-sto-thesprotiko/2638730/ ; https://www.iefimerida.gr/ellada/fotia-thesprotiko-prebezas-tessera-enaeria-mesa ; https://www.in.gr/2026/09/04/greece/fotia-sto-thesprotiko-prevezis-epixeiroun-5-enaeria-mesa ; https://www.newsbomb.gr/ellada/story/1761032/preveza-fotia-sto-thesprotiko-tou-dimou-ziroy-sikothikan-tessera-enaeria ; https://pelop.gr/megali-fotia-stin-preveza-epicheiroun-tria-aeroskafi-dyo-elikoptera-48-pyrosvestes-kai-16-ochimata/ ; https://www.npress.gr/greece/fotia-sto-thesprotiko-prevezas-enischythikan-oi-pyrosvestikes-dynameis-epicheiroun-5-enaeria-mesa/</t>
  </si>
  <si>
    <t>Περιορισμένη πληροφόρηση. Αναφορά ~16:50. Εναέρια μέσα κινητοποιήθηκαν.</t>
  </si>
  <si>
    <t>Πενταγιοί</t>
  </si>
  <si>
    <t>Στερεάς Ελλάδας</t>
  </si>
  <si>
    <t>Φωκίδας</t>
  </si>
  <si>
    <t>1 ομάδα πεζοπόρων 4ης ΕΜΟΔΕ</t>
  </si>
  <si>
    <t>https://www.enikos.gr/society/fokida-fotia-se-dasiki-ektasi-stous-pentagious-sti-machi-kai-enaeria-mesa/2638669/ ; https://www.newsit.gr/ellada/fotia-sti-fokida-stin-perioxi-pentagioi-sikothike-1-elikoptero-kai-1-aeroskafos/4765573/ ; https://www.cnn.gr/ellada/story/550786/fotia-se-dasiki-ektasi-sti-fokida-sikothikan-dyo-enaeria-mesa ; https://www.lamiareport.gr/topika/topikanea/item/pyrkagia-sti-fokida-stin-perioxi-pentagioi-sikothike-1-elikoptero-kai-1-aeroskafos/</t>
  </si>
  <si>
    <t>Δασική έκταση, μεσημέρι 4/9.</t>
  </si>
  <si>
    <t>08:29</t>
  </si>
  <si>
    <t>Συνέτι Άνδρου</t>
  </si>
  <si>
    <t>Ανδρου</t>
  </si>
  <si>
    <t>Άνδρου</t>
  </si>
  <si>
    <t>εθελοντές, υδροφόρες Δήμου Άνδρου, ιδιώτες</t>
  </si>
  <si>
    <t>υδροφόρες τοπικής αρχής</t>
  </si>
  <si>
    <t>υπό διερεύνηση (Ανακριτικό Κλιμάκιο Εμπρησμών Κυκλάδων)</t>
  </si>
  <si>
    <t>https://www.tanea.gr/2026/09/03/greece/fotia-stin-andro-sti-maxi-kai-dyo-elikoptera ; https://www.tovima.gr/2026/09/03/society/fotia-sti-florina-olonyxtia-maxi-ekkenosi-meso-112-metopo-kai-stin-andro ; https://www.ertnews.gr/eidiseis/pyrkagia-sto-syneti-androu-epixeiroun-pyrosvestes-kai-enaeria-mesa/ ; https://www.skai.gr/news/greece/fotia-sto-syneti-tis-androu-sikothikan-dyo-elikoptera ; https://www.newsbomb.gr/ellada/story/1760679/andros-oriothetithike-i-fotia-sto-syneti ; https://cyclades24.gr/2026/09/pyrkagia-stin-periochi-synetiou-androu-amesi-kinitopoiisi-kai-apotelesmatiki-antimetopisi-foto/ ; https://cretaone.gr/andros-oriothetithike-i-pyrkagia/</t>
  </si>
  <si>
    <t>Χαμηλή βλάστηση. Danger level 4 βάσει χάρτη ΓΓΠΠ 3/9 (Κυκλάδες-Αιγαίο πορτοκαλί) και ΜΜΕ (Red Code Αιγαίο). | Χαμηλή βλάστηση, ελαιώνες ανατολικά Συνετίου. Γρήγορος έλεγχος. | χαμηλή βλάστηση – ελαιώνες</t>
  </si>
  <si>
    <t>Αχινός Στυλίδας</t>
  </si>
  <si>
    <t>Φθιώτιδας</t>
  </si>
  <si>
    <t>Στυλίδας</t>
  </si>
  <si>
    <t>https://www.newsit.gr/ellada/fotia-sti-fthiotida-stin-perioxi-axinos-epixeiroun-enaeria-mesa/4764714/ ; https://www.tanea.gr/2026/09/03/greece/fotia-se-ekseliksi-ston-axino-stylidas-sti-fthiotida-sikothikan-4-enaeria-mesa ; https://www.thetoc.gr/koinwnia/article/fotia-tora-sti-fthiotida-epixeiroun-enaeria-mesa-stin-perioxi-axinos/</t>
  </si>
  <si>
    <t>Δασιά Κέρκυρας</t>
  </si>
  <si>
    <t>Ιόνια Νησιά</t>
  </si>
  <si>
    <t>Κέρκυρας</t>
  </si>
  <si>
    <t>Κλιμάκιο ΕΜΟΔΕ</t>
  </si>
  <si>
    <t>https://corfutvnews.gr/kerkyra-fotia-stin-dasia-oriothetithike-amesa/ ; https://www.news.gr/ellada/article/4205744/oriothetithike-i-fotia-sti-dasia-kerkiras.html ; https://www.pireasnews.gr/oriothetithike-i-fotia-sti-dasia-kerkyras/</t>
  </si>
  <si>
    <t>Πυρκαγιά μεσημέρι 3/9 σε παραλιακή-δασική περιοχή Δασιάς. Οριοθετήθηκε αμέσως. Δεν ήταν δυνατή πλήρης ανάκτηση άρθρου (HTTP 403). | Εκδηλώθηκε λίγο πριν τις 14:00, οριοθετήθηκε άμεσα. Καμένη έκταση ~1 στρέμμα (0.1 ha) — εμφανίστηκε μόνο σε snippet μηχανής αναζήτησης, χαμηλή εμπιστοσύνη. Κέρκυρα σε κατηγορία κινδύνου 4 (Πολύ Υψηλός).</t>
  </si>
  <si>
    <t>Ασπρόπυργος Αττικής (Λάκκα Κάτσαρη)</t>
  </si>
  <si>
    <t>Ασπρόπυργος</t>
  </si>
  <si>
    <t>υπό διερεύνηση (Ανακριτικό Κλιμάκιο Αντιμετώπισης Εγκλημάτων Εμπρησμού Δυτικής Αττικής)</t>
  </si>
  <si>
    <t>https://www.tanea.gr/2026/09/02/greece/fotia-se-xamili-vlastisi-konta-ston-proastiako-ston-aspropyrgo ; https://www.tanea.gr/2026/09/02/greece/esvise-i-fotia-ston-aspropyrgo ; https://www.newsbeast.gr/greece/arthro/13329896/katasvestike-i-pyrkagia-ston-aspropyrgo-epicheirisan-12-pyrosvestes ; https://www.naftemporiki.gr/society/2143853/fotia-tora-ston-aspropyrgo-kaiei-konta-se-katoikies/ ; https://www.liberal.gr/ellada/pyrkagia-sti-thesi-lakka-katsari-ston-aspropyrgo-attikis ; https://www.ertnews.gr/eidiseis/ellada/aspropyrgos-pyrkagia-stin-perioxi-lakka-katsari-epi-topou-i-pyrosvestiki/</t>
  </si>
  <si>
    <t>Πυρκαγιά σε χαμηλή βλάστηση κοντά στον Προαστιακό σιδηρόδρομο. Κατασβέστηκε σύντομα. Χάρτης ΓΓΠΠ 02/09: Αττική κίτρινο = κατηγορία 3. | Θέση: Λάκκα Κάτσαρη, πλησίον γραμμών Προαστιακού. Κατεσβέσθη χωρίς σημαντική εξάπλωση. | Χαμηλή βλάστηση κοντά σε γραμμές Προαστιακού. Αρχικά 12 πυροσβέστες, 4 οχήματα· τελικά 38 πυροσβέστες, 14 οχήματα. Κινητοποίηση Ομάδας Διερεύνησης Εμπρησμών Δυτικής Αττικής. Αναφορά και για δεύτερο μέτωπο στον Ασπρόπυργο (ξερά χόρτα). | Χαμηλή βλάστηση, τοποθεσία Λάκκα Κατσαρής. Γρήγορη κατάσβεση. | Διεκόπη σιδηροδρομική κυκλοφορία τμήματος Νέα Πέραμος–Άνω Λιόσια στις 21:40 και ηλεκτροδότηση τμήματος Λουτρόπυργος–Άνω Λιόσια. Παρακολούθηση ΕΣΚΕΔΙΚ με drone (θερμική/οπτική κάμερα).</t>
  </si>
  <si>
    <t>21:00</t>
  </si>
  <si>
    <t>Σπαθόβουνι Κορινθίας</t>
  </si>
  <si>
    <t>Κορινθίας</t>
  </si>
  <si>
    <t>Κορινθίων</t>
  </si>
  <si>
    <t>1 ομάδα πεζοπορίας (9η ΕΜΟΔΕ)</t>
  </si>
  <si>
    <t>πυρκαγιά σε αγροτική έκταση (ελαιώνας)</t>
  </si>
  <si>
    <t>https://www.iapogevmatini.gr/ellada/281352/pyrkagies-se-korinthia-kai-florina-minyma-toy-112-stin-krystallopigi/ ; https://www.pentapostagma.gr/ethnika-themata/esoteriki-asfaleia/7387891_ypo-elegho-i-pyrkagia-sto-spathoboyni-korinthias ; https://www.skai.gr/news/greece/korinthia-fotia-sto-spathovouni ; https://www.documentonews.gr/article/fotia-tora-sto-spathovouni-korinthias-megali-kinitopoiisi-tis-pyrosvestikis/ ; https://www.protothema.gr/greece/article/1873116/fotia-tora-sto-spathovouni-korinthias-kinitopoiisi-tis-purosvestikis/ ; https://toedolio5.gr/2026/09/02/korinthia-fotia-sto-spathovouni-epicheiroun-19-pyrosvestes-me-exi-ochimata/ ; https://newpost.gr/eidiseis/korinthia-nychterini-machi-me-tis-floges-sto-spathovoyni-sto-simeio-i-9i-emode/ ; https://www.naftemporiki.gr/society/2156429/ypo-elegcho-i-pyrkagia-sto-spathovoyni-korinthias/</t>
  </si>
  <si>
    <t>Φωτιά σε ελαιώνα (αγροτική έκταση Καλεντζίου Κορινθίας). Drone εποπτείας ESKEDDIK με θερμική/οπτική κάμερα. Νυχτερινή μάχη με τις φλόγες. | Αγροτοδασική έκταση. Εκδηλώθηκε βράδυ 2/9. Δεν εντοπίστηκε σήμα 112. | Νυχτερινή επιχείρηση χωρίς εναέρια μέσα λόγω σκότους. | Αγροτοδασική έκταση / ελαιώνας Καλεντζίου. Drone ΕΣΚΕΔΙΑ (θερμικές+οπτικές). Αρχικές δυνάμεις 19 πυροσβέστες, 6 οχήματα — κλιμακώθηκαν σε 29 και 10. Καμένη έκταση δεν επιβεβαιώθηκε. | Νυχτερινή επιχείρηση. Δεν εστάλη 112. Αγροτοδασική έκταση. | Ενεργό μέτωπο βράδυ 2/9. Δεν εντοπίστηκε 112 για Σπαθόβουνι. | Αγροτοδασική έκταση. Drone ΕΣΚΕΔΙΚ με θερμική κάμερα στο πεδίο. Danger level κατ. 3 επιβεβαιωμένο από πηγή. | Αγροτοδασική έκταση. Βράδυ 02/09. Danger level βάσει χάρτη 02/09 (Κορινθία = κίτρινο).</t>
  </si>
  <si>
    <t>Κρυσταλλοπηγή Φλώρινας</t>
  </si>
  <si>
    <t>Δυτική Μακεδονία</t>
  </si>
  <si>
    <t>Φλώρινας</t>
  </si>
  <si>
    <t>Πρεσπών</t>
  </si>
  <si>
    <t>2 ομάδες πεζοπόρων (8η ΕΜΟΔΕ)</t>
  </si>
  <si>
    <t>υδροφόρες και μηχανήματα έργου Δήμου Πρεσπών και Περιφέρειας Δυτικής Μακεδονίας</t>
  </si>
  <si>
    <t>112 21:15 (2/9): ενημέρωση κατοίκων Κρυσταλλοπηγής λόγω πυρκαγιάς· 112 02:50 (3/9): προληπτική εκκένωση ευρύτερης περιοχής Κρυσταλλοπηγής — απομάκρυνση προς Πρέσπες μέσω παλαιών οδικών δικτύων ή Εγνατίας Οδού | 1ο σήμα 21:15 (2/9): ετοιμότητα κατοίκων ευρύτερης περιοχής Κρυσταλλοπηγής· 2ο σήμα 02:50 (3/9): προληπτική εκκένωση οικισμού Κρυσταλλοπηγής προς Πρέσπες μέσω παλαιού οδικού δικτύου ή Εγνατίας Οδού | 112 21:15 (2 Σεπτ): ειδοποίηση κατοίκων Κρυσταλλοπηγής· 112 02:50 (3 Σεπτ): εντολή προληπτικής εκκένωσης οικισμού Κρυσταλλοπηγής προς Πρέσπες μέσω Παλαιού Οδικού Δικτύου ή Εγνατίας Οδού | 112 02:50 (03/09): προληπτική εκκένωση οικισμού Κρυσταλλοπηγής προς Πρέσπες (παλαιό οδικό δίκτυο ή Εγνατία Οδός) | 02:50 03/09/2026 — εκκένωση Κρυσταλλοπηγής (ανακλήθηκε αργότερα) | 112 02:50 (3/9): προληπτική εκκένωση Κρυσταλλοπηγής προς Πρέσπα μέσω παλιών οδικών δικτύων ή Εγνατίας· 2/9 βράδυ: ετοιμότητα κατοίκων | 112 (νύχτα 02→03/09, ~02:50): δύο μηνύματα — εκκένωση κατοίκων προς Πρέσπες (Παλαιό Οδικό Δίκτυο ή Εγνατία) και εκκένωση οικισμού Κρυσταλλοπηγής | 112 02:50 03/09: προληπτική εκκένωση Κρυσταλλοπηγής· κατεύθυνση Πρέσπες (Παλαιό Οδ. Δίκτυο ή Εγνατία)· κάτοικοι επέστρεψαν πρωί 03/09 μετά βελτίωση εικόνας | 112 βράδυ 02/09: ετοιμότητα κατοίκων Κρυσταλλοπηγής· 112 02:50 03/09: εκκένωση Κρυσταλλοπηγής προς Πρέσπες μέσω παλαιού οδικού δικτύου ή Εγνατίας</t>
  </si>
  <si>
    <t>https://www.ertnews.gr/eidiseis/diethni/pyrkagia-stin-krystallopigi-enisxythikan-oi-pyrosvestikes-dynameis-ixise-to-112/ ; https://www.newsit.gr/ellada/fotia-sti-florina-olonyxtia-i-maxi-me-tis-floges-enisxythikan-oi-dynameis-ekkenothike-i-krystallopigi/4764315/ ; https://www.tanea.gr/2026/09/03/greece/fotia-sti-florina-olonyxtia-i-maxi-me-tis-floges-enisxythikan-oi-dynameis-112-gia-ekkenosi-tis-krystallopigis ; https://www.vradini.gr/ellada/nyxta-agonias-sti-florina-megali-dasiki-fotia-stin-krystallopigi-ekkenosi-pros-prespes/1661118/ ; https://newpost.gr/eidiseis/florina-olonychtia-machi-me-tis-floges-stin-krystallopigi-minyma-toy-112-gia-apomakrynsi/ ; https://katohika.gr/ellada/florina-nychterini-ekkenosi-tis-krystallopigis-logo-dasikis-pyrkagias/ ; https://www.iapogevmatini.gr/ellada/281352/pyrkagies-se-korinthia-kai-florina-minyma-toy-112-stin-krystallopigi/ ; https://www.ertnews.gr/roi-idiseon/florina-mainetai-i-fotia-stin-krystallopigi-apeilisan-spitia-oi-floges/ ; https://www.tovima.gr/2026/09/03/society/fotia-sti-florina-olonyxtia-maxi-ekkenosi-meso-112-metopo-kai-stin-andro ; https://www.ertnews.gr/eidiseis/pyrkagia-stin-krystallopigi-enisxythikan-oi-pyrosvestikes-dynameis-ixise-to-112/ ; https://www.naftemporiki.gr/society/2156459/florina-enischythikan-oi-dynameis-stin-krystallopigi-proliptiki-apomakrynsi-katoikon-me-112/ ; https://www.iefimerida.gr/ellada/fotia-florina-112-ekkenosi-krystallopigi-ximeromata ; https://www.formedia.gr/2026/09/03/fotia-sti-florina-enischythikan-oi-dynameis-stin-krystallopigi-ichise-112-gia-ekkenosi/ ; https://neaflorina.gr/2026/09/ypo-meriko-elegcho-i-fotia-stin-krystallopigi/ ; https://www.enikos.gr/society/florina-mainetai-i-fotia-se-dasiki-ektasi-stin-krystallopigi-enischythikan-oi-pyrosvestikes-dynameis/2637980/ ; https://www.pentapostagma.gr/ethnika-themata/esoteriki-asfaleia/7387900_florina-olonyhtia-mahi-me-tis-floges-ekkenothike-i ; https://www.emakedonia.gr/krystallopigi-florinas-olonychtia-machi-me-tis-floges-sto-simeio-42-pyrosvestes-kai-ena-elikoptero-824154 ; https://www.ertnews.gr/perifereiakoi-stathmoi/florina/veltiomeni-i-eikona-tis-pyrkagias-stin-krystallopigi-florinas/ ; https://www.documentonews.gr/article/fotia-sti-florina-112-ta-ximeromata-gia-tin-krystallopigi-olonychtia-machi-me-tis-floges/ ; https://newpost.gr/eidiseis/florina-pyrkagia-se-dasiki-ektasi-stin-krystallopigi-prespon-sti-machi-kai-enaeria-mesa/ ; https://www.eleftherostypos.gr/ellada/mainetai-i-fotia-sti-florina-enischythikan-oi-dynameis-stin-krystallopigi-ichisan-dyo-minymata-apo-to-112 ; https://www.athensvoice.gr/epikairotita/ellada/983395/sunehizetai-i-mahi-me-ti-fotia-se-dasiki-ektasi-sti-florina/ ; https://www.real.gr/koinonia/arthro/mainetai-i-fotia-stin-krystallopigi-florinas-enischythikan-oi-pyrosvestikes-dynameis-ichise-to-112-912777/ ; https://www.libre.gr/2026/09/03/florina-synechizetai-i-machi-me-ti-fotia/ ; https://www.thestival.gr/eidiseis/astynomika/synechizetai-i-machi-me-ti-fotia-sti-flor/</t>
  </si>
  <si>
    <t>Πυρκαγιά ξέσπασε απόγευμα Τετάρτης 2/9 σε ορεινή-δύσβατη περιοχή. Ολονύχτια μάχη με τις φλόγες. Εκκενώθηκε η Κρυσταλλοπηγή τα ξημερώματα 3/9. Χάρτης ΓΓΠΠ 02/09: Φλώρινα μπλε = κατηγορία 2. Χάρτης 03/09: Φλώρινα κίτρινο = κατηγορία 3. | Δύσβατη, δυσπρόσιτη περιοχή. 2 αεροσκάφη διακόπηκαν στο σκοτάδι· 1 ελικόπτερο συνέχισε αξημέρωτα. Νυχτερινή εκκένωση μέσω 112. Ακόμα σε εξέλιξη πρωί 3/9. | Έναρξη απόγευμα 2 Σεπτ· ολονύχτια μάχη· ελικόπτερο επιχείρησε από χαράματα 3 Σεπτ. Δύσκολο/δυσπρόσιτο δασικό έδαφος. Φλόγες απείλησαν κατοικίες. Κατάσταση 'σε εξέλιξη' βάσει αναφοράς 10:06 3 Σεπτ. | Εξαιρετικά δυσπρόσιτο σημείο. 2 αεροσκάφη σταμάτησαν στο ηλιοβασίλεμα 02/09 — 1 ελικόπτερο ξεκίνησε τα ξημερώματα 03/09. Ολονύχτια επίγεια επιχείρηση. | Μερικός έλεγχος τα ξημερώματα 03/09. Η πυρκαγιά περιορίστηκε στο βουνό, μακριά από οικισμούς. Εναέρια διακόπηκαν τη νύχτα, επαναλειτούργησαν τα ξημερώματα. Αρχικές δυνάμεις: 20 πυροσβέστες, 1 ομάδα ΕΜΟΔΕ, 6 οχήματα, 2 αεροσκάφη. Καμένη έκταση δεν επιβεβαιώθηκε. | Νυχτερινή εκκένωση. Εναέρια διακόπηκαν στο ηλιοβασίλεμα 2/9, επανεκκίνηση αυγή 3/9. Απείλησε κατοικίες. Δύσβατο έδαφος. | Εναέρια υποστήριξη διακόπηκε στο ηλιοβασίλεμα 02/09. Ολονύχτια μάχη. Δυνάμεις ενισχύθηκαν 03/09. Ελικόπτερα εκτελούσαν αποστολές (tovima.gr). | Φλόγες πλησίασαν 250μ από πρώτα σπίτια. Εναέρια (3 Air Tractors) διακόπηκαν στο ηλιοβασίλεμα. Δύσβατη δασική έκταση. | Πυρκαγιά ξεκίνησε απόγευμα 02/09 σε δασική έκταση δύσβατης θέσης. Εναέρια διακόπηκαν στο ηλιοβασίλεμα. Νυχτερινή εκκένωση 02:50 03/09 — δυνάμεις 42 πυροσβέστες/13 οχήματα αφορούν 03/09. Οι φλόγες απείλησαν σπίτια. Danger level βάσει χάρτη 02/09 (Φλώρινα = μπλε).</t>
  </si>
  <si>
    <t>Φλωρίνης</t>
  </si>
  <si>
    <t>Δήμος Πρεσπών</t>
  </si>
  <si>
    <t>2 ομάδες πεζοπόρων 8ης ΕΜΟΔΕ</t>
  </si>
  <si>
    <t>Δήμος Φλώρινας, Περιφέρεια Δυτικής Μακεδονίας (βυτιοφόρα, μηχανήματα)</t>
  </si>
  <si>
    <t>112 21:15 (02/09): ειδοποίηση κατοίκων· 112 02:50 (03/09): προληπτική εκκένωση Κρυσταλλοπηγής → Πρέσπες μέσω παλιού οδικού δικτύου ή Εγνατίας Οδού | 22:10 2/9: 112 ετοιμότητα Κρυσταλλοπηγής· 02:50 3/9: εκκένωση Κρυσταλλοπηγής προς Πρέσπες μέσω παλαιού οδικού δικτύου ή Εγνατίας Οδού | 2/9 βράδυ: 112 ετοιμότητα Κρυσταλλοπηγής («Παραμείνετε σε ετοιμότητα και ακολουθείτε τις οδηγίες των Αρχών»)· 3/9 πρωί: 112 εκκένωση Κρυσταλλοπηγής προς Πρέσπες μέσω παλιού οδικού δικτύου ή Εγνατίας</t>
  </si>
  <si>
    <t>https://www.ertnews.gr/eidiseis/diethni/pyrkagia-stin-krystallopigi-enisxythikan-oi-pyrosvestikes-dynameis-ixise-to-112/ ; https://www.ertnews.gr/roi-idiseon/florina-mainetai-i-fotia-stin-krystallopigi-minyma-apo-to-112-gia-apomakrynsi-ton-katoikon-pros-prespes/ ; https://www.tanea.gr/2026/09/03/greece/fotia-sti-florina-olonyxtia-i-maxi-me-tis-floges-enisxythikan-oi-dynameis-112-gia-ekkenosi-tis-krystallopigis ; https://www.documentonews.gr/article/fotia-sti-florina-112-ta-ximeromata-gia-tin-krystallopigi-olonychtia-machi-me-tis-floges/ ; https://www.newsit.gr/ellada/fotia-sti-florina-olonyxtia-i-maxi-me-tis-floges-enisxythikan-oi-dynameis-ekkenothike-i-krystallopigi/4764315/ ; https://www.pentapostagma.gr/ethnika-themata/esoteriki-asfaleia/7387900_florina-olonyhtia-mahi-me-tis-floges-ekkenothike-i ; https://katohika.gr/ellada/florina-nychterini-ekkenosi-tis-krystallopigis-logo-dasikis-pyrkagias/ ; https://www.iapogevmatini.gr/ellada/281352/pyrkagies-se-korinthia-kai-florina-minyma-toy-112-stin-krystallopigi/ ; https://www.eleftherostypos.gr/ellada/fotia-sti-florina-olonychtia-machi-me-tis-floges-ichise-to-112-gia-ekkenosi-tis-krystallopigis ; https://ecozen.gr/2026/09/fotia-stin-krystallopigi-enischyontai-oi-pyrosvestikes-dynameis/ ; https://fouit.gr/2026/09/02/krystallopigi-minyma-apo-to-112-gia-tin-pyrkagia/ ; https://www.real.gr/koinonia/arthro/florina-minyma-tou-112-gia-dasiki-pyrkagia-stin-krystallopigi-912712/ ; https://www.ertnews.gr/roi-idiseon/florina-mainetai-i-fotia-stin-krystallopigi-apeilisan-spitia-oi-floges/</t>
  </si>
  <si>
    <t>Δυσπρόσιτη/δύσβατη θέση — δυσχέρεια επίγειων επιχειρήσεων. Ολονύχτια μάχη. Εκκενώθηκε ο οικισμός Κρυσταλλοπηγής. Πυρκαγιά συνεχίστηκε έως τουλάχιστον 03/09. Δυνάμεις ενισχύθηκαν κατά τη διάρκεια της νύχτας. | Αρχικά 2/9 απόγευμα: 20 πυροσβέστες, 6 οχήματα, 2 αεροσκάφη (διακόπηκαν στο ηλιοβασίλεμα). Ενίσχυση 3/9: 42 πυροσβέστες, 13 οχήματα, 1 ελικόπτερο (ρίψεις νερού από χαραυγή). Νυχτερινή εκκένωση 3/9 πρωί. | Δύσβατο/δυσπρόσιτο σημείο· γρήγορη επέκταση. Φλόγες απείλησαν σπίτια. Αρχικά 20 π/6 οχήματα· ενισχύθηκε. Εναέρια διακόπηκαν στο ηλιοβασίλεμα 2/9, 1 ελικόπτερο από αυγή 3/9. danger_level=2 αφορά 2/9· στις 3/9 Φλώρινα ήταν κατ. 3 (ΥΨΗΛΗ).</t>
  </si>
  <si>
    <t>15:40</t>
  </si>
  <si>
    <t>Παιανία</t>
  </si>
  <si>
    <t>Περιφέρεια Αττικής</t>
  </si>
  <si>
    <t>Δήμος Παιανίας</t>
  </si>
  <si>
    <t>1 ομάδα πεζοπόρου 1ης ΕΜΟΔΕ</t>
  </si>
  <si>
    <t>https://www.tanea.gr/2026/09/02/greece/paiania-fotia-se-xamili-vlastisi-konta-stin-attiki-odo/ ; https://www.tanea.gr/2026/09/02/greece/oriothetithike-i-fotia-stin-paiania ; https://www.skai.gr/news/greece/fotia-stin-paiania-2 ; https://www.ertnews.gr/eidiseis/ypo-elegxo-i-pyrkagia-stin-paiania/ ; https://www.eleftherostypos.gr/ellada/fotia-tora-stin-paiania-synagermos-sto-archontiko-sti-machi-32-pyrosvestes-kai-elikoptera ; https://www.naftemporiki.gr/society/2156202/paiania-fotia-tora-konta-stin-attiki-odo/ ; https://www.koutipandoras.gr/article/fotia-tora-stin-paiania-konta-stin-attiki-odo-kaiei-kalliergeies-kai-fotovoltaika/</t>
  </si>
  <si>
    <t>Χαμηλή βλάστηση κοντά στην Αττική Οδό (Αρχοντικό). Γρήγορη οριοθέτηση. | Ανακριτικό Κλιμάκιο Αντιμετώπισης Εγκλημάτων Εμπρησμού Ανατολικής Αττικής κινητοποιήθηκε. Κάηκαν καλλιέργειες, αμπέλια, ελιές και χώρος με φωτοβολταϊκά. Εντοπίσθηκε από πυροφύλακα.</t>
  </si>
  <si>
    <t>13:50</t>
  </si>
  <si>
    <t>Μύτικας Θήβας</t>
  </si>
  <si>
    <t>Δήμος Θηβαίων</t>
  </si>
  <si>
    <t>4 ομάδες πεζοπόρων (1η &amp; 4η ΕΜΟΔΕ)</t>
  </si>
  <si>
    <t>Δήμος Θηβαίων, Περιφέρεια Στερεάς Ελλάδας (βυτιοφόρα, μηχανήματα ΓΓΑΕ)</t>
  </si>
  <si>
    <t>Εργασίες καθαρισμού με καταστροφέα σε φωτοβολταϊκό πάρκο</t>
  </si>
  <si>
    <t>https://www.tanea.gr/2026/09/02/greece/voiotia-dyo-syllipseis-gia-tin-pyrkagia-ston-mytika-ksekinise-apo-ergasies-se-fotovoltaiko-parko ; https://www.thetoc.gr/koinwnia/article/fotia-tora-ston-mutika-thibas---stin-maxi-okto-aeroskafi/ ; https://www.ertnews.gr/roi-idiseon/pyrkagia-se-xamili-vlastisi-stin-perioxi-mytikas-tou-dimou-thivaion/ ; https://www.skai.gr/news/greece/dyo-syllipseis-gia-ti-megali-fotia-ston-mytika-voiotias ; https://www.eleftherostypos.gr/ellada/fotia-sti-thiva-veltiomeni-i-eikona-ston-mytika ; https://www.capital.gr/epikairotita/4014132/fotia-stin-perioxi-mutika-thibas/ ; https://www.efsyn.gr/ellada/1458794/fotia-ston-mytika-thivas-epiheiroyn-okto-aeroskafi-eikones-vinteo/ ; https://gr.euronews.com/my-europe/2026/09/02/ellada-megalh-pyrkagia-mytika-thibas-kinhtopoihsh-pyrosbestikhs ; https://www.newsbomb.gr/ellada/story/1760568/kalyteri-i-eikona-ton-pyrkagion-se-karysto-kai-mytika-thivas ; https://www.tanea.gr/2026/09/02/greece/fotia-ston-mytika-thivas-sikothikan-8-aeroskafi ; https://www.ertnews.gr/roi-idiseon/megali-fotia-ston-mytika-thivas-epixeiroun-okto-aeroskafi/ ; https://pelop.gr/fotia-ston-mytika-thivas-8-aeroskafi-sti-machi-42-pyrosvestes-kai-16-ochimata/ ; https://www.skai.gr/news/greece/veltiomeni-i-eikona-ton-pyrkagion-se-karysto-kai-mytika-thivas ; https://tvstar.gr/2026/09/03/se-yfesi-oi-pyrkagies-se-voiotia-kai-evvoia/ ; https://www.skai.gr/news/greece/enisxythikan-oi-dynameis-sti-fotia-stin-perioxi-mytikas-tou-dimou-thivaion ; https://www.newsit.gr/ellada/i-fotia-ston-mytika-thivas-ksekinise-apo-ergasies-katharismou-me-katastrofea-se-fotovoltaiko-parko-dyo-syllipseis/4764241/ ; https://www.cnn.gr/ellada/story/550529/pyrkagies-veltiomeni-i-eikona-se-karysto-kai-thiva-antimetopizontai-diaspartes-esties ; https://www.dikastiko.gr/eidhsh/dyo-syllipseis-gia-tin-pyrkagia-ston-mytika-thivas-xekinise-apo-ergasies-se-fotovoltaiko-parko/</t>
  </si>
  <si>
    <t>Καμένη έκταση ~3.000 στρ. = 300 ha. Αιτία επιβεβαιωμένη: καταστροφέας σε φωτοβολταϊκό → 2 συλλήψεις (ΔΑΕΕ). 2 Chinook ΓΕΕΑ (στρατός) συνδράμουν. ΕΣΚΕΔΙΚ drone επιτήρηση. Ενισχυμένη εικόνα αργότερα: 80 πυρ./25 οχ./12 αεροσκ./6 ελικ. | Κορυφή δυνάμεων (Euronews): 80 πυροσβέστες, 12 αεροσκάφη, 9 ελικόπτερα (2 Chinook στρατιωτικά). Αρχικά (ertnews): 42 πυροσβέστες, 16 οχήματα, 8 αεροσκάφη, 1 ομάδα 4ης ΕΜΟΔΕ. Βελτίωση 2/9 απόγευμα. | 2 συλλήψεις από ΔΑΕΕ (Διεύθυνση Αντιμετώπισης Εγκλημάτων Εμπρησμού). ~3.000 στρέμματα ≈ 300 ha. Αρχικά 42 πυροσβέστες/16 οχήματα/8 αεροσκάφη· ενισχύθηκε σε τελικά μεγέθη. Στις 3/9 σε ύφεση. | Αιχμή: 20 εναέρια (12 α/φ + 6 ε/π + 2 Chinook). 2 συλλήψεις (53χρ. &amp; 45χρ.). Βελτιωμένη εικόνα 21:15 3/9. Κίνδυνος πλημμυρών μετά την καταστροφή. | Καμένη έκταση &gt;3.000 στρέμματα (≥300 ha) σύμφωνα με μεταγενέστερες αναφορές. Δύο συλλήψεις εργαζομένων σε φωτοβολταϊκό πάρκο.</t>
  </si>
  <si>
    <t>Μύτικας Θηβών</t>
  </si>
  <si>
    <t>Περιφέρεια Στερεάς Ελλάδας</t>
  </si>
  <si>
    <t>4 ομάδες πεζοπόρου (1η, 4η ΕΜΟΔΕ κ.ά.)</t>
  </si>
  <si>
    <t>υδροφόρες Δήμου Θήβας, Περιφέρεια Στερεάς Ελλάδας, ΥΠΕΘΑ (2 Chinook)</t>
  </si>
  <si>
    <t>εργασίες καθαρισμού με καταστροφέα σε φωτοβολταϊκό πάρκο — 2 συλλήψεις</t>
  </si>
  <si>
    <t>https://gr.euronews.com/my-europe/2026/09/02/ellada-megalh-pyrkagia-mytika-thibas-kinhtopoihsh-pyrosbestikhs ; https://www.skai.gr/news/greece/veltiomeni-i-eikona-ton-pyrkagion-se-karysto-kai-mytika-thivas ; https://www.skai.gr/news/greece/enisxythikan-oi-dynameis-sti-fotia-stin-perioxi-mytikas-tou-dimou-thivaion ; https://www.newsit.gr/ellada/i-fotia-ston-mytika-thivas-ksekinise-apo-ergasies-katharismou-me-katastrofea-se-fotovoltaiko-parko-dyo-syllipseis/4764241/ ; https://www.tanea.gr/2026/09/02/greece/voiotia-dyo-syllipseis-gia-tin-pyrkagia-ston-mytika-ksekinise-apo-ergasies-se-fotovoltaiko-parko ; https://www.ertnews.gr/roi-idiseon/pyrkagia-se-xamili-vlastisi-stin-perioxi-mytikas-tou-dimou-thivaion/ ; https://www.protothema.gr/greece/article/1872886/fotia-tora-ston-mutika-thivas-epiheiroun-8-aeroskafi/ ; https://www.tanea.gr/2026/09/02/greece/fotia-ston-mytika-thivas-sikothikan-8-aeroskafi ; https://www.efsyn.gr/ellada/1458794/fotia-ston-mytika-thivas-epiheiroyn-okto-aeroskafi-eikones-vinteo/ ; https://www.firefightingreece.gr/2026/09/01/pyrosvestiki-24-agrotodasikes-pyrkagies-to-teleftaio-24oro-7/ ; https://www.dikastiko.gr/eidhsh/dyo-syllipseis-gia-tin-pyrkagia-ston-mytika-thivas-xekinise-apo-ergasies-se-fotovoltaiko-parko/</t>
  </si>
  <si>
    <t>Έκταση &gt;3.000 στρ. (&gt;300 ha) κατά CyprusNews/protothema· μία πηγή (rua.gr) αναφέρει 300 στρ. (30 ha). Λόγω κλίμακας επιχείρησης (στρατιωτικά Chinook, 80 πυρ., 12 αεροσκ.) αξιόπιστη η μεγαλύτερη εκτίμηση. 2 συλλήψεις. Εκκίνηση από μηχανήμα καθαρισμού φωτοβολταϊκού. | Τα 8 ελικόπτερα περιλαμβάνουν 2 Chinook του ΓΕΣ. Δύο μέτωπα που ενώθηκαν κοντά στον Ελαιώνα. Εικόνα βελτιωμένη ~17:54 — δάσος Μοσφοδίου δεν απειλήθηκε. | Ελάχιστα στοιχεία — εντοπίστηκε σε 24ωρη σύνοψη πυρκαγιών Πυροσβεστικής. Ημερομηνία κατ' εκτίμηση. | Ίδιο συμβάν με εγγραφή 'Μύτικας Θήβας'. Καμένη έκταση &gt;3.000 στρέμματα (≥300 ha). Τελικά οριοθετήθηκε βάσει μεταγενέστερων αναφορών. Δύο συλλήψεις εργαζομένων σε φωτοβολταϊκό πάρκο.</t>
  </si>
  <si>
    <t>Κάρυστος Ευβοίας</t>
  </si>
  <si>
    <t>Κάρυστος</t>
  </si>
  <si>
    <t>1 ομάδα πεζοπόρου 20ης ΕΜΟΔΕ</t>
  </si>
  <si>
    <t>υδροφόρες Δήμου Καρύστου, Περιφέρεια Στερεάς Ελλάδας</t>
  </si>
  <si>
    <t>υπό διερεύνηση (ανακριτική ομάδα εμπρησμών Ευβοίας κινητοποιήθηκε)</t>
  </si>
  <si>
    <t>112 11:45: ετοιμότητα κατοίκων και επισκεπτών στην ευρύτερη περιοχή της πυρκαγιάς στην Κάρυστο | 112 11:45 (2/9): ενημέρωση κατοίκων λόγω πυρκαγιάς· 112 12:22 (2/9): εκκένωση Θεατρούπολης — απομάκρυνση μέσω Παραλιακής Οδού προς Κάρυστο· 112 15:19 (2/9): εκκένωση ΟΣΜΑΕΣ και Ερωδιού — απομάκρυνση μέσω Παραλιακής Οδού προς Κάρυστο | 112 11:45: πληροφόρηση κατοίκων ευρύτερης περιοχής· 112 12:22: εκκένωση Θεατρούπολης → Κάρυστος (παραλιακή οδός)· 112 15:05: προληπτική εκκένωση ΟΣΜΑΕΣ &amp; Ερωδιού → Κάρυστος (παραλιακή οδός)· επιπλέον 112 μηνύματα για εκκενώσεις νέων οικισμών (τρία μέτωπα) | 12:22 2/9: εκκένωση Θεατρούπολης προς Κάρυστο μέσω παράκτιας οδού | 1ο σήμα: ετοιμότητα κατοίκων περιοχής Καρύστου· 2ο σήμα 12:22: εκκένωση Θεατρούπολης προς Κάρυστο μέσω παραλιακής· 3ο σήμα 15:05: εκκένωση ΟΣΜΑΕΣ &amp; Ερωδιού προς Κάρυστο μέσω παραλιακής | 112 12:22: εκκένωση Θεατρούπολης προς Κάρυστο (παραλιακή οδός) | 12:22 εκκένωση Θεατρούπολης προς Κάρυστο· νέο 112 εκκένωση Οσμάων προς Κάρυστο· νέο 112 εκκένωση Ερωδιού προς Κάρυστο (σύνολο: 3 οικισμοί εκκενώθηκαν) | 112 12:22: εκκένωση Θεατρούπολης προς Κάρυστο (παραλιακή οδός)· εκκένωση ΟΣΜΑΕΣ και Ερωδιός | 112 12:22 (02/09): άμεση εκκένωση Θεατρούπολης κατά μήκος Παραλιακής Οδού προς Κάρυστο</t>
  </si>
  <si>
    <t>https://www.ertnews.gr/eidiseis/eyvoia-pyrkagia-se-xamili-vlastisi-stin-karysto-112-gia-etoimotita/ ; https://www.naftemporiki.gr/society/2156097/eyvoia-fotia-tora-stin-karysto-ichise-to-112/ ; https://www.skai.gr/news/greece/pyrkagia-se-xamili-vlastisi-stin-karysto-eyvoias-minyma-112-epixeiroun-6-enaeria ; https://www.documentonews.gr/article/fotia-tora-stin-karysto-112-gia-etoimotita/ ; https://www.flash.gr/fotia-tora-stin-karysto-ichise-to-112-1079374 ; https://www.ertnews.gr/eidiseis/eyvoia-pyrkagia-se-xamili-vlastisi-stin-karysto-112-gia-apomakrynsi-katoikon/ ; https://www.newsit.gr/ellada/fotia-stin-karysto-112-gia-ekkenosi-trion-perioxon/4763613/ ; https://www.in.gr/2026/09/02/greece/fotia-stin-karysto-enisxythikan-oi-dynameis-epixeiroun-60-pyrosvestes-kai-13-enaeria/ ; https://tomanifesto.gr/fotia-stin-karysto-estali-112-250708 ; https://www.capital.gr/epikairotita/4014126/purkagia-stin-karusto-peraitero-enisxusi-ton-purosbestikon-dunameon/ ; https://forest-fire.emergency.copernicus.eu/apps/effis.csv/ ; https://www.athensvoice.gr/epikairotita/ellada/983275/neo-minuma-apo-to-112-gia-ti-fotia-stin-karusto-ekkenonetai-periohi/ ; https://www.athensvoice.gr/epikairotita/ellada/983321/mainetai-i-megali-fotia-stin-karusto-neo-112-gia-ekkenosi-duo-periohon/ ; https://www.astratv.gr/karystos-tria-pyrina-metopa-nees-ek/ ; https://www.libre.gr/2026/09/02/fotia-stin-karysto-112-gia-ekkenosi-tis-th/ ; https://www.thepresident.gr/2026/09/02/minyma-to-quot-112-quot-ekkenosi-ton-periochon-osmaes-erodio/ ; https://www.newsbomb.gr/ellada/story/1760568/kalyteri-i-eikona-ton-pyrkagion-se-karysto-kai-mytika-thivas ; https://www.thepresident.gr/2026/09/02/pyrkagia-se-chamili-vlastisi-stin-karysto-eyvoias/ ; https://www.cnn.gr/ellada/story/550437/megali-pyrkagia-stin-karysto-eyvoias-ixise-to-112-gia-ekkenosi-i-fotia-kaiei-dipla-sta-spitia ; https://www.skai.gr/news/greece/veltiomeni-i-eikona-ton-pyrkagion-se-karysto-kai-mytika-thivas ; https://www.tanea.gr/2026/09/02/greece/megali-fotia-stin-karysto-mparaz-112-gia-ekkenoseis-oikismon-epixeiroun-13-enaeria-mesa/ ; https://www.protothema.gr/greece/article/1872796/fotia-tora-stin-karusto-estali-minuma-apo-to-112/ ; https://www.newsit.gr/ellada/fotia-stin-karysto-ixise-to-112-stin-perioxi-theatroupoli-gia-ekkenosi/4763613/ ; https://www.athensvoice.gr/epikairotita/ellada/983321/mainetai-i-megali-fotia-stin-karysto-neo-112-gia-ekkenosi-duo-periohon/ ; https://www.newsbomb.gr/ellada/story/1760497/neo-112-gia-tin-pyrkagia-stin-karysto-ekkenosi-osmaon-kai-erodioy-pros-tin-karysto ; https://www.ertnews.gr/roi-idiseon/veltiomeni-i-eikona-tis-pyrkagias-stin-karysto-paramenoun-dynameis-sto-simeio/ ; https://www.cnn.gr/ellada/story/550529/pyrkagies-veltiomeni-i-eikona-se-karysto-kai-thiva-antimetopizontai-diaspartes-esties</t>
  </si>
  <si>
    <t>Πυρκαγιά σε χαμηλή βλάστηση. Danger_level από χάρτη ΓΓΠΠ 02/09/2026 (Εύβοια: κίτρινο/ΥΨΗΛΗ). 112 για ετοιμότητα (όχι εκκένωση). ΕΣΚΕΔΙΚ με drone παρακολούθησε εξέλιξη. | EFFIS (2/9): 103 ha καμένη έκταση (δορυφορική ανίχνευση). FWI 40–80, BUI 220–260. Κατά τις 15:00 η πυρκαγιά έκαιγε ανεξέλεγκτη κοντά σε οικισμό (newsit). Παρακολούθηση με drone θερμικής/οπτικής κάμερας. Χάρτης ΓΓΠΠ 02/09: Εύβοια κίτρινο = κατηγορία 3. | EFFIS δορυφόρος: 103 ha (FWI 40–80, BUI 220–260). Τρία πύρινα μέτωπα. Μπαράζ 112 για εκκενώσεις οικισμών. ΕΣΚΕΔΙΚ: drone επιτήρηση θερμικές/οπτικές κάμερες. Πρώτη αναφορά ERT: 60 πυρ./21 οχ./4 ελικ./9 αεροσκ. (= 13 εναέρια)· ενισχύθηκε: 76 πυρ./23 οχ. Μονάδα ΔΑΕΕ (εμπρησμός) κινητοποιήθηκε. | EFFIS 2/9: 103 ha (FWI 40-80, BUI 220-260). Drone εποπτείας ESKEDDIK. Κινητοποίηση Ομάδας Διερεύνησης Εμπρησμών Ευβοίας. Βελτίωση απόγευμα 2/9 (διάσπαρτες εστίες). | EFFIS κατέγραψε 103 ha για Εύβοια στις 2/9 — αντιστοιχεί στην Κάρυστο. 3 διαδοχικά σήματα 112 (ετοιμότητα → 2 εκκενώσεις). Ανακριτική πυρκαγιών σε εξέλιξη για αιτία. | EFFIS δορυφορική ανίχνευση: 103 ha καμένα (FWI 40-80, BUI 220-260). Χαμηλή βλάστηση. Drone θερμικής κάμερας ΕΣΚΕΔΙΚ. | EFFIS 2/9: 103 ha, FWI 40–80, BUI 220–260. Drone ΕΣΚΕΔΙΚ θερμικής/οπτικής παρακολούθησης. Εμπρησμολόγοι κινητοποιήθηκαν. Στις 3/9 χωρίς ενεργό μέτωπο. | EFFIS δορυφορική ανίχνευση 103 ha. Χαμηλή βλάστηση. Θυελλώδεις άνεμοι. Διάσπαρτες εστίες αντιμετωπίζονταν βράδυ 3/9. | Χαμηλή βλάστηση. Drone surveillance με θερμικές/οπτικές κάμερες μέσω ΕΣΚΕΔΙC. Κινητοποιήθηκε ανακριτική ομάδα εμπρησμών. Danger level βάσει χάρτη 02/09 (νότια Εύβοια = κίτρινο) και επιβεβαίωση άρθρου (κατηγορία 3).</t>
  </si>
  <si>
    <t>https://forest-fire.emergency.copernicus.eu/apps/effis.csv/</t>
  </si>
  <si>
    <t>Δορυφορική ανίχνευση EFFIS (πυρκαγιά Α' — χωριστή εστία από Β'). Δεν διατίθενται επιχειρησιακά στοιχεία ή υποτοποθεσία εντός νομού. | Δορυφορική ανίχνευση EFFIS (πυρκαγιά Β' — χωριστή εστία από Α'). Δεν διατίθενται επιχειρησιακά στοιχεία ή υποτοποθεσία εντός νομού. | Δορυφορική ανίχνευση EFFIS (Α' εστία). Δεν διατίθεται όνομα, ώρα ή στοιχεία επίγειας επιχείρησης. | Δορυφορική ανίχνευση EFFIS (Β' εστία). Δεν διατίθεται όνομα, ώρα ή στοιχεία επίγειας επιχείρησης.</t>
  </si>
  <si>
    <t>Ιωάννινα (EFFIS ανίχνευση Α')</t>
  </si>
  <si>
    <t>https://forest-fire.emergency.copernicus.eu/apps/effis.csv/ ; https://forest-fire.emergency.copernicus.eu/apps/effis.situation/</t>
  </si>
  <si>
    <t>EFFIS δορυφορική ανίχνευση 2/9/2026. Άγνωστη ακριβής τοποθεσία εντός νομού Ιωαννίνων. Ενδέχεται να σχετίζεται με πυρκαγιά Τραπεζίτσας Κόνιτσας ή να αποτελεί ανεξάρτητο περιστατικό. Χάρτης ΓΓΠΠ 02/09: Ιωάννινα μπλε = κατηγορία 2. | EFFIS δορυφορική ανίχνευση 2/9/2026. Άγνωστη ακριβής τοποθεσία εντός νομού Ιωαννίνων. Ενδέχεται να σχετίζεται με πυρκαγιά Τραπεζίτσας ή να αποτελεί ανεξάρτητο περιστατικό. Χάρτης ΓΓΠΠ 02/09: Ιωάννινα μπλε = κατηγορία 2. | EFFIS/Copernicus δορυφορική ανίχνευση 02/09/2026. Καμένη έκταση 2 ha. Δεν διατίθεται όνομα τοποθεσίας ή ώρα από EFFIS. Πιθανώς Λάιστα/Ζαγόρι (ανεπιβεβαίωτο από ΜΜΕ). | EFFIS/Copernicus δορυφορική ανίχνευση 02/09/2026. Καμένη έκταση 1 ha. Δεν διατίθεται όνομα τοποθεσίας ή ώρα από EFFIS. Πιθανώς Βωβούσα/Ζαγόρι (ανεπιβεβαίωτο από ΜΜΕ). | Δορυφορική ανίχνευση EFFIS μόνο (FWI δεν αναφέρεται). Δεν επιβεβαιώθηκε από ελληνικά ΜΜΕ. Ακριβής θέση εντός νομού άγνωστη. | Δορυφορική ανίχνευση EFFIS μόνο. Δεν επιβεβαιώθηκε από ελληνικά ΜΜΕ. Ακριβής θέση εντός νομού άγνωστη. | Δορυφορική ανίχνευση EFFIS 2 Σεπτ. Δεν διατίθεται όνομα πυρκαγιάς, ώρα έναρξης ή επιχειρησιακά στοιχεία. | Δορυφορική ανίχνευση EFFIS 2 Σεπτ. Διακριτή εστία από EFFIS Ιωαννίνων Α'. Δεν διατίθεται όνομα/ώρα/επιχειρησιακά στοιχεία.</t>
  </si>
  <si>
    <t>Κεραμίδεζα Μάνδρας</t>
  </si>
  <si>
    <t>Μάνδρας-Ειδυλλίας</t>
  </si>
  <si>
    <t>Αγροτοδασική έκταση· επίγειες δυνάμεις· περιορισμένη ανεξάρτητη τεκμηρίωση (πληροφορία από σύνοψη αναζήτησης 02/09)</t>
  </si>
  <si>
    <t>2026-09-02</t>
  </si>
  <si>
    <t>Σπάτα</t>
  </si>
  <si>
    <t>Δήμος Σπάτων-Αρτέμιδος</t>
  </si>
  <si>
    <t>Χαμηλή βλάστηση. 1 ελικόπτερο. Αναφορά από σύνοψη αναζητήσεων 02/09 — δεν βρέθηκε ξεχωριστό άρθρο με URL.</t>
  </si>
  <si>
    <t>2026-09-03</t>
  </si>
  <si>
    <t>Αγριλιά - Πεδίο Βολής Μεσολογγίου</t>
  </si>
  <si>
    <t>Ιερά Πόλη Μεσολογγίου</t>
  </si>
  <si>
    <t>υδροφόρες Δήμου Ιεράς Πόλης Μεσολογγίου</t>
  </si>
  <si>
    <t>υπό διερεύνηση (κινητοποιήθηκε ανακριτική ομάδα)</t>
  </si>
  <si>
    <t>https://www.thetoc.gr/koinwnia/article/fotia-stin-agrilia-mesologgiou-epixeiroun-5-aeroskafi---kaiei-agrotodasiki-ektasi/ ; https://www.naftemporiki.gr/society/2155884/fotia-tora-stin-agrilia-mesologgioy/ ; https://newpost.gr/eidiseis/mesologgi-enischythikan-oi-dynameis-stin-agrilia-47-pyrosvestes-kai-6-enaeria/ ; https://www.focusfm.gr/mesologgi-pyrkagia-sto-pedio-volis-stin-agrilia/ ; https://pelop.gr/synagermos-sto-mesolongi-megali-fotia-stin-agrilia-konta-sto-pedio-volis-sikothikan-aeroskafi/ ; https://www.tanea.gr/2026/09/01/greece/fotia-sto-pedio-volis-sto-mesologgi-sikothikan-5-aeroskafi/ ; https://www.newsit.gr/ellada/fotia-sto-mesologgi-sto-pedio-volis-isxyres-dynameis-sto-simeio/4763122/ ; https://www.agrinionews.gr/megali-fotia-sto-pedio-volis-sto-mesolongi-ischyri-kinitopoiisi-tis-pyrosvestikis/ ; https://www.libre.gr/2026/09/01/fotia-sto-pedio-volis-sto-mesolongi-si/ ; https://www.firefightingreece.gr/2026/09/01/pyrkagia-se-agrotodasiki-ektasi-stin-agrilia-mesolongiou-epicheiroun-32-pyrosvestes-kai-5-aeroskafi/ ; https://dete.gr/keravnos-i-aitia-tis-pyrkagias-stin-agrilia-mesolongiou-pos-apofefchthikan-ta-cheirotera/ ; https://www.agrinionews.gr/se-yfesi-i-pyrkagia-stin-agrilia-mesolongiou-ischyres-dynameis-paramenoun-sto-simeio/ ; https://www.dnews.gr/eidhseis/ellada/607725/se-yfesi-i-fotia-stin-agrilia-mesologgiou ; https://www.eleftherostypos.gr/ellada/fotia-sto-mesolongi-se-yfesi-i-pyrkagia-stin-agrilia</t>
  </si>
  <si>
    <t>Αγροτοδασική έκταση πλησίον πεδίου βολής Αγριλιάς. Αρχικά: 32 πυροσβέστες, 12 οχήματα, 5 αεροσκάφη. Μετά ενίσχυση: 47 πυροσβέστες, 6 εναέρια. Δεν απειλούσε κατοικημένες περιοχές. Χάρτης ΓΓΠΠ 01/09 δεν ήταν διαθέσιμος (HTTP redirect). | Πυρκαγιά σε αγροδασική έκταση στο στρατιωτικό πεδίο βολής Αγριλιάς. Κινητοποίηση και δυνάμεων Αγρινίου &amp; Πάτρας. Χάρτης ΓΓΠΠ 01/09 επέστρεψε 404. | Εκδηλώθηκε ~18:00 σε αγροτοδασική έκταση κοντά στο Πεδίο Βολής. Δεν απειλήθηκαν οικισμοί, δεν εκδόθηκε 112. Τελευταία αναφορά «σε ύφεση» ~21:30 / «υπό πλήρη έλεγχο» (dete.gr). Συμμετείχαν υδροφόρες Δήμου Ιεράς Πόλης Μεσολογγίου και Πολιτική Προστασία Περιφέρειας Δυτ. Ελλάδας. Καμένη έκταση δεν επιβεβαιώθηκε.</t>
  </si>
  <si>
    <t>18:10</t>
  </si>
  <si>
    <t>Τραπεζίτσα Κόνιτσας</t>
  </si>
  <si>
    <t>Δήμος Κόνιτσας</t>
  </si>
  <si>
    <t>3 ομάδες πεζοπόρου 5ης ΕΜΟΔΕ + ΣΜΕΑ Ιωαννίνων</t>
  </si>
  <si>
    <t>μηχανήματα Δήμου και Περιφέρειας</t>
  </si>
  <si>
    <t>μέλη ορειβατικού συλλόγου (εφοδιασμός)</t>
  </si>
  <si>
    <t>112 πρωί 06/09: προειδοποίηση για πυκνούς καπνούς σε κατοίκους Κόνιτσας/Ιωαννίνων ΠΕ - παραμείνετε σε κλειστό χώρο, κλείστε πόρτες και παράθυρα, ακολουθείτε οδηγίες αρχών | 112 προειδοποίηση για επικίνδυνους καπνούς: παραμείνετε σε εσωτερικούς χώρους, κλείστε πόρτες και παράθυρα, ετοιμότητα κατοίκων | 112 06/09 ~21:30: προειδοποίηση κατοίκων Κόνιτσας/Τραπεζίτσας για πυκνούς καπνούς — «κλείστε πόρτες και παράθυρα, παραμείνετε σε ετοιμότητα και ακολουθείτε οδηγίες Αρχών» | 112 (06/09 βράδυ): ετοιμότητα κατοίκων Κόνιτσας-Τραπεζίτσας – προειδοποίηση πυκνών καπνών· (07/09): ετοιμότητα – επαναλαμβανόμενα μηνύματα καθ' όλη τη διάρκεια της 8ήμερης πυρκαγιάς | 112 09-06: προειδοποίηση καπνών οικισμός Τραπεζίτσα – παραμονή σε εσωτερικούς χώρους, κλείσιμο παραθύρων (χωρίς εκκένωση)· 09-07: νέο μήνυμα 112 ετοιμότητας κατοίκων Κόνιτσας | 112 (ετοιμότητα/προστασία από καπνούς): παραμονή σε εσωτερικούς χώρους, κλείσιμο πορτοπαράθυρων λόγω καπνών. Επαναλαμβανόμενα μηνύματα κατά αναζωπυρώσεις. | 06/09 πρωί: μήνυμα 112 για πυκνούς καπνούς στους κατοίκους Τραπεζίτσας Κόνιτσας — καλούνται να παραμείνουν σε ετοιμότητα</t>
  </si>
  <si>
    <t>https://www.zougla.gr/greece/fotia-stin-konitsa-2/ ; https://www.naftemporiki.gr/society/2155409/pyrkagia-stin-konitsa-meta-apo-keraynoys-enischyontai-oi-pyrosvestikes-dynameis/ ; https://www.tanea.gr/2026/08/31/greece/fotia-stin-trapezitsa-konitsas-sikothikan-dyo-elikoptera ; https://www.skai.gr/news/greece/fotia-se-dasiki-ektasi-stin-konitsa-sti-maxi-kai-2-elikoptero ; https://www.firefightingreece.gr/2026/08/31/pyrkagia-se-dasiki-ektasi-stin-trapezitsa-konitsas-epicheiroun-6-pyrosvestes-kai-2-elikoptera/ ; https://www.naftemporiki.gr/society/2155599/fotia-stin-trapezitsa-konitsas-enischythikan-peraitero-oi-dynameis-tis-pyrosvestikis-kinitopoiithikan-5-elikoptera/ ; https://www.firefightingreece.gr/2026/09/01/enischythikan-oi-dynameis-stin-pyrkagia-stin-trapezitsa-konitsas-epicheiroun-85-pyrosvestes-kai-5-elikoptera/ ; https://www.skai.gr/news/greece/konitsa-synexizei-na-kaiei-i-fotia-stin-trapezitsa-sti-maxi-kai-11-enaeria ; https://www.newsit.gr/ellada/fotia-stin-trapezitsa-konitsas-enisxythikan-oi-dynameis-epixeiroun-11-elikoptera/4762968/ ; https://www.lamiareport.gr/ellada/item/pyrkagia-stin-trapezitsa-konitsas-enisxythikan-oi-dynameis-epixeiroun-11-elikoptera/ ; https://www.vradini.gr/ellada/fotia-stin-konitsa-oi-floges-kinoyntai-pros-ti-xaradra-toy-aooy-mixanimata-anoigoyn-dromo-gia-ti-moni-stomioy/1658731/ ; https://www.ertnews.gr/perifereiakoi-stathmoi/ioanina/pyrkagia-se-dysvati-perioxi-tis-konitsas-vlavi-se-pyrosvestiko-elikoptero/ ; https://www.huffingtonpost.gr/kinonia/fotia-stin-trapezitsa-konitsas-kaiei-se-dysvati-periochi-epicheiroun-enaeria-mesa-eikones-vinteo/ ; https://www.ertnews.gr/perifereiakoi-stathmoi/fotia-stin-konitsa-se-pliri-ekseliksi-i-epixeirisi-stin-perioxi-trapezitsa/ ; https://www.tanea.gr/2026/09/01/greece/anekselegkti-i-fotia-stin-trapezitsa-konitsa-deyteri-nyxta-agonias ; https://www.naftemporiki.gr/society/2155798/trapezitsa-konitsas-mainetai-se-dysvato-simeio-i-megali-pyrkagia-dyskoli-i-prosvasi-gia-tis-epigeies-dynameis/ ; https://www.thetoc.gr/koinwnia/article/sunexizei-na-kaiei-i-fotia-stin-trapezitsa-konitsas---enisxuthikan-oi-purosbestikes-dunameis/ ; https://newpost.gr/eidiseis/konitsa-anexelegkti-i-fotia-stin-trapezitsa-olonychtia-machi-85-pyrosveston/ ; https://www.efsyn.gr/ellada/1457559/fotia-se-dasiki-ektasi-stin-konitsa-epiheiroyn-dyo-elikoptera/ ; https://www.koutipandoras.gr/article/konitsa-mainetai-gia-triti-mera-i-pyrkagia-stin-trapezitsa-epicheiroun-13-enaeria-mesa/ ; https://www.documentonews.gr/article/fotia-tora-stin-konitsa-epicheiroun-dyo-elikoptera/ ; https://epirusonline.gr/eidiseis/ipeiros/konitsa-veltiomeni-i-eikona-apo-tin-pyrkagia-stin-trapezitsa-synechizetai-i-machi-gia-tin-oriothetisi/ ; https://www.tovima.gr/2026/09/01/society/fotia-stin-konitsa-kineitai-pros-xaradra-aoou-epixeiroun-7-elikoptera/ ; https://forest-fire.emergency.copernicus.eu/apps/effis.csv/ ; https://www.efsyn.gr/ellada/1457967/fotia-stin-konitsa-enishythikan-oi-pyrosvestikes-dynameis-sikothikan-exi-enaeria/ ; https://newpost.gr/eidiseis/konitsa-enischythikan-oi-dynameis-stin-pyrkagia-stin-trapezitsa-epicheiroyn-85-pyrosvestes-kai-5-elikoptera/ ; https://www.cnn.gr/ellada/story/550291/mainetai-i-pyrkagia-stin-konitsa-enisxythikan-ta-enaeria-mesa-kaiei-se-dysvato-edafos ; https://en.protothema.gr/2026/09/01/large-wildfire-rages-on-near-konitsa-in-northwestern-greece-11-aircraft-battle-the-blaze/ ; https://www.naftemporiki.gr/society/2156024/pyrkagia-stin-trapezitsa-konitsas-enischyontai-oi-dynameis-pyrosvesis-sti-machi-13-enaeria-mesa/ ; https://www.iefimerida.gr/ellada/konitsa-fotia-trapezitsa-brohi-elikoptera-enaeria ; https://www.parapolitika.gr/ellada/article/1784615/konitsa-treis-imeres-mahis-me-ti-fotia-stin-trapezitsa-uperanthropi-prospatheia-se-dusvati-periohi-13-enaeria-mesa-sti-mahi ; https://www.newsbomb.gr/ellada/story/1761078/trapezitsa-konitsas-megali-anazopyrosi-apenanti-apo-ti-moni-stomiou---sti-maxi-kai-enaeria-mesa ; https://www.cnn.gr/ellada/story/551026/megali-anazopyrosi-tis-fotias-stin-trapezitsa-konitsas-minyma-apo-to-112-gia-tous-pyknoys-kapnoys ; https://www.newsit.gr/ellada/fotia-stin-trapezitsa-konitsas-enisxythikan-oi-dynameis-epixeiroun-5-elikoptera/4763499/ ; https://www.tanea.gr/2026/09/06/greece/megali-anazopyrosi-tis-fotias-stin-konitsa-minyma-tou-112-gia-tous-kapnous ; https://www.eleftherostypos.gr/ellada/anazopyrothike-i-fotia-stin-trapezitsa-konitsas-ichise-minyma-apo-to-112 ; https://www.firefightingreece.gr/2026/09/05/mainetai-i-dasiki-pyrkagia-stin-periochi-trapezitsa-konitsas/ ; https://www.in.gr/2026/09/05/greece/konitsa-megali-anazopyrosi-sto-dasos-stin-trapezitsa-synexizei-na-kaiei-gia-pempti-imera ; https://www.in.gr/2026/09/06/greece/konitsa-mainetai-i-fotia-kaiei-se-pykno-peykodasos-isxyres-epigeies-dynameis-12-enaeria-ixise-112/ ; https://www.naftemporiki.gr/society/2157761/megali-anazopyrosi-tis-pyrkagias-stin-trapezitsa-konitsas-minyma-apo-to-112-gia-toys-kapnoys/ ; https://www.flash.gr/konitsa-megali-anazopyrosi-sti-fotia-epicheiroyn-405-pyrosvestes-kai-12-enaeria-mesa-1079991 ; https://www.npress.gr/greece/synagermos-stin-konitsa-anexelegkti-gia-evdomi-imera-i-fotia-oi-floges-plisiazoun-tin-poli/ ; https://www.documentonews.gr/article/fotia-stin-konitsa-anexelegkto-to-metopo-enischyontai-diarkos-oi-dynameis-machi-na-min-ftasoun-oi-floges-ston-oikismo/ ; https://epirusonline.gr/eidiseis/ipeiros/se-katastasi-synagermoy-i-konitsa-ichise-to-112/ ; https://www.in.gr/2026/09/07/greece/konitsa-anekselegkti-gia-ogdoi-imera-i-fotia-stin-trapezitsa ; https://www.tanea.gr/2026/09/07/greece/pyrinos-efialtis-stin-konitsa-gia-8i-mera-anekselegkto-to-metopo-tis-fotias-stin-trapezitsa-epixeiroun-170-pyrosvestes ; https://www.thetoc.gr/koinwnia/article/konitsa-anexelegkti-i-purkagia-stin-trapezitsa---minuma-112-stous-katoikous---kaiei-edo-kai-7-imeres ; https://www.capital.gr/epikairotita/4014841/se-exelixi-i-purkagia-sto-dasos-tis-trapezitsas-stin-konitsa-minuma-apo-to-112-gia-prostasia-ton-politon-apo-tous-kapnous/ ; https://www.naftemporiki.gr/society/2158023/mainetai-gia-7i-mera-i-megali-fotia-stin-konitsa-stigmes-agonias-gia-toys-katoikoys/ ; https://www.skai.gr/news/greece/konitsa-i-fotia-mainetai-gia-evdomi-imera-stin-trapezitsa ; https://www.ertnews.gr/eidiseis/ellada/pyrkagia-stin-konitsa-kalyteri-i-eikona-se-dysvati-perioxi-me-xaradres-oi-floges-se-epifylaki-oi-pyrosvestikes-dynameis/ ; https://www.formedia.gr/2026/09/06/konitsa-mainetai-i-fotia-kaiei-se-pykno-pefkodasos-ischyres-epigeies-dynameis-12-enaeria-ichise-112/ ; https://athina984.gr/2026/09/06/pyrkagia-stin-konitsa-ioannion-proeidopoiitiko-minyma-toy-112/ ; https://www.cnn.gr/ellada/story/551130/nyxta-agonias-stin-konitsa-pano-apo-ton-oikismo-kaiei-i-fotia-mesa-sto-dasos-oi-pyrosvestes ; https://hellasjournal.com/2026/09/poly-ypsilos-kindynos-pyrkagias-se-portokali-synagermo-deka-perifereies-tis-choras-ogdoi-imera-machis-me-ti-megali-fotia-stin-konitsa-kaiei-pykno-dasos-video/ ; https://www.efsyn.gr/ellada/1461596/fotia-stin-konitsa-kaiei-anexelegkti-gia-8i-imera-ihise-to-112-to-vrady-eikones-vinteo/ ; https://www.parapolitika.gr/ellada/article/1786802/megali-anazopurosi-stin-trapezitsa-konitsas-minuma-tou-112 ; https://www.ieidiseis.gr/ellada/860941/konitsa-olonychtia-machi-me-tis-floges-i-fotia-kaiei-partheno-dasos-gia-evdomi-mera/ ; https://www.cnn.gr/ellada/story/551216/fotia-stin-konitsa-pano-apo-6-200-stremmata-staxti-synexizetai-i-maxi-me-tis-floges ; https://www.in.gr/2026/09/07/greece/konitsa-anekselegkti-gia-ogdoi-imera-i-fotia-stin-trapezitsa/ ; https://pelop.gr/fotia-konitsa-trapezitsa-6290-stremmata/ ; https://www.ypaithros.gr/oikologiki-tragodia-stin-trapezitsa-konitsas/ ; https://www.skai.gr/news/greece/se-ekseliksi-i-pyrkagia-sto-dasos-tis-trapezitsas-stin-konitsa-minyma-apo-to-112 ; https://parallaximag.gr/epikairotita/greece/konitsa-energi-i-fotia-gia-9i-imera-stachti-6-290-stremmata-dasoys ; https://www.tanea.gr/2026/09/06/greece/trapezitsa-konitsas-anekselegkto-to-metopo-tis-pyrkagias-pano-apo-150-pyrosvestes-sti-maxi-me-tis-floges ; https://www.newsbomb.gr/ellada/story/1761880/fotia-konitsa-maxi-me-tis-anazopyroseis-sti-xaradra-tou-aoou-to-varos-tis-epixeirisis ; https://www.enikos.gr/society/konitsa-veltiomeni-i-eikona-sti-dasiki-pyrkagia-tis-trapezitsas-echoun-ginei-stachti-schedon-6-300-stremmata/2640263/ ; https://athina984.gr/2026/09/06/megali-anazopyrosi-tis-fotias-stin-trapezitsa-konitsas-minyma-apo-to-112-gia-toys-pyknoys-kapnoys/ ; https://www.protothema.gr/greece/article/1881637/upo-elegho-meta-apo-21-meres-i-purkagia-stin-trapezitsa-konitsas-peripou-10000-stremmata-dasous-epireastikan/</t>
  </si>
  <si>
    <t>Αρχικά 6 πυροσβέστες + 2 ελικόπτερα· ενισχύθηκε σε 32 πυροσβέστες, 3 ελικόπτερα. Εναέριες επιχειρήσεις σταμάτησαν μετά τη δύση. Ακόμα ενεργή 01/09 04:04 (τελευταία ενημέρωση). | Εκδήλωση 31/8, σε εξέλιξη και 1/9. Δύσβατο δασώδες σημείο κορυφογραμμής. Μονοπάτι Μονής Στομίου κλειστό προληπτικά. Κίνηση μετώπου προς φαράγγι Αώου. 85 πυροσβέστες + 5 ελικόπτερα στις 1/9. | Φλόγες κινούνται προς χαράδρα Αώου. Μηχανήματα ανοίγουν δρόμο προς Μονή Στομίου. Αρχικά 6 πυροσβέστες+2 ελικόπτερα, σταδιακή ενίσχυση. Δύσβατο έδαφος με πυκνή χαμηλή βλάστηση. Παρακολούθηση drone ΕΜΑΚ Αθηνών. Ελικόπτερο υπέστη βλάβη (αποκολλήθηκε κάδος) κατά υδροληψία από Αώο σε άλλη επιχείρηση στην ίδια περιοχή. | Ανεξέλεγκτη 02/09 (2η νύχτα αγωνίας)· δύσβατο ορεινό σημείο· μετακινείται προς χαράδρα Αώου· κλειστό μονοπάτι Μονής Στομίου· απαγόρευση κυκλοφορίας Εθνικού Δρυμού Βίκου-Αώου· Αναπλ. Αρχηγός Π.Σ. επί τόπου· ελικόπτερα: αρχικά 2 → ενισχύθηκε σε 7+4 Canadair=11 εναέρια | Τρίτη μέρα καύσης (31/8–2/9). Δύσβατη δασική έκταση, πυκνή χαμηλή βλάστηση. Αντιπρόεδρος Πυροσβεστικής στο σημείο. Απαγόρευση κυκλοφορίας σε Εθνικό Δρυμό Βίκου-Αώου και δρόμο προς Μονή Στομίου. Βλάβη σε πυροσβεστικό ελικόπτερο κατά την επιχείρηση. Κέντρο επιχειρήσεων Πολιτικής Προστασίας ενεργοποιήθηκε. Δυνάμεις Sep-2: 85 πυροσβέστες, 13 εναέρια (6 αεροσκάφη+7 ελικόπτερα). Danger_level από χάρτη ΓΓΠΠ 31/08/2026. | Έναρξη απόγευμα 31/8 σε δύσβατο σημείο. Μαίνεται για τρίτη μέρα (2/9) με 13 εναέρια. Η πυρκαγιά κινήθηκε προς χαράδρα Αώου (1/9). Πυρκαγιά EFFIS Ιωαννίνων Α' &amp; Β' ανιχνεύθηκαν 2/9 — ενδέχεται σχετίζονται. Χάρτης 31/8 δεν ελέγχθηκε. | Δύσβατο δασικό έδαφος, πυκνή υποβλάστηση. Drone εποπτείας ΕΚΑΒ Ιωαννίνων. Χάρτης ΓΓΠΠ 31/8 δεν ανακτήθηκε (404). EFFIS 2/9: 2 ha ανίχνευση σε Ιωάννινα (πιθανώς σχετικό). Πυρκαγιά συνεχιζόταν στις 1/9. | Εξαιρετικά δύσβατο ανάγλυφο — περιορισμένη πρόσβαση επίγειων. Κατεύθυνση προς Χαράδρα Αώου, δρόμος Μονής Στομίου έκλεισε. Αναζωπύρωση κοντά στη Μονή Στομίου. Ελαφρά βροχόπτωση νύχτα 1–2/9 βοήθησε στον περιορισμό. Εναέρια σε αναστολή ~20:00 2/9, επίγειες δυνάμεις σε εγρήγορση. Σύνολο εναέριων: 13 (6 σταθεροπτέρυγα + 7 ελικόπτερα). Καμένη έκταση και ώρα ελέγχου δεν επιβεβαιώθηκαν. | Εκκίνηση Δευτέρα 31/08 (πιθανώς κεραυνός). Δυνάμεις και danger level από 06/09 (6η ημέρα). Κλειστός Εθνικός Δρυμός Βίκου-Αώου. Εναέρια αντλούν από λίμνη Παμβώτιδα. Μεγάλη αναζωπύρωση 06/09 πρωί. | Έναρξη 31/08/2026 ~18:10. Ανεξέλεγκτη για 7η συνεχή ημέρα στις 06/09. 13 εναέρια συνολικά (Yutori); προηγούμενη αναφορά 01/09: 7 ελικόπτερα. Καίει παρθένο πευκοδάσος, κινείται προς χαράδρα Αώου. ΓΓΠΠ 06/09 Ιωαννίνων: κίτρινο (3). | Έναρξη 31/8/2026 (Δευτέρα) — 8η συνεχής ημέρα στις 7/9. Ανεξέλεγκτο μέτωπο σε πυκνό πευκοδάσος στο φαράγγι Αώου, απόκρημνο ανάγλυφο δυσχεραίνει πρόσβαση. Εστάλη επίσης 112 ενωρίτερα για γενική ετοιμότητα. Αριθμοί δυνάμεων αφορούν ενημέρωση 6/9 (πηγή skai.gr/Yutori). Danger_level βάσει χάρτη ΓΓΠΠ 07/09/2026 (Ιωαννίνων=κίτρινο). | Ενεργή για 8η συνεχόμενη ημέρα (07/09). Πυκνό πευκοδάσος – δύσβατη περιοχή με χαράδρες. Βλάβη πυροσβεστικού ελικοπτέρου. Μονάδα drone. Δυνάμεις 06/09 (Yutori): 170 πυροσβέστες, 13 εναέρια συνολικά. Αναφορά ~111.732 στρ. καμένης έκτασης (αδύνατη επαλήθευση). Κίνδυνος (07/09 χάρτης ΓΓΠΠ): Ιωαννίνων κίτρινο=3. | Ξεκίνησε 31/8, ανεξέλεγκτη για 8 ημέρες έως 07/09. Καίει παρθένο πευκοδάσος Natura 2000 «Κούρι» με μαύρη/λευκή πεύκη και ελάτη. Έχει εισέλθει στο φαράγγι Αώου. Δεδομένα καμένης έκτασης από Εθνικό Αστεροσκοπείο Αθηνών. | Εκδηλώθηκε 31/08/2026. Στις 06/09: 170 πυροσβ., 65 οχ., 13 εναέρια. Στις 08/09 (9η ημέρα): 629 ha καμένα, εντός Natura 2000, 5 ελικόπτερα στη χαράδρα Αώου, μάχη με αναζωπυρώσεις. | Ξεκίνησε 31 Αυγ. 2026· 9η ημέρα στις 8 Σεπ. 6.290 στρέμματα (629 ha) καμένα σε πυκνό πευκοδάσος-ελατοδάσος εντός Natura 2000. Απαγόρευση κυκλοφορίας φαράγγι Αώου &amp; μονοπάτι Μονής Στομίου. Στις 8/9 ενεργά μέτωπα περιορισμένα σημαντικά. | Έναρξη 31/8/2026· κύριο μέτωπο ελέγχθηκε μετά από ~21 ημέρες (περ. 20–21/9)· βραδεία καύση ριζών/κορμών υπό επιτήρηση· ~10.000 στρ. δάσους επηρεάστηκαν· ενημέρωση Yutori Scout 20/9/2026· danger_level από χάρτη 20/9 (ημέρα τελευταίας ενημέρωσης)</t>
  </si>
  <si>
    <t>16:30</t>
  </si>
  <si>
    <t>Σιντική Σερρών</t>
  </si>
  <si>
    <t>Δήμος Σιντικής</t>
  </si>
  <si>
    <t>κεραυνός (πιθανολογείται)</t>
  </si>
  <si>
    <t>https://www.naftemporiki.gr/society/2155371/fotia-tora-sti-sintiki-serron/ ; https://www.thestival.gr/eidiseis/astynomika/serres-orothetithike-i-fotia-se-periochi/ ; https://www.thestival.gr/eidiseis/astynomika/fotia-stis-serres-veltiomeni-i-eikona/ ; https://www.newsit.gr/ellada/fotia-stis-serres-stin-perioxi-theodoreio-se-xamili-vlastisi/4762293/</t>
  </si>
  <si>
    <t>Ώρα εκτιμώμενη ~16:30 βάσει περιγραφής. Περιορισμένες πληροφορίες. | Τοποθεσία: περιοχή Θεοδώρειο. Χαμηλή βλάστηση. Ολονύχτια επιχείρηση σε δύσβατη περιοχή. Ανακριτικό Κλιμάκιο Εμπρησμού Σερρών ερευνά αιτία.</t>
  </si>
  <si>
    <t>2026-09-01</t>
  </si>
  <si>
    <t>23:03</t>
  </si>
  <si>
    <t>Λάιστα Ζαγορίου</t>
  </si>
  <si>
    <t>Ζαγόρι</t>
  </si>
  <si>
    <t>2 ομάδες πεζοπόρου 2ης και 5ης ΕΜΟΔΕ</t>
  </si>
  <si>
    <t>Περιφέρεια Ηπείρου, Δήμος Ζαγορίου</t>
  </si>
  <si>
    <t>https://www.ekklisiaonline.gr/nea/fotia-tora-se-dasos-stin-laista-ioanninon-kinitopiisi-tis-pyrosvestikis/ ; https://www.epirus-tv-news.gr/2026/08/blog-post_5136.html ; https://www.ekklisiaonline.gr/nea/fotia-tora-se-dasos-stin-laista-ioanninon-kinitopoiisi-tis-pyrosvestikis/ ; https://epirusonline.gr/eidiseis/ipeiros/pyrkagia-apo-kerayno-sti-laista-zagorioy-sto-simeio-ischyres-pyrosvestikes-dynameis/ ; https://www.firefightingreece.gr/2026/08/30/pyrkagia-se-dasiki-ektasi-sti-laista-ioanninon-epicheiroun-32-pyrosvestes/ ; https://epirusgate.gr/zagori-anazopyrosi-tis-fotias-sti-laista-syndromi-apo-perifereia-ipeirou-kai-dimo-zagoriou/ ; https://www.ertnews.gr/perifereiakoi-stathmoi/ioanina/pyrkagia-apo-kerayno-sto-zagori/ ; https://www.protothema.gr/greece/article/1866818/fotia-tora-sto-zagori-ioanninon-kai-elikoptero-sti-mahi-me-tis-floges/ ; https://www.naftemporiki.gr/society/2155035/fotia-tora-sti-laista-ioanninon/ ; https://athina984.gr/2026/08/30/fotia-se-dasos-sti-laista-ioanninon/</t>
  </si>
  <si>
    <t>Δάσος στη Λάιστα Ζαγορίου. Ξέσπασε αργά το βράδυ 30/8. Χάρτης ΓΓΠΠ 30/8: ΠΕ Ιωαννίνων μπλε (2). | Δύο φάσεις: αρχική 25/8/2026 στις 14:36 (15 πυροσβέστες, 3 οχήματα, 2 ελικόπτερα, 1 ομάδα 5ης ΕΜΑΚ). Αναζωπύρωση ~20:30 30/8 στο ίδιο σημείο. Συνδρομή βυτιοφόρων Περιφέρειας Ηπείρου + Δήμου Ζαγορίου. Δύσβατο ορεινό ανάγλυφο. Δεν αναφέρθηκαν αεροσκάφη για 30/8. Καμένη έκταση και ώρα ελέγχου δεν επιβεβαιώθηκαν. | Δασική πυρκαγιά σε περιοχή Ζαγορίου. Καταγράφηκε αναζωπύρωση με συνδρομή Περιφέρειας Ηπείρου και Δήμου Ζαγορίου.</t>
  </si>
  <si>
    <t>20:30</t>
  </si>
  <si>
    <t>Λάιστα Ιωαννίνων</t>
  </si>
  <si>
    <t>Ζαγορίου</t>
  </si>
  <si>
    <t>ομάδες πεζοπόρων 2ης και 5ης ΕΜΟΔΕ</t>
  </si>
  <si>
    <t>υπό διερεύνηση (κινητοποιήθηκε Ανακριτικό Κλιμάκιο Ιωαννίνων)</t>
  </si>
  <si>
    <t>https://www.pentapostagma.gr/ethnika-themata/esoteriki-asfaleia/7387430_pyrkagia-tora-se-dasos-sti-laista-ioanninon ; https://www.firefightingreece.gr/2026/08/30/pyrkagia-se-dasiki-ektasi-sti-laista-ioanninon-epicheiroun-32-pyrosvestes/ ; https://www.epiruspost.gr/pyrkagia-sti-laista-zagorioy-sto-si/ ; https://www.enikos.gr/society/ioannina-fotia-se-dasiki-ektasi-stin-laista/2636213/</t>
  </si>
  <si>
    <t>Πυρκαγιά σε δάσος, ξεκίνησε βράδυ 30/8. Δεν αναφέρθηκε χρήση εναέριων μέσων (νύχτα). Αρχικά 17 πυροσβέστες, ανέβηκαν σε 32 κατά το 24ωρο δελτίο. Συνεχίζεται 31/8. | Πεζοπόρα τμήματα: 2ης και 5ης ΕΜΟΔΕ.</t>
  </si>
  <si>
    <t>17:00</t>
  </si>
  <si>
    <t>Άγιος Γεώργιος Κέρκυρας</t>
  </si>
  <si>
    <t>Κεντρικής Κέρκυρας και Διαποντίων Νήσων</t>
  </si>
  <si>
    <t>2 ομάδες πεζοπόρων 15ης ΕΜΟΔΕ</t>
  </si>
  <si>
    <t>Δήμος Κεντρικής Κέρκυρας (υδροφόρα)</t>
  </si>
  <si>
    <t>αδιευκρίνιστη</t>
  </si>
  <si>
    <t>112 ενεργοποιήθηκε — ώρα/τύπος/περιοχές δεν επαληθεύτηκαν (πηγή: tovima.gr «Ήχησε το 112») | 112: ετοιμότητα κατοίκων (ώρα αβέβαιη — επιβεβαιώθηκε από efsyn.gr) | 112 30/8: εκδόθηκε μήνυμα επαγρύπνησης για περιοχή Αγ. Γεωργίου Κέρκυρας (ακριβές κείμενο μη ανακτήσιμο — πηγές: dnews.gr, efsyn.gr)</t>
  </si>
  <si>
    <t>https://www.ertnews.gr/eidiseis/pyrkagia-ston-ag-georgio-kerkyras-enisxyontai-oi-pyrosvestikes-dynameis/ ; https://www.tovima.gr/2026/08/30/society/fotia-tora-stin-kerkyra-epixeiroun-7-enaeria-mesa ; https://www.firefightingreece.gr/2026/08/30/pyrkagia-se-dasiki-ektasi-ston-agio-georgio-kerkyras-epicheiroun-24-pyrosvestes-kai-6-aeroskafi/ ; https://www.iefimerida.gr/ellada/fotia-dasiki-ektasi-kerkyra-epiheiroyn-exi-aeroskafi ; https://www.newsbomb.gr/ellada/story/1759835/fotia-se-dasiki-ektasi-stin-kerkyra-megali-kinitopoiisi-tis-pyrosvestikis ; https://www.larissanet.gr/2026/08/30/pyrkagia-ston-ag-georgio-kerkyras-enischyontai-oi-pyrosvestikes-dynameis/ ; https://todaypress.gr/2026/08/30/fotia-tora-stin-kerkyra-enischythikan-oi-dynameis-machi-me-tis-floges-me-7-enaeria-mesa/ ; https://www.cnn.gr/ellada/story/549977/synagermos-gia-fotia-stin-kerkyra-epixeiroyn-eksi-aeroskafi ; https://www.newsit.gr/ellada/fotia-stin-kerkyra-stin-perioxi-agios-georgios/4761307/ ; https://cretaone.gr/kerkyra-oriothetithike-i-fotia-ston-agio-georgio/ ; https://www.capital.gr/epikairotita/4013388/purkagia-ston-ag-georgio-kerkuras-enisxuontai-oi-purosbestikes-dunameis/ ; https://www.formedia.gr/2026/08/30/fotia-se-dasiki-ektasi-stin-kerkyra-epicheiroun-exi-aeroskafi/ ; https://www.efsyn.gr/ellada/1449940/pyrkagia-stin-kerkyra-minyma-112-sikothikan-enaeria-mesa/ ; https://www.protothema.gr/greece/article/1862726/fotia-tora-se-dasos-ston-agio-georgio-kerkuras-kinitopoiisi-tis-purosvestikis/ ; https://www.tovima.gr/2026/08/30/society/fotia-tora-sto-markopoulo-oropou-minyma-apo-to-112-metopo-kai-stin-kerkyra ; https://www.naftemporiki.gr/society/2155011/choris-energo-metopo-oi-pyrkagies-se-markopoylo-oropoy-kai-kerkyra/ ; https://www.dnews.gr/eidhseis/ellada/605271/fotia-tora-stin-kerkyra-ixise-to-112-sikothikan-7-enaeria-mesa ; https://www.ertnews.gr/eidiseis/ypo-elegxo-i-fotia-ston-ag-georgio-kerkyras/</t>
  </si>
  <si>
    <t>Δύσκολη πρόσβαση, ελαιόδεντρα–θάμνοι, μέτριοι–ισχυροί άνεμοι. Αρχικά 24 πυροσβέστες, ενισχύθηκαν σε 34. Τέσσερις πυρκαγιές παρέμεναν σε εξέλιξη στο 24ωρο 29/8–30/8 18:00 (πηγή: fireservice). | Δύσβατη περιοχή με ελαιώνες και χαμηλή βλάστηση. Μέτριοι έως ισχυροί άνεμοι. Χωρίς ενεργό μέτωπο το βράδυ. Χάρτης ΓΓΠΠ 30/8: ΠΕ Κερκύρας κίτρινο (3). | Ιδιαίτερα δύσβατη περιοχή, ελαιόδεντρα και θάμνοι. Μέτριοι προς ισχυροί άνεμοι. Δεν είχε πλησιάσει κατοικημένες περιοχές κατά τη στιγμή της ενημέρωσης. Μία από τις 4 ενεργές πυρκαγιές στο 24ωρο δελτίο 29-30/8. | Δασική έκταση με ελαιώνες. Δύσκολη πρόσβαση, μέτριοι έως ισχυροί άνεμοι. Δεν απείλησε κατοικημένες περιοχές κατά τη στιγμή δημοσίευσης. Δεν βρέθηκε σήμα 112 για Κέρκυρα — το 112 ηχηθέν εκείνη την ημέρα αφορούσε Μαρκόπουλο Ωρωπού. | Δύσβατο σημείο, ελαιόδεντρα και θάμνοι, ισχυροί άνεμοι. Ως 20:02 δεν είχε πλησιάσει κατοικημένες περιοχές. Αργότερα χωρίς ενεργό μέτωπο.</t>
  </si>
  <si>
    <t>18:30</t>
  </si>
  <si>
    <t>Μαρκόπουλο Ωρωπού</t>
  </si>
  <si>
    <t>Ωρωπού</t>
  </si>
  <si>
    <t>3 ομάδες πεζοπόρων 1ης και 4ης ΕΜΟΔΕ</t>
  </si>
  <si>
    <t>Δήμος Ωρωπού (υδροφόρες), Περιφέρεια Αττικής (μηχανήματα έργου)</t>
  </si>
  <si>
    <t>υπό διερεύνηση (ΑΚΑΕ Αθηνών)</t>
  </si>
  <si>
    <t>112 17:22 προειδοποίηση ετοιμότητας: «παραμείνετε σε ετοιμότητα και ακολουθείτε οδηγίες αρχών» — περιοχή Μαρκόπουλο Ωρωπού Αν. Αττικής· ~17:30 δεύτερο μήνυμα ετοιμότητας | 112 ~17:30: δύο μηνύματα ετοιμότητας/εκκένωσης στην ευρύτερη περιοχή Μαρκοπούλου Ωρωπού — «παραμείνετε σε ετοιμότητα και ακολουθείτε τις οδηγίες των Αρχών» | 112 17:22: ετοιμότητα στο Μαρκόπουλο Ωρωπού (ΠΕ Ανατολικής Αττικής) — «παραμείνετε σε ετοιμότητα και ακολουθείτε τις οδηγίες των αρχών» | 112 17:22 30/8/2026: προειδοποίηση κατοίκων ευρύτερης ζώνης πυρκαγιάς Ωρωπού — παρακολούθηση οδηγιών αρχών | 112 30/8 προειδοποίηση: «Δασική πυρκαγιά στην περιοχή Μαρκόπουλο Ωρωπού — παραμείνετε σε επαγρύπνηση και ακολουθείτε τις οδηγίες των αρχών»</t>
  </si>
  <si>
    <t>https://thepressproject.gr/fotia-se-dasiki-ektasi-sto-markopoulo-oropou-minyma-apo-to-112/ ; https://www.lamiareport.gr/koinonia/item/fotia-ston-oropo-stin-perioxi-markopoulo-minymata-tou-112-ripseis-nerou-apo-4-enaeria-mesa/ ; https://www.tovima.gr/2026/08/30/society/fotia-tora-sto-markopoulo-oropou-minyma-apo-to-112-metopo-kai-stin-kerkyra ; https://www.iefimerida.gr/ellada/fotia-tora-se-dasiki-ektasi-sto-markopoylo-oropoy ; https://www.irafina.gr/fotia-sto-markopoulo-oropou-oriothetithike-i-pyrkagia-paramenoun-sto-simeio-ischyres-dynameis/ ; https://www.enikos.gr/society/fotia-sto-markopoulo-oropou-kaiei-dasiki-ektasi/2636122/ ; https://www.neakriti.gr/koinonia/2197237_oropos-beltiomeni-i-eikona-tis-fotias-sto-markopoylo-47-pyrosbestes-sti-mahi ; https://www.skai.gr/news/greece/pyrkagia-se-dasiki-ektasi-sto-markopoulo-oropou ; https://www.newsit.gr/ellada/fotia-ston-oropo-stin-perioxi-markopoulo-minymata-tou-112-ripseis-nerou-apo-6-enaeria-mesa/4761308/ ; https://todaypress.gr/2026/08/30/fotia-tora-sto-markopoulo-oropou-112-gia-ekkenosi-enischythikan-oi-dynameis-6-enaeria-mesa-sti-machi/ ; https://www.ertnews.gr/eidiseis/ellada/veltiomeni-i-eikona-tis-pyrkagias-sto-markopoulo-oropou/ ; https://www.flash.gr/fotia-tora-sto-markopoylo-oropoy-megali-kinitopoiisi-tis-pyrosvestikis-ichise-to-112-1078908 ; https://www.real.gr/koinonia/arthro/fotia-sto-se-dasiki-ektasi-sto-markopoulo-oropou-ichise-to-112-910851/ ; https://todaypress.gr/2026/08/30/fotia-sto-markopoulo-oropou-energo-to-metopo-konta-sti-mavrosouvala-ichise-to-112/ ; https://www.naftemporiki.gr/society/2154990/fotia-tora-sto-markopoylo-oropoy-pyrkagia-kai-ston-agio-georgyros-kerkyras/ ; https://www.naftemporiki.gr/society/2155011/choris-energo-metopo-oi-pyrkagies-se-markopoylo-oropoy-kai-kerkyra/ ; https://www.irafina.gr/oropos-peripou-30-stremmata-dasikis-ektasis-ekapse-i-fotia-sto-markopoulo-foto-vinteo/ ; https://www.documentonews.gr/article/oriothetithike-i-fotia-sto-markopoulo-oropou-ischyres-dynameis-paramenoun-sto-simeio/</t>
  </si>
  <si>
    <t>Δάσος κοντά στη Μαυροσουβάλα. Αρχικά 24 πυροσβέστες/8 οχήματα/2α+2ε, ενισχύθηκαν σε 47/13/4α+2ε. Πιθανή υποστήριξη ρουμανικής IGSU (βάση Νέα Μακρή, per Yutori 30/8). | Κλιματικός Υπουργός Ε. Τουρνάς επισκέφθηκε το σημείο. Ενεργοποιήθηκε Υπηρεσία Εγκληματολογικής Έρευνας Εμπρησμών. Χάρτης ΓΓΠΠ 30/8: ΠΕ Αττικής κίτρινο (3). | Δασική πευκόφυτη έκταση. Ενεργό μέτωπο κοντά στη Μαυροσουβάλα. Δεν απείλησε οικισμούς. Μία από τις 4 ενεργές πυρκαγιές στο 24ωρο δελτίο Πυροσβεστικής 29-30/8. | Σε πευκόδασος. Βελτιωμένη εικόνα (ertnews.gr). Δεν απείλησε κατοικημένες περιοχές. Ερευνητική ομάδα κινητοποιήθηκε για αίτιο. | Αργότερα χωρίς ενεργό μέτωπο. | Περίπου 30 στρέμματα δασικής έκτασης (≈3 ha). Ισχυρές δυνάμεις παρέμειναν στο σημείο για επιτήρηση μετά την οριοθέτηση.</t>
  </si>
  <si>
    <t>Κορύτιανη Ηγουμενίτσας</t>
  </si>
  <si>
    <t>Θεσπρωτίας</t>
  </si>
  <si>
    <t>Ηγουμενίτσας</t>
  </si>
  <si>
    <t>1 ομάδα πεζοπόρου 5ης ΕΜΟΔΕ</t>
  </si>
  <si>
    <t>Δήμος Ηγουμενίτσας (υδροφόρες)</t>
  </si>
  <si>
    <t>https://www.tanea.gr/2026/08/30/greece/igoumenitsa-pyrkagia-se-dasiki-ektasi-stin-korytiani-epixeiroun-epigeies-kai-enaeries-dynameis/ ; https://www.firefightingreece.gr/2026/08/30/pyrosvestiki-30-agrotodasikes-pyrkagies-to-teleftaio-24oro-14/ ; https://www.newsit.gr/ellada/fotia-stin-igoumenitsa-kaiei-se-xamili-vlastisi-stin-perioxi-korytiani/4761246/ ; https://www.firefightingreece.gr/2026/08/30/pyrkagia-se-dasiki-ektasi-stin-korytiani-igoumenitsas-epicheiroun-22-pyrosvestes-kai-1-aeroskafos/ ; https://www.cnn.gr/ellada/story/549972/fotia-stin-korytiani-igoumenitsas-amesi-kinitopoiisi-tis-pyrosvestikis ; https://www.epirus-tv-news.gr/2026/08/blog-post_5136.html ; https://www.newsbomb.gr/ellada/story/1759821/fotia-stin-igoumenitsa-epixeirei-ena-aeroskafos ; https://messolonghivoice.gr/dasiki-pyrkagia-stin-igoumenitsa-epicheiroun-22-pyrosvestes-kai-enaeria-mesa/ ; https://politeianews.gr/igoumenitsa-fotia-se-chamili-vlastisi-stin-korytiani-kinitopoiisi-epigeion-dynameon-5is-emode-kai-enaerion-meson/ ; https://pelop.gr/igoumenitsa-oriothetithike-i-fotia-stin-koritiani/</t>
  </si>
  <si>
    <t>Δασική έκταση. Επίγειες και εναέριες δυνάμεις σε εξέλιξη. Μία από τις 4 ενεργές πυρκαγιές του 24ωρου 29/8–30/8. | Χαμηλή βλάστηση. Οριοθετήθηκε γρήγορα (λίγο πριν τις 14:00). Χάρτης ΓΓΠΠ 30/8: ΠΕ Θεσπρωτίας μπλε (2). | Δασική και χαμηλή βλάστηση. 1 αεροσκάφος εκτελεί ρίψεις νερού. Μία από τις 4 ενεργές πυρκαγιές στο 24ωρο δελτίο Πυροσβεστικής 29-30/8. | Κινητοποιήθηκε ερευνητική ομάδα αρσονολόγων Θεσπρωτίας. Χαμηλή βλάστηση — δασική έκταση. Περιεχόμενη λίγο πριν τις 14:00. | Δασική έκταση· επιχείρησαν επίγειες (6 οχήματα, 1 ομάδα πεζοπόρων 5ης ΕΜΟΔΕ) και εναέριες (1 αεροσκάφος) δυνάμεις</t>
  </si>
  <si>
    <t>14:40</t>
  </si>
  <si>
    <t>Σήμαντρα Νέας Προποντίδας</t>
  </si>
  <si>
    <t>Νέας Προποντίδας</t>
  </si>
  <si>
    <t>Δήμος Νέας Προποντίδας (υδροφόρα)</t>
  </si>
  <si>
    <t>https://www.cnn.gr/ellada/story/549961/xoris-energo-metopo-i-pyrkagia-pou-ksespase-sta-simantra-xalkidikis ; https://www.iefimerida.gr/ellada/horis-energo-metopo-fotia-sta-simantra-halkidikis ; https://www.documentonews.gr/article/fotia-tora-sta-simantra-chalkidikis-epicheirei-elikoptero/ ; https://www.eleftherostypos.gr/ellada/chalkidiki-fotia-sta-simantra-epicheirei-ena-enaerio-meso ; https://www.newsbomb.gr/ellada/story/1759817/fotia-sti-nea-propontida-xalkidikis-epixeirei-kai-ena-elikoptero ; https://www.in.gr/2026/08/30/greece/fotia-sti-xalkidiki-sikothike-ena-elikoptero/amp/</t>
  </si>
  <si>
    <t>Χαμηλή βλάστηση. ΕΣΚΕΔΙΚ παρακολούθηση με drone (θερμική+οπτική κάμερα). Χωρίς ενεργό μέτωπο από 14:40. Danger_level 2 βάσει ΓΓΠΠ χάρτη 30/8 (Χαλκιδική εμπίπτει σε μπλε ζώνη). | Χαμηλή βλάστηση, Δήμος Νέας Προποντίδας. | Χαμηλή βλάστηση· χωρίς ενεργό μέτωπο</t>
  </si>
  <si>
    <t>Σήμαντρα Χαλκιδικής</t>
  </si>
  <si>
    <t>Νέα Προποντίδα</t>
  </si>
  <si>
    <t>Δήμος Νέας Προποντίδας (υδροφόρες)</t>
  </si>
  <si>
    <t>https://www.cnn.gr/ellada/story/549961/xoris-energo-metopo-i-pyrkagia-pou-ksespase-sta-simantra-xalkidikis ; https://www.athensvoice.gr/epikairotita/ellada/982696/fotia-tora-sta-simadra-halkidikis/ ; https://www.newsbomb.gr/ellada/story/1759817/fotia-sti-nea-propontida-xalkidikis-epixeirei-kai-ena-elikoptero ; https://www.naftemporiki.gr/society/2154951/fotia-tora-sta-simantra-chalkidikis/</t>
  </si>
  <si>
    <t>Ανακριτικό Κλιμάκιο Αντιμετώπισης Εγκλημάτων Εμπρησμού Χαλκιδικής κινητοποιήθηκε. Παρακολούθηση μέσω drone (θερμική + οπτική κάμερα) από ΕΣΚΕΔΙΚ.</t>
  </si>
  <si>
    <t>11:05</t>
  </si>
  <si>
    <t>Διμήνι Κορινθίας</t>
  </si>
  <si>
    <t>Σικυωνίων</t>
  </si>
  <si>
    <t>1 ομάδα πεζοπόρων 9ης ΕΜΟΔΕ</t>
  </si>
  <si>
    <t>Δήμος Σικυωνίων (υδροφόρες)</t>
  </si>
  <si>
    <t>υπό διερεύνηση (ανακριτική ομάδα εμπρησμών κινητοποιήθηκε)</t>
  </si>
  <si>
    <t>https://www.tanea.gr/2026/08/30/greece/fotia-sto-dimini-korinthias-sikothike-kai-elikoptero/ ; https://www.ekathimerini.com/news/1313776/firefighters-battle-brush-fire-in-northern-peloponnese/ ; https://www.loutrakiblog.gr/2026/08/30/kiato-fotia-sto-diminio-me-isxyres-epigeies-kai-enaeries-dynameis/ ; https://workenter.gr/fotia-sto-diminio-korinthias-990588 ; https://www.athensvoice.gr/epikairotita/ellada/982671/fotia-tora-sto-diminio-korinthias/ ; https://www.cnn.gr/ellada/story/549939/fotia-sto-diminio-korinthias-sikothike-kai-elikoptero ; https://newpost.gr/eidiseis/fotia-sto-diminio-korinthias-epicheiroyn-21-pyrosvestes-kai-elikoptero/ ; https://www.korinthia.net.gr/2026/08/31/120985/ ; https://www.news247.gr/ellada/fotia-sto-diminio-korinthias-sikothike-elikoptero/ ; https://www.naftemporiki.gr/society/2154913/fotia-tora-sto-diminio-korinthias-sikothike-ena-elikoptero/ ; https://www.tanea.gr/2026/08/30/greece/korinthia-xoris-energo-metopo-i-fotia-sto-diminio ; https://www.cnn.gr/ellada/story/549942/xoris-energo-metopo-i-fotia-sto-diminio-korinthias ; https://www.skai.gr/news/greece/fotia-sto-diminio-korinthias-sikothike-elikoptero ; https://www.zougla.gr/greece/fotia-stin-korintho/ ; https://www.lamiareport.gr/ellada/item/pyrkagia-sto-diminio-korinthias-kaiei-xamili-vlastisi/ ; https://pelop.gr/fotia-sto-diminio-korinthias-epicheiroun-epigeies-dynameis-kai-elikoptero/</t>
  </si>
  <si>
    <t>Χαμηλή βλάστηση. Κίνδυνος κατηγορία 3 από χάρτη ΓΓΠΠ 30/8 (Κορινθία κίτρινο). | Χαμηλή βλάστηση, κοντά στο Κιάτο. Αναφέρεται ως «Βόρεια Πελοπόννησος» στο Yutori Scout 30/8 (πηγή: ekathimerini.com). | Ανακοινώθηκε από Yutori Scout 30/8. Βλάστηση κοντά στο χωριό Διμήνιο. Υπό κατάσβεση με πυροσβέστες και ελικόπτερο ρίψης νερού. Αριθμοί δυνάμεων μη διαθέσιμοι. Χάρτης ΓΓΠΠ 30/8: ΠΕ Κορινθίας κίτρινο (3). | Χαμηλή βλάστηση. Χωρίς ενεργό μέτωπο κατά την επίσημη ενημέρωση. Yutori: κοντά στο χωριό Διμήνιο. Korinthia.net: αναφέρεται και ως Πάσιο — πιθανώς ίδιο περιστατικό/αναζωπύρωση 31/8 με ίδιες δυνάμεις. | Χαμηλή βλάστηση. Χωρίς ενεργό μέτωπο. Δυνάμεις παρέμειναν σε επαγρύπνηση για αναζωπυρώσεις. | Χαμηλή βλάστηση. Παρακολούθηση μέσω drone ΕΣΚΕΔΙΚ (θερμική + οπτική κάμερα). Αργότερα χωρίς ενεργό μέτωπο. | Χαμηλή βλάστηση. Χωρίς ενεργό μέτωπο μετά κατάσβεση. Yutori email (30/8) ανέφερε «ενεργή», web: χωρίς ενεργό μέτωπο. | Χαμηλή βλάστηση. Χωρίς ενεργό μέτωπο (naftemporiki.gr). Ανακριτικό Κλιμάκιο Εμπρησμού Κορινθίας ερευνά αιτία. | Χωρίς ενεργό μέτωπο· Δ.Α.Ε.Ε. Δυτικής Αττικής ερευνά αίτια | Φωτιά σε χαμηλή βλάστηση. ΕΣΚΕΔΙΚ παρακολουθούσε με drone (θερμική+οπτική κάμερα). Δεν αναφέρθηκε ενεργό μέτωπο την ίδια ημέρα. Danger_level από χάρτη ΓΓΠΠ 30/08/2026. | Χαμηλή βλάστηση, κατηγορία κινδύνου 3. Κινητοποιήθηκε Υπηρεσία Εγκληματολογικής Έρευνας Πυρκαγιών Κορινθίας (αίτιο υπό διερεύνηση). Drone ΕΣΚΕΔΙΚ. «Χωρίς ενεργό μέτωπο» αναφέρθηκε την ίδια ημέρα. Καμένη έκταση δεν επιβεβαιώθηκε.</t>
  </si>
  <si>
    <t>08:10</t>
  </si>
  <si>
    <t>Ξηρόμερο (Ιόνια Οδός)</t>
  </si>
  <si>
    <t>αμέλεια – βλάβη βαρέος οχήματος (νταλίκα) στην Ιόνια Οδό</t>
  </si>
  <si>
    <t>https://www.tovima.com/society/four-arrested-in-greece-over-fires-amid-extreme-risk/ ; https://www.agriniosite.gr/syllipsi-sto-xiromero-gia-pyrkagia-se-ypaithrio-choro/ ; https://www.agrinioculture.gr/2026/08/31/xiromero-syllipsi-gia-proklisi-pyrkagias-apo-to-anakritiko-tis-pyrosvestikis/ ; https://www.skai.gr/news/greece/pyrkagia-se-xamili-vlastisi-sto-ksiromero-aitoloakarnanias ; https://pelop.gr/fotia-sto-xiromero-aitoloakarnanias-tria-enaeria-sti-machi/ ; https://www.iefimerida.gr/ellada/syllipseis-hania-aitoloakarnania-proklisi-fotias ; https://www.patrisnews.com/syllipsi-odigoy-ntalikas-sto-xiromero-gia-pyrkagia-apo-ameleia-stin-ionia-odo/</t>
  </si>
  <si>
    <t>Πρανές ξηρών χόρτων επί Ιονίας Οδού, Δήμος Ξηρομέρου. Σύλληψη ημεδαπού από ΑΚΑΕΕ Αιτωλοακαρνανίας. | Σύλληψη Έλληνα πολίτη αυθημερόν (30/08) σε αυτόφωρο από ΑΚΑΕΕ Αιτωλοακαρνανίας για πρόκληση πυρκαγιάς σε ύπαιθρο χώρο κατά παράβαση μέτρων πυρασφάλειας — ενδέχεται να αφορά το ίδιο ή διαφορετικό συμβάν από τη βλάβη νταλίκας. | Δύο σημεία εστίας κοντά στη Σταυρόδρομο Κουβαρέ. Τρία εναέρια μέσα ανέλαβαν δράση. Περιορίστηκε άμεσα. Danger_level από χάρτη ΓΓΠΠ 30/08/2026.</t>
  </si>
  <si>
    <t>Ξηρόμερο Αιτωλοακαρνανίας</t>
  </si>
  <si>
    <t>Ξηρόμερο</t>
  </si>
  <si>
    <t>πεζοπόρο τμήμα 6ης ΕΜΟΔΕ</t>
  </si>
  <si>
    <t>αμέλεια</t>
  </si>
  <si>
    <t>https://www.tovima.com/society/four-arrested-in-greece-over-fires-amid-extreme-risk/ ; https://www.agriniosite.gr/syllipsi-sto-xiromero-gia-pyrkagia-se-ypaithrio-choro/ ; https://www.agrinioculture.gr/2026/08/31/xiromero-syllipsi-gia-proklisi-pyrkagias-apo-to-anakritiko-tis-pyrosvestikis/ ; https://pelop.gr/fotia-sto-xiromero-aitoloakarnanias-tria-enaeria-sti-machi/ ; https://www.aixmi-news.gr/sto-aftoforo-andras-gia-pyrkagia-sto-xiromero/</t>
  </si>
  <si>
    <t>Συνελήφθη άτομο. Περιεχόμενη αμέσως. | Ακολούθησε σύλληψη για αμέλεια. | Σύλληψη Έλληνα πολίτη αυθημερόν (30/08) σε αυτόφωρο από ΑΚΑΕΕ Αιτωλοακαρνανίας για πρόκληση πυρκαγιάς σε ύπαιθρο χώρο κατά παράβαση μέτρων πυρασφάλειας. Επέμβαση Πυροσβεστικής Αγρινίου. | Άμεσα περιορίστηκε· ένας εκ των 4 συνολικά συλληφθέντων για αμέλεια στο 29–30 Αυγ.</t>
  </si>
  <si>
    <t>19:30</t>
  </si>
  <si>
    <t>Βαμβακόπουλο Χανίων</t>
  </si>
  <si>
    <t>Χανίων</t>
  </si>
  <si>
    <t>1 ομάδα πεζοπόρων 19η ΕΜΟΔΕ</t>
  </si>
  <si>
    <t>https://voicenews.gr/chania-pyrkagia-se-chamili-vlastisi-sto-vamvakopoulo/ ; https://www.dnews.gr/eidhseis/ellada/607123/fotia-tora-sta-xania ; https://www.documentonews.gr/article/fotia-tora-sta-chania-kinitopoiithikan-enaeria-mesa/ ; https://civilprotection.gov.gr/en/deltia-tupou/akraios-kindynos-pyrkagias-katastasi-synagermoy-katigoria-kindynoy-5-kai-poly-ypsilos-kindynos-10 ; https://www.tovima.com/society/four-arrested-in-greece-over-fires-amid-extreme-risk/ ; https://www.iefimerida.gr/ellada/syllipseis-hania-aitoloakarnania-proklisi-fotias ; https://www.naftemporiki.gr/society/2155048/pyrkagies-tesseris-syllipseis-se-chania-kai-aitoloakarnania-prostima-synolikoy-ypsoys-10-400-eyro/ ; https://www.newshub.gr/el/kriti/chania-amesa-tethike-ypo-elegcho-pyrkagia-sto-vamvakopoylo ; https://www.skai.gr/news/greece/tesseris-syllipseis-se-xania-kai-aitoloakarnania-gia-proklisi-pyrkagias-prostima-synolikou</t>
  </si>
  <si>
    <t>Χαμηλή βλάστηση. Documentonews αναφέρει εναέρια — πιθανώς επόμενη φάση ή παράλληλη εστία. Χάρτης 29/8: Κρήτη κόκκινο (Κατ.5). Email Yutori 29/8 επιβεβαιώνει Κατ.5 Κρήτη. | Συνελήφθη άτομο για αμέλεια. Περιεχόμενη αμέσως. | Περιορίστηκε άμεσα. Ακολούθησε σύλληψη για αμέλεια. | Περιορίστηκε άμεσα. Σύλληψη από ΑΚΑΕΕ Χανίων. | Ημεδαπός συνελήφθη για άναμμα πυρός κατά τη διάρκεια πολιτιστικής εκδήλωσης· πρόστιμο 3.750€. Κατηγορία κινδύνου 5 (ακραίος). Αμέσως τέθηκε υπό έλεγχο.</t>
  </si>
  <si>
    <t>18:45</t>
  </si>
  <si>
    <t>Αλεξάνδρεια Ημαθίας (Εγνατία χλμ 276)</t>
  </si>
  <si>
    <t>Ημαθίας</t>
  </si>
  <si>
    <t>Αλεξάνδρεια</t>
  </si>
  <si>
    <t>Ξεκίνησε από φορτηγό στην Εγνατία Οδό, επεκτάθηκε σε χαμηλή βλάστηση</t>
  </si>
  <si>
    <t>https://www.tanea.gr/2026/08/29/greece/veroia-pyrkagia-stin-egnatia-odo-stin-aleksandreia-imathias-ksekinise-apo-fortigo-kai-epek ; https://www.newsit.gr/ellada/fotia-stin-aleksandreia-imathias-stin-egnatia-odo/4760849/ ; https://www.enikos.gr/society/fotia-stin-alexandreia-imathias-xespase-se-fortigo-stin-egnatia-odo-kai-epektathike-se-chamili-vlastisi/2635754/ ; https://todaypress.gr/2026/08/29/fotia-tora-stin-imathia-synagermos-stin-egnatia-odo-kinitopoiithike-amesa-i-pyrosvestiki/ ; https://www.cnn.gr/ellada/story/549909/oriothetithike-i-fotia-stin-egnatia-odo-stin-aleksandreia-imathias</t>
  </si>
  <si>
    <t>Κλειστό ρεύμα προς Θεσσαλονίκη κατά τη διάρκεια. Υπό έλεγχο πριν τις 21:00. Χάρτης ΓΓΠΠ 29/8 δεν κατέβηκε — ΠΕ Ημαθίας πιθανώς μπλε (2) βάσει γεωγραφίας.</t>
  </si>
  <si>
    <t>Γαλάτας Χανίων</t>
  </si>
  <si>
    <t>https://www.tovima.com/society/four-arrested-in-greece-over-fires-amid-extreme-risk/ ; https://www.iefimerida.gr/ellada/syllipseis-hania-aitoloakarnania-proklisi-fotias ; https://www.skai.gr/news/greece/xania-3-syllipseis-gia-proklisi-pyrkagias-prostima-ypsous-10400-eyro</t>
  </si>
  <si>
    <t>Συνελήφθη άτομο για αμέλεια. Περιεχόμενη αμέσως. | Περιορίστηκε άμεσα. Ακολούθησε σύλληψη για αμέλεια. | Περιορίστηκε άμεσα. Σύλληψη από ΑΚΑΕΕ Χανίων.</t>
  </si>
  <si>
    <t>Πλεκάντινα Χανίων</t>
  </si>
  <si>
    <t>https://www.tovima.com/society/four-arrested-in-greece-over-fires-amid-extreme-risk/ ; https://www.iefimerida.gr/ellada/syllipseis-hania-aitoloakarnania-proklisi-fotias ; https://www.tanea.gr/2026/08/30/greece/tesseris-syllipseis-se-xania-kai-aitoloakarnania-gia-proklisi-pyrkagias-prostima-synolikou-ypsous-10-400-eyro ; https://www.naftemporiki.gr/society/2155048/pyrkagies-tesseris-syllipseis-se-chania-kai-aitoloakarnania-prostima-synolikoy-ypsoys-10-400-eyro/</t>
  </si>
  <si>
    <t>Συνελήφθη άτομο για αμέλεια. Καμένη έκταση ~20 τ.μ. Περιεχόμενη αμέσως. | Περιορίστηκε σε ~20 τ.μ. (0,002 ha). Ακολούθησε σύλληψη για αμέλεια. | Περιορίστηκε σε ~20 τ.μ. (≈0,002 εκτ.). Σύλληψη από ΑΚΑΕΕ Χανίων. Πρόστιμο στο σύνολο 3 περιστατικών Χανίων: 10.429,68 €.</t>
  </si>
  <si>
    <t>Σπινάρη</t>
  </si>
  <si>
    <t>Κοζάνης</t>
  </si>
  <si>
    <t>1 ομάδα πεζοπόρων 8η ΕΜΟΔΕ</t>
  </si>
  <si>
    <t>Δήμος Κοζάνης (υδροφόρες)</t>
  </si>
  <si>
    <t>https://www.naftemporiki.gr/society/2154720/kozani-fotia-tora-se-chamili-vlastisi-stin-periochi-spinari/ ; https://www.emakedonia.gr/kozani-grigora-tethike-ypo-elegcho-fotia-stin-periochi-spinari ; https://www.thestival.gr/eidiseis/astynomika/kozani-ypo-elegcho-i-pyrkagia-poy-ekdil/</t>
  </si>
  <si>
    <t>Χαμηλή βλάστηση. Χάρτης 29/8: ΠΕ Κοζάνης μπλε (Κατ.2). | Χαμηλή βλάστηση. Γρήγορη αντιμετώπιση. Ανακριτικό Κλιμάκιο Εμπρησμού Κοζάνης ερευνά αιτία.</t>
  </si>
  <si>
    <t>Χρυσόκαστρο Καβάλας</t>
  </si>
  <si>
    <t>Δήμος Παγγαίου</t>
  </si>
  <si>
    <t>1 ομάδα πεζοπόρων</t>
  </si>
  <si>
    <t>Δήμος Παγγαίου (υδροφόρες)</t>
  </si>
  <si>
    <t>https://www.protothema.gr/tag/fotia-tora/ ; https://www.protothema.gr/greece/article/1870326/fotia-se-dasiki-ektasi-sto-hrusokastro-kavalas-epiheirei-ena-elikoptero/ ; https://www.zougla.gr/greece/fotia-stin-kavala-2/ ; https://www.voria.gr/article/pyrkagia-se-dasiki-ektasi-sto-hrysokastro-kabalas-sikothike-elikoptero ; https://www.thestival.gr/eidiseis/astynomika/kavala-ypo-meriko-elegcho-i-fotia-se-das/ ; https://www.newsit.gr/ellada/fotia-stin-kavala-stin-perioxi-xrysokastro-sikothike-ena-elikoptero/4759203/ ; https://www.emakedonia.gr/kavala-dasiki-pyrkagia-sto-chrysokastro ; https://www.eleftherostypos.gr/ellada/oriothetithike-i-fotia-sto-chrysokastro-kavalas</t>
  </si>
  <si>
    <t>Κατά protothema.gr 28 Αυγ: «μερικώς υπό έλεγχο». | Δασική έκταση. Οριοθετήθηκε εντός ~15 λεπτών (zougla.gr). Αιτία υπό διερεύνηση (Ανακριτικό Κλιμάκιο Εμπρησμού Καβάλας). | Πολλαπλές πηγές αναφέρουν Πέμπτη 27/08/2026 ως ημερομηνία εκδήλωσης – πιθανή λανθασμένη καταχώρηση στο αρχείο (η 28/08 ήταν Παρασκευή). Οριοθετήθηκε εντός ~15 λεπτών από έναρξη.</t>
  </si>
  <si>
    <t>15:45</t>
  </si>
  <si>
    <t>Ανοιξιάτικα Δήμου Αριστοτέλη</t>
  </si>
  <si>
    <t>υπό έρευνα (Πυροδιώκτης Χαλκιδικής)</t>
  </si>
  <si>
    <t>112 16:50: ετοιμότητα κατοίκων — «Παραμείνετε σε ετοιμότητα και ακολουθήστε αυστηρά τις οδηγίες των αρχών»</t>
  </si>
  <si>
    <t>https://www.tanea.gr/2026/08/28/greece/fotia-tora-sta-anoiksiatika-xalkidikis-megali-kinitopoiisi-tis-pyrosvestikis/ ; https://www.skai.gr/news/greece/fotia-se-dasiki-ektasi-sta-anoiksiatika-xalkidikis ; https://www.newsbeast.gr/greece/arthro/13319303/fotia-anoiksiatika-xalkidikis-elikoptero ; https://thepressproject.gr/pyrkagia-se-dasos-sti-chalkidiki-stin-periochi-anoixiatika-epicheirei-elikoptero ; https://www.newsbomb.gr/ellada/story/1759515/xalkidiki-fotia-se-dasiki-ektasi-sta-anoiksiatika ; https://voicenews.gr/machi-me-tis-floges-sti-chalkidiki-ischyres-epigeies-dynameis-kai-elikoptero-sti-machi-tis-katasvesis/ ; https://www.tovima.gr/2026/08/28/society/fotia-sta-anoiksiatika-xalkidikis/ ; https://www.emakedonia.gr/chalkidiki-dasiki-pyrkagia-stin-periochi-anoixiatika-823508 ; https://www.ertnews.gr/roi-idiseon/xalkidiki-fotia-se-dasiki-ektasi-sta-anoiksiatika-tou-dimou-aristoteli-sikothike-elikoptero/ ; https://www.eleftherostypos.gr/ellada/fotia-tora-sti-chalkidiki-42-pyrosvestes-kai-elikoptero-sti-machi-me-tis-floges ; https://www.thetoc.gr/koinwnia/article/fotia-sta-anoixiatika-xalkidikis-kaiei-se-dasiki-ektasi---epixeirei-ena-elikoptero/ ; https://www.emakedonia.gr/chalkidiki-choris-energo-metopo-i-fotia-sta-anoixiatika-823520 ; https://www.enikos.gr/society/chalkidiki-fotia-se-dasiki-ektasi-sta-anoixiatika-ischyres-dynameis-sto-simeio/2635218/ ; https://www.tovima.gr/2026/08/28/society/fotia-sta-anoiksiatika-xalkidikis ; https://www.newsbomb.gr/ellada/story/1759515/xalkidiki-fotia-se-dasiki-ektasi-sta-anoixiatika</t>
  </si>
  <si>
    <t>Δασική έκταση· δεν αναφέρθηκε απειλή κατοικημένων περιοχών κατά τον χρόνο αναφοράς· εντολή κινητοποίησης Πυροδιώκτη. | Δασική έκταση. Απαγόρευση κυκλοφορίας σε δασικές περιοχές Χαλκιδικής 29/08 (κατηγορία κινδύνου 3). | Ενεργοποίηση ομάδας εμπρησμού Χαλκιδικής για διερεύνηση αιτίας | Χάρτης ΓΓΠΠ 28/8: ΠΕ Χαλκιδικής = κίτρινο (κατ. 3 — επιβεβαιώνεται και από τα ΜΜΕ). Δεν βρέθηκε σήμα 112. | Δασική έκταση. Χωρίς ενεργό μέτωπο εντός της ίδιας ημέρας. Danger_level 3 επιβεβαιωμένο από πηγή (κατηγορία 3 για Χαλκιδική 28/8) και ΓΓΠΠ χάρτη 28/8. | Δύο ομάδες πεζοπόρων 2ης ΕΜΟΔΕ. Συνδρομή Δήμου Αριστοτέλη (υδροφόρες). Χωρίς ενεργό μέτωπο κατά τελευταία ανακοίνωση.</t>
  </si>
  <si>
    <t>Ανοιξιάτικα Χαλκιδικής</t>
  </si>
  <si>
    <t>Δήμος Αριστοτέλη βυτιοφόρα</t>
  </si>
  <si>
    <t>υπό διερεύνηση (ανακριτικό κλιμάκιο εμπρησμών Χαλκιδικής)</t>
  </si>
  <si>
    <t>https://www.skai.gr/news/greece/fotia-se-dasiki-ektasi-sta-anoiksiatika-xalkidikis ; https://www.enikos.gr/society/chalkidiki-fotia-se-dasiki-ektasi-sta-anoixiatika-ischyres-dynameis-sto-simeio/2635218/ ; https://www.eleftherostypos.gr/ellada/fotia-tora-sti-chalkidiki-42-pyrosvestes-kai-elikoptero-sti-machi-me-tis-floges ; https://www.firefightingreece.gr/2026/08/28/pyrosvestiki-38-agrotodasikes-pyrkagies-to-teleftaio-24oro-11/ ; https://www.emakedonia.gr/chalkidiki-choris-energo-metopo-i-fotia-sta-anoixiatika-823520 ; https://www.newsit.gr/ellada/fotia-sti-xalkidiki-stin-perioxi-anoiksiatika-sikothike-ena-elikoptero/4760125/ ; https://www.rthess.gr/ellada/chalkidiki-pyrkagia-se-dasiki-ektasi-ston-dimo-aristoteli/</t>
  </si>
  <si>
    <t>Κίνδυνος κατηγορία 3 από χάρτη ΓΓΠΠ 28/8. Φωτιά σε δασική έκταση. Άγνωστη τελική κατάσταση κατά την ώρα έκδοσης. | Ίδιο περιστατικό με «Ανοιξιάτικα Δήμου Αριστοτέλη». Χωρίς ενεργό μέτωπο. Δύο ομάδες ΕΜΟΔΕ, συνδρομή Δήμου Αριστοτέλη (υδροφόρες).</t>
  </si>
  <si>
    <t>14:15</t>
  </si>
  <si>
    <t>14:35</t>
  </si>
  <si>
    <t>Αυλάκι Στυλίδας</t>
  </si>
  <si>
    <t>υπό διερεύνηση (ανακριτικό κλιμάκιο Φθιώτιδας)</t>
  </si>
  <si>
    <t>https://www.skai.gr/news/greece/esvise-mesa-se-20-lepta-i-pyrkagia-sto-aylaki-stylidas</t>
  </si>
  <si>
    <t>Κατασβέστηκε σε ~20 λεπτά. Χαμηλή βλάστηση. Κίνδυνος κατηγορία 3 από χάρτη ΓΓΠΠ 28/8.</t>
  </si>
  <si>
    <t>2026-08-30</t>
  </si>
  <si>
    <t>Περδικοκορυφή Γόρτυνας</t>
  </si>
  <si>
    <t>Γόρτυνα</t>
  </si>
  <si>
    <t>2 ομάδες πεζοπόρων 3ης ΕΜΟΔΕ</t>
  </si>
  <si>
    <t>βυτιοφόρα Δήμου Γόρτυνας</t>
  </si>
  <si>
    <t>https://www.firefightingreece.gr/2026/08/28/fotia-se-agrotodasiki-ektasi-stin-perdikokoryfi-amesi-kinitopoiisi-tis-pyrosvestikis/ ; https://www.iefimerida.gr/ellada/fotia-sto-irakleio-kritis-sti-thesi-perdikokoryfi ; https://www.vradini.gr/ellada/fotia-stin-perdikokoryfi-irakleioy-megali-kinitopoiisi-tis-pyrosvestikis/1653607/ ; https://www.documentonews.gr/article/fotia-tora-sto-irakleio-stin-thesi-perdikokoryfi/ ; https://pelop.gr/fotia-sto-irakleio-synagermos-stin-perdikokoryfi-tou-dimou-gortynas/ ; https://www.politica.gr/kriti/sunagermos-sti-gortuna-fotia-stin-perdikokorufi-sikothike-elikoptero-ischures-dunameis-sto-simeio ; https://www.skai.gr/news/greece/irakleio-fotia-se-agrotodasiki-ektasi-stin-thesi-perdikokoryfi ; https://www.naftemporiki.gr/society/2154477/fotia-tora-sti-gortyna-irakleioy-kritis/ ; https://www.businessdaily.gr/koinonia/228502_ypo-meriko-elegho-i-pyrkagia-stin-perdikokoryfi-gortynas-sto-irakleio</t>
  </si>
  <si>
    <t>Αγροτοδασική έκταση· υπό έλεγχο εντός ~30 λεπτών· ενεργοποίηση ομάδας εμπρησμού Ηρακλείου | Αγροτοδασική, θέση Περδικοκορυφή Γόρτυνας. «Ισχυρές δυνάμεις στο σημείο» — πλήρης αριθμητική σύνθεση αδιευκρίνιστη. danger_level από χάρτη ΓΓΠΠ 28/8 (Κρήτη πορτοκαλί).</t>
  </si>
  <si>
    <t>Πλουτοχώρι (Νέο Χωριό)</t>
  </si>
  <si>
    <t>Ανδρίτσαινας-Κρεστένων</t>
  </si>
  <si>
    <t>2 ομάδες πεζοπόρων 18η ΕΜΟΔΕ</t>
  </si>
  <si>
    <t>υδροφόρες δήμου</t>
  </si>
  <si>
    <t>112 13:52: ετοιμότητα κατοίκων Νέου Χωριού | 112 ~13:52: προειδοποίηση ετοιμότητας – «Δασική πυρκαγιά Νέο Χωριό ΠΕ Ηλείας. Παραμείνετε σε ετοιμότητα.» (αφορά οικισμό Νέο Χωριό) | true</t>
  </si>
  <si>
    <t>https://www.patrisnews.com/ileia-oriothetithike-i-fotia-sto-ploytochori-foto/ ; https://www.documentonews.gr/article/ypo-elegcho-i-fotia-sto-ploutochori-ileias-meta-apo-enischysi-ton-dynameon-tis-pyrosvestikis/ ; https://www.skai.gr/news/greece/irakleio-fotia-se-agrotodasiki-ektasi-stin-thesi-perdikokoryfi ; https://tomanifesto.gr/fotia-stin-ileia-anamesa-se-3-choria-minyma-112-gia-etoimotita-250329 ; https://www.ekklisiaonline.gr/nea/fotia-sto-ploutochori-ilias-112-gia-etimotita-sto-neo-chorio/ ; https://www.naftemporiki.gr/society/2154474/fotia-tora-sto-ploytochori-ileias/ ; https://www.enikos.gr/society/fotia-sto-ploutochori-ileias-kaiei-agrotodasiki-ektasi/2635118/ ; https://www.ethnos.gr/greece/article/418839/fotiatorastoploytoxorihleias112giaetoimothtastoneoxorio ; https://www.cnn.gr/ellada/story/549758/fotia-stin-agrotodasiki-ektasi-stin-ileia-epixeiroyn-epigeies-kai-enaeries-dynameis ; https://pelop.gr/fotia-stin-ileia-synagermos-sto-ploutochori-minyma-apo-to-112/ ; https://www.libre.gr/2026/08/28/ileia-fotia-anamesa-se-3-choria-minyma-e/ ; https://www.vradini.gr/ellada/fotia-tora-sto-ploytoxori-ileias-epixeiroyn-3-aeroskafi/1653599/ ; https://thepressproject.gr/fotia-stin-ileia-ischyres-dynameis-stin-ploutochori-ichise-to-112</t>
  </si>
  <si>
    <t>Αγροτοδασική έκταση ανάμεσα σε 3 χωριά. Ενισχύθηκαν δυνάμεις πριν τον έλεγχο. | Αγροτοδασική εστία μεταξύ 3 χωριών. Ανακριτικό Κλιμάκιο Εμπρησμού για διερεύνηση αιτιών. danger_level από χάρτη ΓΓΠΠ 28/8.</t>
  </si>
  <si>
    <t>14:41</t>
  </si>
  <si>
    <t>Πλουτοχώρι Ηλείας</t>
  </si>
  <si>
    <t>2 ομάδες πεζοπόρων 18ης ΕΜΟΔΕ</t>
  </si>
  <si>
    <t>βυτιοφόρα Δήμου Ανδρίτσαινας-Κρεστένων</t>
  </si>
  <si>
    <t>υπό διερεύνηση (ανακριτικό κλιμάκιο Ηλείας)</t>
  </si>
  <si>
    <t>112 13:52: ετοιμότητα κατοίκων Νέου Χωριού ΠΕ Ηλείας — «Παραμείνετε σε ετοιμότητα και ακολουθήστε τις οδηγίες των αρχών» | 112 στις 13:52: προειδοποίηση ετοιμότητας κατοίκων Νέου Χωριού — ακολουθείτε οδηγίες αρχών</t>
  </si>
  <si>
    <t>https://www.efsyn.gr/ellada/1456074/fotia-sto-ploytohori-ileias-epiheiroyn-tria-enaeria/ ; https://www.eleftherostypos.gr/ellada/ileia-fotia-tora-sto-ploutochori-ichise-to-112 ; https://www.vradini.gr/ellada/fotia-tora-sto-ploytoxori-ileias-epixeiroyn-3-aeroskafi/1653599/ ; https://tomanifesto.gr/fotia-stin-ileia-anamesa-se-3-choria-minyma-112-gia-etoimotita-250329 ; https://ifn.gr/2026/08/28/%CF%86%CF%89%CF%84%CE%B9%CE%AC-%CF%83%CF%84%CE%B7%CE%BD-%CE%B7%CE%BB%CE%B5%CE%AF%CE%B1-%CF%83%CF%85%CE%BD%CE%B1%CE%B3%CE%B5%CF%81%CE%BC%CF%8C%CF%82-%CF%83%CF%84%CE%BF-%CF%80%CE%BB%CE%BF%CF%85%CF%84/ ; https://www.avgi.gr/koinonia/526715_enishysi-ton-dynameon-kai-112-gia-etoimotita-sto-ploytohori-ileias ; https://www.enikos.gr/society/fotia-sto-ploutochori-ileias-kaiei-agrotodasiki-ektasi/2635118/ ; https://www.ethnos.gr/greece/article/418839/fotiatorastoploytoxorihleias112giaetoimothtastoneoxorio ; https://thepressproject.gr/fotia-stin-ileia-ischyres-dynameis-stin-ploutochori-ichise-to-112 ; https://www.cnn.gr/ellada/story/549758/fotia-stin-agrotodasiki-ektasi-stin-ileia-epixeiroyn-epigeies-kai-enaeries-dynameis ; https://www.skai.gr/news/greece/irakleio-fotia-se-agrotodasiki-ektasi-stin-thesi-perdikokoryfi ; https://www.tanea.gr/2026/08/28/greece/fotia-tora-sto-ploutoxori-ileias-sikothikan-aeroskafi-gia-ti-maxi-tis-katasvesis-112-gia-etoimotita</t>
  </si>
  <si>
    <t>Αγροτοδασική έκταση μεταξύ τριών χωριών (Πλουτοχώρι, Νέο Χωριό, Καλλιθέα)· ενισχύθηκαν δυνάμεις κατά τη διάρκεια της επιχείρησης | Πυρκαγιά μεταξύ τριών χωριών ΠΕ Ηλείας. Κίνδυνος κατηγορία 3 από χάρτη ΓΓΠΠ 28/8. | 2 πεζοπόρα τμήματα 18ης ΕΜΟΔΕ</t>
  </si>
  <si>
    <t>Καβάλα</t>
  </si>
  <si>
    <t>1 ομάδα 7ης ΕΜΟΔΕ</t>
  </si>
  <si>
    <t>https://www.naftemporiki.gr/society/2154159/fotia-tora-sto-chrysokastro-kavalas/ ; https://www.emakedonia.gr/kavala-dasiki-pyrkagia-sto-chrysokastro ; https://www.eleftherostypos.gr/ellada/oriothetithike-i-fotia-sto-chrysokastro-kavalas ; https://voicenews.gr/fotia-tora-stin-kavala-pyrkagia-se-dasiki-ektasi-sto-chrysokastro/ ; https://www.eleftherostypos.gr/ellada/fotia-tora-sto-chrysokastro-kavalas-sto-simeio-kai-enaeria-mesa ; https://www.newsit.gr/ellada/ypo-meriko-elegxo-i-fotia-stin-kavala-stin-perioxi-xrysokastro-sikothike-ena-elikoptero/4759203/ ; https://www.protothema.gr/greece/article/1870326/fotia-se-dasiki-ektasi-sto-hrusokastro-kavalas-epiheirei-ena-elikoptero/</t>
  </si>
  <si>
    <t>Οριοθετήθηκε άμεσα — δεν απείλησε κατοικημένες περιοχές. Ανάκριση υπηρεσίας εγκληματολογίας Καβάλας. | Δασική περιοχή· επιχειρούσαν εναέρια μέσα. Λεπτομέρειες δυνάμεων δεν ήταν διαθέσιμες στις πηγές που αντλήθηκαν. | Οριοθετήθηκε σε ~15 λεπτά από την έναρξη (16:15)</t>
  </si>
  <si>
    <t>12:15</t>
  </si>
  <si>
    <t>Κάτω Μονοκαρυά, Ιστιαία</t>
  </si>
  <si>
    <t>Ιστιαίας-Αιδηψού</t>
  </si>
  <si>
    <t>1 πεζοπόρο τμήμα 20ής ΕΜΟΔΕ</t>
  </si>
  <si>
    <t>υδροφόρες Δήμου Ιστιαίας</t>
  </si>
  <si>
    <t>από εργασίες (1 σύλληψη)</t>
  </si>
  <si>
    <t>https://www.ertnews.gr/eidiseis/ellada/eyvoia-oriothetithike-i-pyrkagia-se-xamili-vlastisi-stin-istiaia/ ; https://thepressproject.gr/pyrkagia-stin-istiaia-evvoias-kinitopoiithikan-epigeies-kai-enaeries-dynameis/ ; https://workenter.gr/fotia-tora-stin-evvoia-sti-machi-24-pyrosvestes-kai-2-aeroskafi-stin-istiaia-990057 ; https://www.in.gr/2026/08/27/greece/apo-ergasies-proklithikan-oi-foties-se-eyvoia-kai-xio-dyo-syllipseis/ ; https://meaculpa.gr/pyrkagies-nea-metopa-se-chio-grevena-kai-eyvoia-se-ayximeni-epifylaki-i-pyrosvestiki/ ; https://www.newsit.gr/ellada/oriothetithike-i-fotia-stin-eyvoia-kaiei-xamili-vlastisi-stin-perioxi-kato-monokarya-epixeiroun-2-aeroskafi/4758988/ ; https://www.skai.gr/news/greece/fotia-se-xamili-vlastisi-stin-kato-monokarya-eyvoias</t>
  </si>
  <si>
    <t>Χαμηλή βλάστηση· κοντά σε κατοικίες χωρίς κίνδυνο επέκτασης. Χωρίς ενεργό μέτωπο μετά κατάσβεση. | Χαμηλή βλάστηση. Κλιμάκιο εμπρησμού Εύβοιας ενεργοποιήθηκε. Καμένη έκταση και ώρα ελέγχου δεν εντοπίστηκαν.</t>
  </si>
  <si>
    <t>2026-08-29</t>
  </si>
  <si>
    <t>Χρώμιο</t>
  </si>
  <si>
    <t>https://www.naftemporiki.gr/society/2154000/fotia-tora-sto-chromio-kozanis/ ; https://www.skai.gr/news/greece/fotia-se-dasiki-ektasi-sto-xromio-grevenon ; https://www.firefightingreece.gr/2026/08/27/pyrkagia-se-dasiki-ektasi-sto-chromio-grevenon-epicheiroun-21-pyrosvestes-kai-1-elikoptero/</t>
  </si>
  <si>
    <t>Πυρκαγιά στα σύνορα Κοζάνης–Γρεβενών στη θέση Χρώμιο. | Αναφέρεται και ως Χρώμιο Γρεβενών (ΣΚΑΪ, firefightingreece.gr)· εστία στα σύνορα νομών Κοζάνης-Γρεβενών</t>
  </si>
  <si>
    <t>Χρώμιο (όρια Κοζάνης-Γρεβενών)</t>
  </si>
  <si>
    <t>Γρεβενών</t>
  </si>
  <si>
    <t>1 ομάδα πεζοπόρων (8η ΕΜΟΔΕ)</t>
  </si>
  <si>
    <t>https://www.ethnos.gr/greece/article/418735/fotiastagrebenaxorisenergometopohpyrkagiasedasikhektashstoxromio ; https://www.naftemporiki.gr/society/2154000/fotia-tora-sto-chromio-kozanis/ ; https://www.ertnews.gr/eidiseis/grevena-xoris-energo-metopo-i-pyrkagia-sto-xromio/ ; https://www.documentonews.gr/article/fotia-tora-sta-grevena-se-dasiki-ektasi-stin-periochi-chromio/ ; https://www.skai.gr/news/greece/fotia-se-dasiki-ektasi-sto-xromio-grevenon ; https://www.cnn.gr/ellada/story/549595/xoris-energo-metopo-i-fotia-se-dasiki-ektasi-sta-grevena ; https://www.cnn.gr/ellada/story/549582/fotia-se-dasiki-ektasi-sta-grevena-epixeiroyn-epigeies-dynameis-kai-ena-elikoptero ; https://www.vradini.gr/ellada/fotia-se-dasiki-ektasi-sta-grevena-epixeirei-ena-elikoptero-2/1651850/</t>
  </si>
  <si>
    <t>Τμήμα Πυρανάλυσης Κοζάνης ανέλαβε τη διερεύνηση. Εργασίες σε καπνογόνα σημεία. | Χωρίς ενεργό μέτωπο αργότερα — δυνάμεις σε θερμές εστίες κατάσβεσης. | Ξεχωριστή εστία από την πυρκαγιά Παρασκευής 26/8 (ίδια Π.Ε., διαφορετική τοποθεσία &amp; ημέρα). Χωρίς ενεργό μέτωπο μετά κατάσβεση. | Χωρίς ενεργό μέτωπο κατά τις τελευταίες αναφορές· δυνάμεις παρέμειναν για αναζωπυρώσεις· ενεργοποίηση ομάδας εμπρησμού Κοζάνης | Χωρίς ενεργό μέτωπο κατά ενημέρωση 29/8. Εργασίες σε εστίες υπολειμμάτων. Χάρτης 27/8 μη διαθέσιμος. | «Χωρίς ενεργό μέτωπο» ανακοινώθηκε ~12:15. Ανακριτικό Κλιμάκιο Κοζάνης. Συνδρομή Δήμου Κοζάνης (μηχανήματα, υδροφόρες).</t>
  </si>
  <si>
    <t>11:15</t>
  </si>
  <si>
    <t>Βίκι Χίου</t>
  </si>
  <si>
    <t>Χίου</t>
  </si>
  <si>
    <t>2 ομάδες πεζοπόρων (13η ΕΜΟΔΕ)</t>
  </si>
  <si>
    <t>Υδροφόρες Δήμου Χίου</t>
  </si>
  <si>
    <t>Υπό διερεύνηση – σύλληψη 1 ατόμου (αγροτικές εργασίες, πιθανός εμπρησμός εξ αμελείας)</t>
  </si>
  <si>
    <t>112 11:54: ενημέρωση κατοίκων ευρύτερης περιοχής Βίκι Χίου για ετοιμότητα | 11:54 ετοιμότητα κατοίκων ευρύτερης περιοχής Βίκι — «παραμείνετε σε ετοιμότητα και ακολουθείτε τις οδηγίες» | 11:54 προειδοποίηση ετοιμότητας κατοίκων περιοχής Βίκι Χίου | ετοιμότητα κατοίκων περιοχής Βίκι Χίου (τύπος: «παραμείνετε σε ετοιμότητα») | 112 11:54: ετοιμότητα Βίκι — «παραμείνετε σε ετοιμότητα και ακολουθείτε οδηγίες αρχών» | 112 11:54: μήνυμα ετοιμότητας — χωρίς εντολή εκκένωσης | true</t>
  </si>
  <si>
    <t>https://www.ertnews.gr/eidiseis/xios-kinitopoiisi-gia-fotia-stin-perioxi-viki-ixise-to-112/ ; https://www.naftemporiki.gr/society/2153981/fotia-tora-sto-viki-chioy-sikothikan-kai-enaeria-mesa/ ; https://www.efsyn.gr/ellada/1455252/fotia-sti-hio-kaiei-se-dasiki-ektasi-sto-viki-epiheiroyn-pente-enaeria/ ; https://www.libre.gr/2026/08/27/chios-syllipsi-enos-andra-gia-tin-pyrkag/ ; https://www.tanea.gr/2026/08/27/greece/fotia-tora-sti-xio ; https://www.newsit.gr/ellada/fotia-sti-xio-stin-perioxi-viki-minyma-tou-112-gia-etoimotita-epixeiroun-5-enaeria-mesa/4758932/ ; https://www.documentonews.gr/article/fotia-tora-sti-chio-kaiei-dasiki-ektasi-stin-periochi-viki/ ; https://www.newsit.gr/ellada/fotia-sti-xio-stin-perioxi-viki-minyma-tou-112-gia-etoimotita-epicheiroun-5-enaeria-mesa/4758932/ ; https://ifn.gr/2026/08/27/%CF%83%CF%85%CE%BD%CE%B1%CE%B3%CE%B5%CF%81%CE%BC%CF%8C%CF%82-%CF%83%CF%84%CE%B7-%CF%87%CE%AF%CE%BF-%CE%B3%CE%B9%CE%B1-%CE%B4%CE%B1%CF%83%CE%B9%CE%BA%CE%AE-%CF%80%CF%85%CF%81%CE%BA%CE%B1%CE%B3%CE%B9/ ; https://www.verginanews.gr/fotia-se-dasiki-ektasi-sti-chio-ichise-to-112-sto-viki-epicheiroun-pente-enaeria-mesa/ ; https://www.iefimerida.gr/ellada/hios-fotia-dasiki-ektasi-epiheiroyn-pente-enaeria ; https://www.irafina.gr/fotia-sti-chio-ichise-to-112-2/ ; https://tvpatrida.gr/minyma-tou-112-gia-ti-fotia-sto-viki/ ; https://www.politischios.gr/astinomika/se-exelixi-purkagia-sto-viki ; https://www.flash.gr/chios-fotia-tora-sto-viki-machi-me-tis-floges-1078461 ; https://www.in.gr/2026/08/27/greece/apo-ergasies-proklithikan-oi-foties-se-eyvoia-kai-xio-dyo-syllipseis/ ; https://www.anatolikiattikinews.gr/megali-fotia-sti-chio-oi-floges-kaine-peykodasos-stin-periochi-viki-ichise-to-112-sti-machi-ischyres-epigeies-kai-enaeries-dynameis/ ; https://www.skai.gr/news/greece/fotia-se-dasiki-ektasi-sti-xio ; https://www.ertnews.gr/roi-idiseon/pyrkagia-sto-kerasoxori-agrafon-epixeiroun-epigeies-kai-enaeries-dynameis/ ; https://www.iefimerida.gr/ellada/hios-synelifthi-68hronos-gia-ti-fotia-biki ; https://thepressproject.gr/chios-yfesi-sti-dasiki-pyrkagia-stin-periochi-viki-stochos-i-pliris-katasvesi-prin-to-souroupo/ ; https://www.protothema.gr/greece/article/1870308/sullipsi-andra-gia-tin-purkagia-sto-viki-tis-hiou-upo-elegho-i-fotia/</t>
  </si>
  <si>
    <t>ΕΣΚΕΔΙΚ παρακολουθεί με drone (θερμική+οπτική κάμερα). Δεν απειλούσε οικισμούς κατά την ανακοίνωση. | Κινητοποιήθηκε Ανακριτικό Κλιμάκιο Εμπρησμών Λέσβου. Εθελοντές πυροσβέστες συνέδραμαν. Ένας πυροσβέστης έλαβε πρώτες βοήθειες (τσίμπημα μέλισσας). | Πευκοδάσος βορείου Χίου. Ενεργοποίηση ομάδας εγκληματολογίας Λέσβου για διερεύνηση αιτίας. Drone θερμικής παρακολούθησης. | Παρακολούθηση με drone θερμικής/οπτικής κάμερας. Δεν απειλήθηκε οικισμός. Ο ύποπτος συνελήφθη. | Ανεξέλεγκτο μέτωπο σε δύσβατη δασική περιοχή κατά τον χρόνο αναφοράς· δεν απειλούνταν οικισμοί. Κατηγορία κινδύνου 4 επιβεβαιωμένη από ertnews.gr για Αιγαίο 27/8. | Φωτιά υπό έλεγχο ~14:54 της 27/8/2026 βάσει αναφορών. Σύλληψη 68χρονου ως ύποπτου εμπρησμού εξ αμελείας κατά αγροτικές εργασίες. Ανακριτικό Κλιμάκιο Εμπρησμών Χίου σε ενέργεια. | Πευκοδάσος. Drone θερμικής+οπτικής παρακολούθησης. Χωρίς ενεργό μέτωπο μετά κατάσβεση (skai.gr). | Πυρκαγιά σε δασική έκταση. Στόχος πλήρης κατάσβεση πριν τη δύση. Χάρτης ΓΓΠΠ 27/8: ΠΕ Χίου = πορτοκαλί (κατ. 4). | Χωρίς ενεργό μέτωπο κατά ενημέρωση 29/8. ΕΣΚΔΙΚ παρακολούθησε με δρόνο θερμικής/οπτικής κάμερας.</t>
  </si>
  <si>
    <t>Λιβάδι Ελασσόνας</t>
  </si>
  <si>
    <t>Ελασσόνα</t>
  </si>
  <si>
    <t>https://voicenews.gr/fotia-sti-larisa-pyrkagia-se-exelixi-se-agrotodasiki-ektasi-sto-livadi-elassonas/ ; https://www.ertnews.gr/perifereiakoi-stathmoi/larisa/oriothetithike-i-pyrkagia-se-agrotodasiki-ektasi-sto-livadi-elassonas/ ; https://www.skai.gr/news/greece/fotia-se-agrotodasiki-ektasi-stin-perioxi-livadi-elassonas-sti-larisa ; https://www.firefightingreece.gr/2026/08/27/pyrkagia-se-agrotodasiki-ektasi-sto-livadi-elassonas-epicheiroun-25-pyrosvestes-kai-1-elikoptero/</t>
  </si>
  <si>
    <t>Αγροτοδασική έκταση. Μεγάλη κινητοποίηση με ελικόπτερο και ομάδες πεζοπόρων. | Αγροτοδασική έκταση στο Λιβάδι Ελασσόνας. Ελάχιστα δεδομένα ανακτήθηκαν από πηγές.</t>
  </si>
  <si>
    <t>22:45</t>
  </si>
  <si>
    <t>Πρώτη Σερρών</t>
  </si>
  <si>
    <t>Δήμος Αμφίπολης</t>
  </si>
  <si>
    <t>4 ομάδες πεζοπόρων 2ης ΕΜΟΔΕ</t>
  </si>
  <si>
    <t>κεραυνός (πιθανώς)</t>
  </si>
  <si>
    <t>https://www.tanea.gr/2026/08/26/greece/pyrkagies-sto-paggaio-kavalas-kai-tin-proti-serron ; https://kavalanews.gr/61522-serres-horis-energo-metopo-i-dasiki-pyrkagia-paggaio-oros.html ; https://lawandorder.gr/synagermos-stin-pyrosvestiki-gia-dyo-nees-foties-se-serres-kai-kavala/ ; https://www.ertnews.gr/eidiseis/ellada/pyrkagia-stin-proti-serron-se-kalyteri-katastasi-to-metopo-pithani-aitia-o-keraynos/ ; https://www.thestival.gr/eidiseis/astynomika/choris-energo-metopo-i-fotia-stin-proti/ ; https://www.cnn.gr/ellada/story/548968/fotia-se-dasiki-ektasi-konta-stin-proti-serron-epixeiroyn-enaeria-kai-epigeia-mesa ; https://www.naftemporiki.gr/society/2152519/proti-serron-choris-energo-metopo-i-pyrkagia/ ; https://www.firefightingreece.gr/2026/08/26/pyrkagia-se-dasiki-ektasi-stin-proti-amfipolis-serron-epicheiroun-30-pyrosvestes/ ; https://www.documentonews.gr/article/fotia-tora-stin-proti-serron-megali-kinitopoiisi-tis-pyrosvestikis/ ; https://www.newsbomb.gr/ellada/story/1759117/fotia-tora-se-dasiki-ektasi-stin-proti-serron</t>
  </si>
  <si>
    <t>Αναφέρεται μαζί με την πυρκαγιά Παγγαίου στις Τα Νέα 26 Αυγ. | Χωρίς ενεργό μέτωπο κατά kavalanews.gr. | Έναρξη 22:45 εσπέρας 26/8. Ελικόπτερο εκτέλεσε ρίψεις. Συνδρομή δημοτικών υδροφόρων και μηχανημάτων. Καμένη έκταση και ώρα ελέγχου δεν εντοπίστηκαν.</t>
  </si>
  <si>
    <t>Μουσθένη Παγγαίου</t>
  </si>
  <si>
    <t>πτώση κεραυνού</t>
  </si>
  <si>
    <t>https://www.firefightingreece.gr/2026/08/26/pyrkagia-sti-moustheni-pangaiou-kavalas-epicheiroun-10-pyrosvestes/ ; https://www.newsbomb.gr/ellada/story/1759125/ypo-elegxo-oi-foties-se-kilkis-kai-paggaio ; https://www.xronometro.com/apo-ptosi-keravnou-ksekinise-i-fotia1/ ; https://www.tanea.gr/2026/08/26/greece/pyrkagies-sto-paggaio-kavalas-kai-tin-proti-serron ; https://www.firefightingreece.gr/2026/08/26/pyrosvestiki-35-agrotodasikes-pyrkagies-to-teleftaio-24oro-14/ ; https://www.skai.gr/news/greece/dyo-syllipseis-gia-pyrkagia-pou-epektathike-se-dasiki-ektasi-stin-kavala ; https://radar.gr/article/fotia-ston-dimo-pangaiou-stin-kavala-epicheiroun-tessera-enaeria-mesa ; https://www.rthess.gr/ellada/fotia-stin-kavala-stin-periochi-vrysi-tou-dimou-pangaiou-epicheiroun-tessera-enaeria-mesa/ ; https://www.skai.gr/news/greece/pyrkagia-se-xamili-vlastisi-sti-moustheni-kavalas ; https://www.iefimerida.gr/ellada/ypo-elegho-i-fotia-sti-moystheni-kabalas ; https://www.thestival.gr/eidiseis/astynomika/kavala-fotia-se-chamili-vlastisi-sti-mo/ ; https://www.tanea.gr/2026/08/26/greece/oriothetithike-i-pyrkagia-sto-kilkis-ypo-elegxo-i-pyrkagia-stin-kavala</t>
  </si>
  <si>
    <t>Χαμηλή βλάστηση. Πηγές αναφέρουν και 4 εναέρια μέσα σε μεταγενέστερη ενημέρωση. | Πυρκαγιά σε χαμηλή βλάστηση στη θέση Μουσθένη Δήμου Παγγαίου. | Ξεκίνησε σε χαμηλή βλάστηση και επεκτάθηκε σε δασική έκταση. Δύο συλλήψεις. ΔΤ Πυρ. 6264a 26 Αυγ. | Φωτιά σε χαμηλή βλάστηση (όχι δασική έκταση). Κινητοποιήθηκε Ανακριτικό Κλιμάκιο Εμπρησμών. Συνδρομή Δήμου Παγγαίου (μηχανήματα, υδροφόρες).</t>
  </si>
  <si>
    <t>Άγιος Αντώνιος Κιλκίς</t>
  </si>
  <si>
    <t>Κιλκίς</t>
  </si>
  <si>
    <t>2 ομάδες πεζοπόρων (2η ΕΜΟΔΕ)</t>
  </si>
  <si>
    <t>https://www.ertnews.gr/roi-idiseon/kilkis-xoris-energo-metopo-i-fotia-ston-agio-antonio/ ; https://www.newsbomb.gr/ellada/story/1759125/ypo-elegxo-oi-foties-se-kilkis-kai-paggaio ; https://www.enikos.gr/society/kilkis-fotia-se-agrotodasiki-ektasi-ston-agio-antonio-epicheiroun-kai-enaeria-mesa/2634293/ ; https://todaypress.gr/2026/08/26/fotia-tora-sto-kilkis-3/ ; https://www.eleftherostypos.gr/ellada/fotia-tora-sto-kilkis-epicheiroun-tria-aeroskafi ; https://www.protothema.gr/tag/fotia-tora/ ; https://www.iefimerida.gr/ellada/fotia-se-agrotodasiki-periohi-ston-agio-antonio-kilkis ; https://www.firefightingreece.gr/2026/08/26/pyrkagia-se-agrotodasiki-ektasi-ston-agio-antonio-kilkis-epicheiroun-36-pyrosvestes-kai-3-aeroskafi/ ; https://www.thestival.gr/eidiseis/astynomika/kilkis-choris-energo-metopo-i-fotia-sto/</t>
  </si>
  <si>
    <t>Αγροτοδασική έκταση. | Δυνάμεις κατά protothema.gr 28 Αυγ: 36 πυροσβέστες, 2 ομάδες, 9 οχήματα, 3 αεροσκάφη. Πιθανή συνέχεια ή νέο περιστατικό ίδιας ημέρας.</t>
  </si>
  <si>
    <t>17:57</t>
  </si>
  <si>
    <t>Κτυπιμένα</t>
  </si>
  <si>
    <t>https://www.ertnews.gr/roi-idiseon/pella-pyrkagia-se-dasiki-ektasi-ston-dimo-almopias-sikothike-elikoptero/</t>
  </si>
  <si>
    <t>Πυρκαγιά σε δασική έκταση θέση Κτυπιμένα. | Κινητοποιήθηκε Ανακριτικό Κλιμάκιο Εμπρησμών Πέλλας. Βελτιωμένη εικόνα χωρίς απειλή οικισμών.</t>
  </si>
  <si>
    <t>2026-08-27</t>
  </si>
  <si>
    <t>16:40</t>
  </si>
  <si>
    <t>Νεοχώρι - Άγιος Θωμάς</t>
  </si>
  <si>
    <t>1 ομάδα πεζοπόρων (5η ΕΜΟΔΕ)</t>
  </si>
  <si>
    <t>112 16:50: ενημέρωση κατοίκων ευρύτερης περιοχής Νεοχωρίου για ετοιμότητα | ~16:55 ετοιμότητα κατοίκων Νεοχωρίου Πρέβεζας | 112 16:50: ετοιμότητα κατοίκων ευρύτερης περιοχής Νεοχωρίου</t>
  </si>
  <si>
    <t>https://www.tovima.gr/2026/08/26/society/fotia-sto-neoxori-prevezas-ixise-to-112/ ; https://www.skai.gr/news/greece/pyrkagia-konta-sto-neoxori-stin-preveza ; https://www.reader.gr/ellada/fotia-tora-stin-prebeza-epiheiroyn-aeroskafi-kai-elikoptero/659048 ; https://www.epiruspost.gr/preveza-megali-fotia-sto-neochori-ichis/ ; https://www.prevezatoday.gr/fotia-sto-neochori-prevezas-minyma-112-stoys-katoikoys/ ; https://www.news247.gr/ellada/fotia-stin-preveza-minima-apo-to-112-2/ ; https://www.epiruspost.gr/lixi-synagermoy-stin-preveza-oriothet/</t>
  </si>
  <si>
    <t>Πυρκαγιά σε χαμηλή βλάστηση· άμεση κινητοποίηση· οριοθετήθηκε χωρίς απειλή σε οικισμούς. Yutori email 26/8 αναφέρει ως 'δεύτερη ενεργή πυρκαγιά θάμνων στην Πρέβεζα'. | Yutori: «δεύτερη ενεργή πυρκαγιά θάμνων στην Πρέβεζα». Χαμηλή βλάστηση.</t>
  </si>
  <si>
    <t>Νεοχώρι - Άγιος Θωμάς Πρέβεζας</t>
  </si>
  <si>
    <t>Πρεβέζης</t>
  </si>
  <si>
    <t>Πρέβεζα</t>
  </si>
  <si>
    <t>112 ετοιμότητα κατοίκων Νεοχωρίου (παραμείνετε σε ετοιμότητα, ακολουθήστε οδηγίες αρμόδιων αρχών)</t>
  </si>
  <si>
    <t>https://www.prevezatoday.gr/fotia-sto-neochori-prevezas-minyma-112-stoys-katoikoys/ ; https://www.reader.gr/ellada/fotia-tora-stin-prebeza-epiheiroyn-aeroskafi-kai-elikoptero/659048 ; https://www.news247.gr/ellada/fotia-stin-preveza-minima-apo-to-112-2/ ; https://www.skai.gr/news/greece/pyrkagia-konta-sto-neoxori-stin-preveza ; https://www.ertnews.gr/perifereiakoi-stathmoi/ioanina/katasvestike-i-pyrkagia-sto-neoxori-prevezas/ ; https://epirusonline.gr/eidiseis/ipeiros/oriothetithike-i-fotia-sto-neochori-prevezas-megali-kinitopoiisi-tis-pyrosvestikis/</t>
  </si>
  <si>
    <t>Email 26 Αυγ. (eKathimerini): «δεύτερη ενεργή πυρκαγιά θάμνων στην Πρέβεζα». Κίνδυνος ΓΓΠΠ 26/8 για Π.Ε. Πρεβέζης: κατηγορία 3 (ΥΨΗΛΗ). | Χαμηλή βλάστηση. Κινητοποιήθηκε Ανακριτικό Κλιμάκιο Εμπρησμών Πρέβεζας.</t>
  </si>
  <si>
    <t>Νεοχώρι Πρέβεζας</t>
  </si>
  <si>
    <t>υδροφόρες Δήμου</t>
  </si>
  <si>
    <t>Υπό διερεύνηση (κλιμάκιο εμπρησμού Πρέβεζας)</t>
  </si>
  <si>
    <t>112 16:50: ετοιμότητα (ενημέρωση κατοίκων ευρύτερης περιοχής) | 112 16:50: ενημέρωση κατοίκων ευρύτερης περιοχής πυρκαγιάς Νεοχωρίου ΠΕ Πρέβεζας | ναι</t>
  </si>
  <si>
    <t>https://www.prevezatoday.gr/fotia-sto-neochori-prevezas-minyma-112-stoys-katoikoys/ ; https://www.newsbeast.gr/greece/arthro/13315051/fotia-sto-neochori-prevezas-ichise-to-112-sti-machi-kai-enaeria-mesa ; https://www.tovima.gr/2026/08/26/society/fotia-sto-neoxori-prevezas-ixise-to-112/ ; https://www.skai.gr/news/greece/pyrkagia-konta-sto-neoxori-stin-preveza ; https://www.ekathimerini.com/news/1313450/new-blaze-in-northern-forest-as-firefighters-warned-of-tough-days-ahead/ ; https://www.epiruspost.gr/lixi-synagermoy-stin-preveza-oriothet/ ; https://www.naftemporiki.gr/society/2153723/fotia-tora-sto-neochori-prevezas-ichise-to-112/ ; https://www.iefimerida.gr/ellada/fotia-neohori-prebezas-ihise-112 ; https://www.epiruspost.gr/preveza-megali-fotia-sto-neochori-ichis/ ; https://www.news247.gr/ellada/fotia-stin-preveza-minima-apo-to-112-2/ ; https://www.protothema.gr/greece/article/1869846/fotia-sto-neohori-prevezas-estali-112-gia-etoimotita/</t>
  </si>
  <si>
    <t>Αναφέρθηκε ως δεύτερη ενεργή πυρκαγιά θάμνων στην Πρέβεζα (26/08) στο email Yutori | «Δεύτερη ενεργή πυρκαγιά θάμνων στην Πρέβεζα» κατά eKathimerini/Yutori. Ελάχιστες λεπτομέρειες. | Φωτιά σε χαμηλή βλάστηση· αναφέρεται στο Yutori email ως «δεύτερη ενεργή πυρκαγιά θάμνων στην Πρέβεζα»· οριοθετήθηκε χάρη σε γρήγορη επέμβαση | 112 ηχήθηκε για ετοιμότητα κατοίκων. Καμένη έκταση και ώρα ελέγχου δεν εντοπίστηκαν.</t>
  </si>
  <si>
    <t>Παρασκευή Δεσκάτης Γρεβενών</t>
  </si>
  <si>
    <t>Δεσκάτη</t>
  </si>
  <si>
    <t>3 ομάδες πεζοπόρων 5ης &amp; 8ης ΕΜΟΔΕ</t>
  </si>
  <si>
    <t>υδροφόρες Δήμου Δεσκάτης</t>
  </si>
  <si>
    <t>Υπό διερεύνηση (κλιμάκιο εμπρησμού Τρικάλων)</t>
  </si>
  <si>
    <t>https://www.libre.gr/2026/08/26/dasiki-pyrkagia-stin-paraskevi-greve/ ; https://www.ertnews.gr/perifereiakoi-stathmoi/kozani/dasiki-pyrkagia-stin-paraskeyi-grevenon-enisxythikan-oi-dynameis-tis-pyrosvestikis/ ; https://www.ekathimerini.com/news/1313450/new-blaze-in-northern-forest-as-firefighters-warned-of-tough-days-ahead/ ; https://www.ertnews.gr/perifereiakoi-stathmoi/kozani/dasiki-pyrkagia-stin-paraskeyi-grevenon/ ; https://www.firefightingreece.gr/2026/08/26/pyrkagia-se-dasiki-ektasi-stin-paraskevi-deskatis-grevenon-epicheiroun-28-pyrosvestes-kai-2-elikoptera/ ; https://www.tanea.gr/2026/08/26/greece/fotia-sta-grevena-sikothikan-dyo-elikoptera-isxyres-dynameis-sti-deskati ; https://www.newsit.gr/ellada/fotia-sti-deskati-grevenon-se-dasiki-ektasi-enisxythikan-oi-dynameis-tis-pyrosvestikis/4758260/ ; https://www.koutipandoras.gr/article/fotia-tora-se-dasiki-ektasi-sta-grevena/ ; https://meaculpa.gr/pyrkagies-nea-metopa-se-chio-grevena-kai-eyvoia-se-ayximeni-epifylaki-i-pyrosvestiki/ ; https://www.newsit.gr/ellada/xoris-energo-metopo-i-fotia-sta-grevena-enisxythikan-oi-dynameis-tis-pyrosvestikis/4756633/ ; https://www.thestival.gr/eidiseis/astynomika/fotia-sta-grevena-enischythikan-oi-dyna/</t>
  </si>
  <si>
    <t>Αρχικά 28 πυροσβ./6 οχ./2 ελικ. — μετά ενίσχυση: 50 πυροσβ., 16 οχ., 2 αεροσκάφη, 3 ελικ. Ανακριτικό Κλιμάκιο Τρικάλων κινητοποιήθηκε για αιτία. Χάρτης ΓΓΠΠ 26/8: Γρεβενά κίτρινο (ΥΨΗΛΗ 3). | Αρχικά 28 πυροσβέστες/6 οχήματα/2 ελικόπτερα· ενισχύθηκαν σε 50/16/3. Email Yutori 26/08 ανέφερε 50 πυροσβέστες και 5 εναέρια | Δυνάμεις ενισχύθηκαν (αρχικά 28 πυροσβέστες/2 ελικόπτερα). Τμήμα Πυρανάλυσης Τρικάλων ενεργοποιήθηκε. | Νέα δασική πυρκαγιά κοντά στο χωριό Παρασκευή. Yutori αναφέρει σύνολο 50 πυροσβεστών + 5 αεροσκαφών για Γρεβενά και Πρέβεζα μαζί. | Αρχικά: 28 πυροσβέστες + 2 ελικόπτερα. Ενισχύθηκε σε 50 πυροσβέστες + 5 εναέρια σύνολο. Κατά 28 Αυγ (protothema) ως «Χρώμιο Γρεβενών»: χωρίς ενεργό μέτωπο, 21 πυροσβέστες, 6 οχήματα. | Αναφέρεται στο Yutori email 26/8 ως 'νέα δασική πυρκαγιά κοντά στο χωριό Παρασκευή'. Η εκτίμηση της ημέρας (26/8) φέρει σημείωση αυξημένου κινδύνου λόγω κεραυνών σε δάση (βλ. χάρτη ΓΓΠΠ). | Αρχικά 28 πυρ/στες + 6 οχ· ενισχύθηκε σε 50+16. Επίσης 2 υδατοφόρα αεροσκάφη. Κατάσταση βάσει Yutori 26/08 18:51 EEST. | Δασική πυρκαγιά κοντά στο χωριό Παρασκευή· 4 αεροσκάφη (2 συν 2 υδροφόρα) + 3 ελικόπτερα· ενεργοποίηση ομάδας εμπρησμού Τρικάλων· κατάσταση βάσει email 18:51 EEST | Τοπ. Κοινότητα Παρασκευής. Ανακριτικό Τρικάλων ερευνά αίτια. Χάρτης 26/8: ΠΕ Γρεβενών μπλε (Κατ.2) με ⚡ επισήμανση κεραυνών σε δάση. Τελ. ενημ. 27/8: χωρίς ενεργό μέτωπο, 5 εναέρια (2 αεροσκ.+3 ελικ.). | Τρεις ομάδες πεζοπόρων: 2ης, 5ης και 8ης ΕΜΟΔΕ. Αεροπυρόσβεση: 2 αεροσκάφη + 2 καναντέρ + 3 ελικόπτερα. Συνδρομή Δήμου Δεσκάτης (υδροφόρες). Ανακριτικό Κλιμάκιο Τρικάλων.</t>
  </si>
  <si>
    <t>Κάτω Δαμάστα</t>
  </si>
  <si>
    <t>Λαμιέων</t>
  </si>
  <si>
    <t>https://www.firefightingreece.gr/2026/08/26/pyrkagia-se-chamili-vlastisi-stin-kato-damasta-fthiotidas-epicheiroun-16-pyrosvestes-kai-2-aeroskafi/ ; https://www.tanea.gr/2026/08/26/greece/pyrkagia-stin-kato-damasta-fthiotidas-sikothikan-aeroplana/ ; https://www.eleftherostypos.gr/ellada/ypo-meriko-elegcho-i-fotia-stin-kato-damasta-fthiotidas ; https://www.lamiareport.gr/topika/topikanea/item/pyrkagia-stin-perioxi-tis-kato-damastas/</t>
  </si>
  <si>
    <t>Χαμηλή βλάστηση σε δυσπρόσιτο έδαφος· έκαψε μικρή έκταση με χόρτα/καλαμιές πριν τεθεί υπό έλεγχο. | Χαμηλή βλάστηση (χόρτα και καλαμιές). Συνδρομή δημοτικών υδροφόρων. Μικρή έκταση. | Χαμηλή βλάστηση (χόρτα, καλαμιές)· εκδηλώθηκε λίγο πριν τις 17:00· κατασβέστηκε πλήρως εντός ~1 ώρας· καμένη έκταση μικρή (λίγα στρέμματα, δεν προσδιορίστηκε αριθμητικά)</t>
  </si>
  <si>
    <t>2026-08-28</t>
  </si>
  <si>
    <t>Πρέβεζα (βλάστηση)</t>
  </si>
  <si>
    <t>5η ΕΜΟΔΕ (πεζοπόρο τμήμα)</t>
  </si>
  <si>
    <t>16:50</t>
  </si>
  <si>
    <t>https://www.ekathimerini.com/news/1313450/new-blaze-in-northern-forest-as-firefighters-warned-of-tough-days-ahead/ ; https://www.skai.gr/news/greece/pyrkagia-konta-sto-neoxori-stin-preveza ; https://www.reader.gr/ellada/fotia-tora-stin-prebeza-epiheiroyn-aeroskafi-kai-elikoptero/659048</t>
  </si>
  <si>
    <t>Αναφέρεται ως «δεύτερη ενεργή πυρκαγιά θάμνων στην Πρέβεζα» 26 Αυγ. Πολύ περιορισμένα στοιχεία. | Τοποθεσία: Νεοχώρι Πρέβεζας. Άρθρο ενημερώθηκε 19:00 ως «Οριοθετήθηκε». 112 εστάλη 16:50. Αιτία υπό διερεύνηση.</t>
  </si>
  <si>
    <t>Χαράδρα Τύμφης – Καλλιθέα</t>
  </si>
  <si>
    <t>Κόνιτσας</t>
  </si>
  <si>
    <t>1 ομάδα πεζοπόρων + Πολιτική Προστασία Δήμου Κόνιτσας</t>
  </si>
  <si>
    <t>Πολιτική Προστασία Δήμου Κόνιτσας</t>
  </si>
  <si>
    <t>πιθανώς κεραυνός</t>
  </si>
  <si>
    <t>https://www.tanea.gr/2026/08/27/greece/pyrkagia-sti-xaradra-tis-tymfis-stin-konitsa-kathilothike-logo-vlavis-to-elikoptero-pou-epixeirouse-video ; https://www.dikastiko.gr/eidhsh/pyrkagia-se-dysvati-periochi-tis-konitsas-vlavi-se-pyrosvestiko-elikoptero/ ; https://epirusonline.gr/eidiseis/ipeiros/tymfi-keraynos-feretai-na-prokalese-ti-fotia-asfales-to-pliroma-elikopteroy-poy-ypesti-vlavi/ ; https://www.newsbeast.gr/greece/arthro/13317524/konitsa-pyrosvestiko-elikoptero-aoos-vlavi-tyfi ; https://www.firefightingreece.gr/2026/08/27/konitsa-kathilothike-pyrosvestiko-elikoptero-meta-apo-vlavi-asfaleis-oi-dyo-cheiristes/ ; https://www.ertnews.gr/perifereiakoi-stathmoi/ioanina/pyrkagia-se-dysvati-perioxi-tis-konitsas-vlavi-se-pyrosvestiko-elikoptero/</t>
  </si>
  <si>
    <t>Δύσβατη περιοχή ~1200μ υψόμετρο. Κάτοικοι ανέφεραν εστία από Τετάρτη 26/8. Στις 27/8 αποκολλήθηκε ο κάδος πυροσβεστικού ελικοπτέρου κατά υδροληψία στον Αώο· πλήρωμα ασφαλές· ελικόπτερο καθηλώθηκε. | Αιτία κεραυνού επιβεβαιώθηκε από πολλές πηγές. Πρώτο ελικόπτερο υπέστη βλάβη (αποκολλήθηκε κάδος κατά λήψη νερού από τον Αώο)· αναγκαστική προσγείωση, πλήρωμα ασφαλές. Επιχειρούσε σε υψόμετρο ~1.200 μ. Κατοίκοι ανέφεραν ότι η φωτιά ξεκίνησε την Τετάρτη 26/8.</t>
  </si>
  <si>
    <t>17:19</t>
  </si>
  <si>
    <t>Αγίοι Δέκα Γόρτυνας / Αμπελούζος Ηρακλείου</t>
  </si>
  <si>
    <t>Κρήτης</t>
  </si>
  <si>
    <t>1 ομάδα πεζοπόρων 3ης ΕΜΟΔΕ</t>
  </si>
  <si>
    <t>112 ενεργοποίηση σύμφωνα με LiFO (ώρα/περιοχές άγνωστες)</t>
  </si>
  <si>
    <t>https://voicenews.gr/kriti-pyrkagia-tora-se-chamili-vlastisi-stin-periochi-abelouzos-sto-irakleio/ ; https://www.lifo.gr/now/greece/se-exelixi-i-fotia-stin-kriti-minyma-112-stoys-katoikoys-plirofories-gia-kamena-spitia ; https://www.ertnews.gr/perifereiakoi-stathmoi/iraklio/irakleio-xoris-energo-metopo-i-fotia-stous-agious-deka-megali-kinitopoiisi-tis-pyrosvestikis/</t>
  </si>
  <si>
    <t>LiFO αναφέρει 112 και πληροφορίες για καμένα σπίτια. Πιθανή σύγχυση δύο εστιών στο Ηράκλειο (Αμπελούζος vs Αγίοι Δέκα Γόρτυνας). Αγροτοδασική έκταση. | Πιθανώς ίδιο περιστατικό με 'Άγιοι Δέκα - Βουρβούλι, Δήμος Γόρτυνας Ηρακλείου' (ίδια ημέρα, ίδια περιοχή Γόρτυνας). Χωρίς ενεργό μέτωπο. Κινητοποιήθηκε Ανακριτικό Κλιμάκιο Εμπρησμών Ηρακλείου.</t>
  </si>
  <si>
    <t>16:45</t>
  </si>
  <si>
    <t>Άγιος Βλάσιος Βοιωτίας</t>
  </si>
  <si>
    <t>Λεβαδέων</t>
  </si>
  <si>
    <t>2 ομάδες πεζοπόρων 4ης και 10ης ΕΜΟΔΕ</t>
  </si>
  <si>
    <t>υδροφόρες και μηχανήματα Δήμου Λεβαδέων</t>
  </si>
  <si>
    <t>112: ετοιμότητα Άγιος Βλάσιος· μεταγενέστερα αναφορές για εκκένωση (news247.gr) | 112 17:27: προειδοποίηση εκκένωσης Αγ. Βλάσιου και Τσουκαλάδων· 112 18:14: εκκένωση Τσουκαλάδων προς Λιβαδειά | 112 17:27: ενημερωτικό· 18:14: εκκένωση Τσουκαλαίδων προς Λιβαδειά | 112 17:27: ενημέρωση κατοίκων ευρύτερης περιοχής Τσουκαλάδων· 112 18:14: εκκένωση Τσουκαλάδων προς Λιβαδειά | 112 17:27: ενημέρωση κατοίκων Αγίου Βλασίου και Τσουκαλάδων· 112 18:14: εκκένωση Τσουκαλάδων προς Λιβαδειά</t>
  </si>
  <si>
    <t>https://www.naftemporiki.gr/society/2153344/voiotia-nea-fotia-tora-ston-agio-vlasio-ichise-to-112-sikothikan-9-enaeria-mesa/ ; https://www.documentonews.gr/article/fotia-tora-ston-agio-vlasio-voiotias-stalthike-minyma-112/ ; https://www.news247.gr/ellada/fotia-ston-agio-vlasio-voiotias-minima-112-gia-ekkenosi/ ; https://www.newsbomb.gr/ellada/story/1758824/voiotia-fotia-tora-ston-agio-vlasio-kaiei-se-xamili-vlastisi ; https://www.star.gr/eidiseis/ellada/726495/fwtia-ston-agio-blasio-boiwtias-shkwthhkan-9-enaeria-mesa ; https://www.ertnews.gr/eidiseis/maxi-me-tis-floges-ston-agio-vlasio-voiotias-enisxythikan-oi-epigeies-dynameis-92-pyrosvestes-sto-metopo/ ; https://www.ertnews.gr/eidiseis/se-ekseliksi-i-pyrkagia-ston-ag-vlasi-voiotias-enisxontai-oi-epigeies-dynameis-tis-pyrosvestikis/ ; https://www.firefightingreece.gr/2026/08/25/pyrkagia-se-chamili-vlastisi-ston-agio-vlasio-voiotias-epicheiroun-35-pyrosvestes-kai-9-enaeria-mesa/ ; https://www.tovima.gr/2026/08/26/society/foties-veltiomeni-eikona-ston-agio-vlasio-ypsilos-kindynos-pyrkagias ; https://athens-times.com/wildfires-in-boeotia-and-salamis-situation-improves-aerial-operations-continue/ ; https://www.newsbeast.gr/greece/arthro/13313872/veltiomeni-i-eikona-tis-fotias-ston-agio-vlasio-voiotias ; https://www.ertnews.gr/eidiseis/se-ekseliksi-i-pyrkagia-ston-ag-vlasi-voiotias-enisxyontai-oi-epigeies-dynameis-tis-pyrosvestikis/ ; https://athina984.gr/2026/08/25/mainetai-se-dasiki-ektasi-pyrkagia-sti-voiotia/ ; https://www.ilamia.gr/2026/08/26/voiotia-veltiomeni-i-eikona-tis-pyrkagias-ston-agio-vlasio-choris-energo-metopo-i-fotia-stin-stefani/ ; https://www.ertnews.gr/eidiseis/voiotia-veltiomeni-i-eikona-tis-pyrkagias-ston-agio-vlasio-xoris-energo-metopo-i-fotia-stin-stefani/ ; https://www.ekathimerini.com/news/1313360/wildfires-on-salamina-and-near-lavrio-trigger-evacuation-orders/ ; https://www.megatv.com/2026/08/25/pyrkagies-se-keratea-salamina-voiotia-ixise-to-112 ; https://www.tanea.gr/2026/08/26/greece/fotia-sti-voiotia-kalyteri-i-eikona-ston-agio-vlasio-xoris-energo-metopo</t>
  </si>
  <si>
    <t>Νέα ξεχωριστή εστία κοντά στο μέτωπο Στεφάνης. Naftemporiki: «Νέα φωτιά τώρα». Σύνολο εναέριων: 9 (7 Α/Φ + 2 ελικόπτερα). | Αγροτοδασική έκταση μεταξύ Αγ. Βλάσιου-Τσουκαλάδων, μακριά από οικισμούς. Ανακριτικό Κλιμάκιο Εγκλημάτων Εμπρησμού Φθιώτιδας διερευνά αίτια. Βελτιωμένη εικόνα 26/8, εναέρια συνέχισαν από χαράματα. | Ολονύχτια επιχείρηση. Πρωί 26 Αυγ.: μόνο καπνίζοντα σημεία. Ξεχωριστή από πυρκαγιά Στεφάνης. Χάρτης ΓΓΠΠ 25/8: Βοιωτία κίτρινο (ΥΨΗΛΗ 3). | Βελτιωμένη εικόνα κατά την ενημέρωση· καπνίζοντα σημεία | Χαμηλή βλάστηση μακριά από οικισμούς. Αεροσκάφη αποχώρησαν με τη δύση. 2 ελικόπτερα παρέμειναν αυγή. | Ενεργή 25 Αυγ. — ελεγχθείσα/περιορισμένη έως 26 Αυγ. κατά Yutori. | Αναφέρεται σε λίστα εκκενώσεων 25 Αυγ. Κατά Yutori 26 Αυγ εστίες σε Βοιωτία είχαν ελεγχθεί. | Οριοθετήθηκε πρωί 26/8· στις 12:25 της 26/8 κυρίως καπνίζοντα σημεία· μήνυμα 112 εκδόθηκε για Τσουκαλάδες· αιτία υπό διερεύνηση | Χαμηλή βλάστηση. Follow-up ενημ. ~27/8: βελτιωμένη εικόνα, κυρίως καπνίζοντα σημεία. Χάρτης 25/8: ΠΕ Βοιωτίας κίτρινο (Κατ.3).</t>
  </si>
  <si>
    <t>Άγιοι Δέκα - Βουρβούλι, Δήμος Γόρτυνας Ηρακλείου</t>
  </si>
  <si>
    <t>3 ομάδες πεζοπόρων 3ης ΕΜΟΔΕ</t>
  </si>
  <si>
    <t>υδροφόρες Δήμου Γόρτυνας</t>
  </si>
  <si>
    <t>112 ~17:30: ετοιμότητα κατοίκων Αγίων Δέκα | 112 17:27: ετοιμότητα (ενημέρωση κατοίκων) — δεν εκδόθηκε εντολή εκκένωσης</t>
  </si>
  <si>
    <t>https://www.tovima.gr/2026/08/25/society/fotia-tora-sto-irakleio-megali-maxi-stous-agious-deka-enisxythikan-oi-dynameis ; https://www.cnn.gr/ellada/story/549300/fotia-sto-irakleio-kritis-sti-maxi-epigeies-kai-enaeries-dynameis ; https://www.protothema.gr/greece/article/1869383/fotia-sto-dimo-gortunas-sto-irakleio-kritis-epiheiroun-4-enaeria/ ; https://thepressproject.gr/nea-pyrina-metopa-se-voiotia-pella-kai-irakleio-kritis ; https://www.anatolh.com/kriti/hrakleio/megali-kinitopoiisi-gia-pyrkagia-ston-dimo-gortynas/ ; https://www.panhellenicpost.com/2026/08/25/%CF%80%CF%85%CF%81%CE%BA%CE%B1%CE%B3%CE%B9%CE%AD%CF%82-%CF%83%CE%B5-%CF%83%CE%B1%CE%BB%CE%B1%CE%BC%CE%AF%CE%BD%CE%B1-%CE%B2%CE%BF%CE%B9%CF%89%CF%84%CE%AF%CE%B1-%CE%BA%CE%B1%CE%B9-%CE%B7%CF%81%CE%AC ; https://www.tovima.gr/2026/08/25/society/fotia-tora-sto-irakleio-megali-maxi-stous-agious-deka-enisxythikan-oi-dynameis/ ; https://www.skai.gr/news/greece/fotia-se-agrotodasiki-ektasi-sto-irakleio-kritis ; https://www.ekathimerini.com/news/1313360/wildfires-on-salamina-and-near-lavrio-trigger-evacuation-orders/ ; https://www.ertnews.gr/perifereiakoi-stathmoi/iraklio/irakleio-xoris-energo-metopo-i-fotia-stous-agious-deka-megali-kinitopoiisi-tis-pyrosvestikis/</t>
  </si>
  <si>
    <t>Δεν απειλήθηκαν κατοικημένες περιοχές ούτε ο αρχ. χώρος Γόρτυνας. Τελικά χωρίς ενεργό μέτωπο. Χάρτης ΓΓΠΠ 25/8: Ηράκλειο κίτρινο (ΥΨΗΛΗ 3). | Χωρίς ενεργό μέτωπο κατά την ενημέρωση· δεν απειλήθηκε κατοικημένη περιοχή ή αρχαιολογικός χώρος Γόρτυνας | Πυρκαγιά μεταξύ Αμπελούζου και Αγίων Δέκα. Χωρίς ενεργό μέτωπο. 4 ελικόπτερα κινητοποιήθηκαν, 2 επιχείρησαν. Δεν απειλήθηκαν κατοικίες ή αρχαιολογικός χώρος Γόρτυνας. Κινητοποιήθηκε Ανακριτικό Κλιμάκιο Εμπρησμών Ηρακλείου. | Αναφορά ως ενεργή εστία 25 Αυγ. 17:53 EEST. Λεπτομέρειες μη διαθέσιμες.</t>
  </si>
  <si>
    <t>17:50</t>
  </si>
  <si>
    <t>Ελληνικό (Άνω Βασιλικά)</t>
  </si>
  <si>
    <t>Σαλαμίνας</t>
  </si>
  <si>
    <t>3 ομάδες πεζοπόρων 1ης ΕΜΟΔΕ</t>
  </si>
  <si>
    <t>απορρίμματα (παλαιό λατομείο με μπαταρίες και φιαλίδια)</t>
  </si>
  <si>
    <t>112 17:10: εκκένωση Άνω Βασιλικών και Νέας Σαλαμίνας (Μπιζάνι) προς Ακτή Καραϊσκάκη | Ναι — εκκένωση Άνω Βασιλικά &amp; Νέα Σαλαμίνα (Μπιζάνι) στις 17:10</t>
  </si>
  <si>
    <t>https://www.lifo.gr/now/greece/fotia-tora-sti-salamina-kinitopoiithikan-tessera-enaeria-mesa ; https://www.cnn.gr/ellada/story/549295/fotia-sti-salamina-kaiei-se-xamili-vlastisi-stin-perioxi-elliniko-sikothikan-3-aeroskafi ; https://www.news247.gr/ellada/fotia-se-xamili-vlastisi-sti-salamina/ ; https://www.ekathimerini.com/news/1313360/wildfires-on-salamina-and-near-lavrio-trigger-evacuation-orders/ ; https://x.com/112Greece/status/2092255267144475055 ; https://athens-times.com/fire-breaks-out-near-salamis-naval-base-evacuation-alert-issued-for-two-areas/ ; https://www.pentapostagma.gr/koinonia/7386760_salamina-megali-fotia-entos-toy-naystathmoy-akoygontai-ekrixeis ; https://www.zougla.gr/greece/fotia-sto-elliniko-salaminas/</t>
  </si>
  <si>
    <t>Ακούγονταν εκρήξεις από απορρίμματα. Χωρίς ενεργό μέτωπο/οριοθετήθηκε. ΑΣΧΕΤΟ από τη θανατηφόρα πυρκαγιά Σαλαμίνας 16/8/2026 (2 νεκροί, 9 τραυματίες). | Αντιδήμαρχος Σαλαμίνας δήλωσε ~17:50 «σε μεγάλο βαθμό ελεγχθεί». Κινητοποιήθηκε Ανακριτικό Κλιμάκιο Εμπρησμών Πειραιά.</t>
  </si>
  <si>
    <t>Ελληνικό Σαλαμίνας (Παλαιό Πεδίο Βολής / Ναύσταθμος)</t>
  </si>
  <si>
    <t>υδροφόρες Δήμου Σαλαμίνας</t>
  </si>
  <si>
    <t>χαμηλή βλάστηση και αστικά απόβλητα</t>
  </si>
  <si>
    <t>112 17:10: εκκένωση Άνω Βασιλικά και Νέας Σαλαμίνας (Μπιζάνι) προς Ακτή Καραϊσκάκη | Ναι — εκκένωση Άνω Βασιλικά &amp; Νέα Σαλαμίνα (Μπιζάνι) στις 17:10 | εκκένωση οικισμών Άνω Βασιλικά και Νέα Σαλαμίνα (Μπιζάνι) | 112 ~17:05: εκκένωση Άνω Βασιλικά &amp; Νέας Σαλαμίνας (Μπιζάνι) προς Ακτή Καραϊσκάκη</t>
  </si>
  <si>
    <t>https://www.in.gr/2026/08/25/greece/megali-fotia-sti-salamina/ ; https://thetoc.gr/koinwnia/614648/fotia-sti-salamina-kaiei-xamili-blastisi-sto-palio-pedio-bolis---epixeiroun-4-enaeria?amp= ; https://www.documentonews.gr/article/fotia-tora-sti-salamina-mesa-se-nafstathmo-anafores-gia-ekrixeis/ ; https://www.ertnews.gr/eidiseis/ypo-elegxo-i-pyrkagia-sto-elliniko-salaminas/ ; https://www.ekathimerini.com/news/1313360/wildfires-on-salamina-and-near-lavrio-trigger-evacuation-orders/ ; https://www.naftemporiki.gr/society/2153334/fotia-sti-salamina-minyma-apo-to-112-gia-ekkenosi/ ; https://athens-times.com/fire-breaks-out-near-salamis-naval-base-evacuation-alert-issued-for-two-areas/ ; https://www.pontosnews.gr/859110/ellada/fotia-kai-sti-salamina-piso-apo-to-naystathmo/ ; https://www.huffingtonpost.gr/kinonia/fotia-sti-salamina-sto-palio-pedio-volis-syndramoun-enaeria-mesa/ ; https://www.documentonews.gr/article/foties-se-salamina-kai-voiotia-machi-me-ta-pyrina-metopa-kai-baraz-minymaton-apo-to-112/ ; https://www.enikos.gr/society/salamina-enischythikan-oi-dynameis-gia-tin-pyrkagia-sto-elliniko-minyma-tou-112-gia-ekkenosi-2-oikismon/2633767/ ; https://www.thetoc.gr/koinwnia/article/fotia-sti-salamina-kaiei-xamili-blastisi-sto-palio-pedio-bolis---epixeiroun-4-enaeria/ ; https://www.newsbeast.gr/greece/arthro/13313010/fotia-konta-ston-nafstathmo-salaminas-spevdoun-dynameis-tis-pyrosvestikis ; https://www.newsit.gr/ellada/fotia-stin-salamina-pragmatopoiountai-ripseis-nerou-apo-2-elikoptera/4753207/ ; https://thriassio.gr/fotia-tora-salamina-dasiki-ektasi-pyrosvestiki-2/ ; https://www.skai.gr/news/greece/piges-gen-gia-fotia-sti-salamina-den-apeilithikan-egkatastaseis-kai-ploia ; https://www.ertnews.gr/eidiseis/fotia-sti-salamina-kaiei-entos-tou-naystathmou-minyma-ekkenosis-apo-to-112/</t>
  </si>
  <si>
    <t>Εκρήξεις από μπαταρίες/απόβλητα· Πυροσβεστική επιβεβαίωσε ότι δεν προέρχονται από στρατιωτικό υλικό | Κινητοποιήθηκε Ανακριτικό Κλιμάκιο Εμπρησμών Πειραιά. Πολύ πιθανώς ίδιο συμβάν με «Ελληνικό (Άνω Βασιλικά)» — ίδια ώρα έναρξης, ίδιες δυνάμεις, παρακείμενη περιοχή. | Πυρκαγιά σε χαμηλή βλάστηση και απορρίμματα κοντά στον Ναύσταθμο· οριοθετήθηκε· αναφέρονται εκρήξεις από πυρομαχικά πεδίου βολής· ανακοινώθηκε ως κατασβεσμένη από Yutori email 26/8. | Φωτιά σε παλαιό πεδίο βολής με απορρίμματα· εκρήξεις ακούστηκαν· δεν απειλήθηκαν εγκαταστάσεις Πολεμικού Ναυτικού. Οριοθετήθηκε βάσει Yutori 26/08.</t>
  </si>
  <si>
    <t>Ελληνικό Σαλαμίνας (πλησίον Ναυστάθμου)</t>
  </si>
  <si>
    <t>Σαλαμίνα</t>
  </si>
  <si>
    <t>3 ομάδες πεζοπόρων 1ης ΕΜΔΕ</t>
  </si>
  <si>
    <t>χώρος απόρριψης αποβλήτων – υπό διερεύνηση ΑΚΑ Πειραιά</t>
  </si>
  <si>
    <t>112 17:10: εκκένωση Άνω Βασιλικά και Νέα Σαλαμίνα (Μπιζάνι) προς Ακτή Καραϊσκάκη | 112 ~17:10: εκκένωση Άνω Βασιλικά και Νέα Σαλαμίνα (Μπιζάνι) προς Καραϊσκάκη | 112 17:10: εκκένωση Άνω Βασιλικών &amp; Νέας Σαλαμίνας (Μπιζάνι) προς Ακτή Καραϊσκάκη | 112 17:10: εκκένωση Άνω Βασιλικών και Νέας Σαλαμίνας (Μπιζάνι) προς Ακτή Καραϊσκάκη | 17:10 εκκένωση Άνω Βασιλικών και Νέας Σαλαμίνας (Μπιζάνι) προς Ακτή Καραϊσκάκη | 17:10 εκκένωση Άνω Βασιλικά και Νέα Σαλαμίνα (Μπιζάνι) προς Καραϊσκάκη</t>
  </si>
  <si>
    <t>https://www.ertnews.gr/eidiseis/fotia-sti-salamina-kaiei-xamili-vlastisi-kai-aporrimmata-minyma-ekkenosis-apo-to-112/ ; https://www.naftemporiki.gr/society/2153334/fotia-sti-salamina-minyma-apo-to-112-gia-ekkenosi/ ; https://www.in.gr/2026/08/25/greece/megali-fotia-sti-salamina/ ; https://www.cnn.gr/ellada/story/549295/fotia-sti-salamina-kaiei-se-xamili-vlastisi-stin-perioxi-elliniko-sikothikan-3-aeroskafi ; https://www.huffingtonpost.gr/kinonia/fotia-sti-salamina-sto-palio-pedio-volis-syndramoun-enaeria-mesa/ ; https://www.emakedonia.gr/pyrkagia-sto-elliniko-salaminas-minyma-112-gia-ekkenosi-periochon-823086 ; https://www.megatv.com/2026/08/25/pyrkagies-se-keratea-salamina-voiotia-ixise-to-112 ; https://www.megatv.com/2026/08/25/fotia-se-keratea-salamina-minyma-apo-to-112/ ; https://www.skai.gr/news/greece/piges-gen-gia-fotia-sti-salamina-den-apeilithikan-egkatastaseis-kai-ploia ; https://www.athensvoice.gr/epikairotita/ellada/981950/fotia-sto-elliniko-salaminas-ekkenonodai-duo-periohes-minuma-112-stous-katoikous/ ; https://www.ekathimerini.com/news/1313360/wildfires-on-salamina-and-near-lavrio-trigger-evacuation-orders/ ; https://www.newsbomb.gr/ellada/story/1758818/fotia-sti-salamina-112-gia-ekkenosi-dyo-perioxon ; https://www.ertnews.gr/eidiseis/ypo-elegxo-i-pyrkagia-sto-elliniko-salaminas/ ; https://www.real.gr/koinonia/arthro/fotia-sti-salamina-minyma-tou-112-gia-ekkenosi-periochon-vinteo-908008/ ; https://www.lamiareport.gr/ellada/item/pyrkagia-sti-salamina-minyma-112-gia-ekkenosi-oikismon-kaigetai-xamili-vlastisi-mesa-ston-naystathmo/ ; https://www.thestival.gr/eidiseis/astynomika/mainetai-i-pyrkagia-sti-salamina-chori/ ; https://www.kalitheapress.gr/salamina-fotia-dipla-ston-nafstathmo-ekrixeis-112-kai-megali-epicheirisi-pyrosvesis/ ; https://www.lifo.gr/now/greece/fotia-tora-sti-salamina-kinitopoiithikan-tessera-enaeria-mesa ; https://thepressproject.gr/fotia-sti-salamina-ekkenonontai-dyo-oikismoi-minyma-apo-to-112 ; https://www.reporter.gr/eidhseis/683657-fotia-sti-salamina-maxi-me-tis-floges-konta-ston-naystathmo ; https://www.documentonews.gr/article/fotia-tora-sti-salamina-mesa-se-nafstathmo-anafores-gia-ekrixeis/</t>
  </si>
  <si>
    <t>Απορρίμματα ηλεκτρικών συσκευών και μπαταριών προκάλεσαν εκρήξεις. Πυκνός μαύρος καπνός ορατός από Πέραμα. Κοντά στον Ναύσταθμο. Διακοπή κυκλοφορίας οδού Μπιζανίου. | Πυρκαγιά σε χαμηλή βλάστηση και απορρίμματα. Εκρήξεις από μπαταρίες/δοχεία. ΓΕΝ: εγκαταστάσεις Ναυστάθμου και πλοία δεν απειλήθηκαν. Χωρίς τραυματισμούς. | Χαμηλή βλάστηση &amp; απορρίμματα σε παλιό νταμάρι. Αναφορές εκρήξεων. Email 26 Αυγ. επιβεβαιώνει «πυρκαγιά Σαλαμίνας σβήστηκε». | Ακούγονταν εκρήξεις. Μεγάλο σύννεφο μαύρου καπνού. Αποκλεισμός οδού Μπιζανίου. | Καίει χαμηλή βλάστηση και απορρίμματα κοντά στον ναύσταθμο. Ελεγχθείσα έως 26 Αυγ. | Παλαιό πεδίο βολής με αποθηκευμένα απόβλητα (μπαταρίες) — ακούστηκαν εκρήξεις. Κοντά στο Ναύσταθμο. | Το ΓΕΝ επιβεβαίωσε ότι δεν απειλήθηκαν εγκαταστάσεις ή πλοία Ναυστάθμου. Πηγές αναφέρουν 2 ελικόπτερα + 3 αεροσκάφη (πιθανή διαφορά ελικοπτέρων έναντι αρχικής καταγραφής).</t>
  </si>
  <si>
    <t>Καλοπήγαδο - Τρεχαντήρα</t>
  </si>
  <si>
    <t>Λαυρεωτική</t>
  </si>
  <si>
    <t>3 ομάδες πεζοπόρων</t>
  </si>
  <si>
    <t>Υδροφόρες Δήμου Λαυρεωτικής</t>
  </si>
  <si>
    <t>Εθελοντές</t>
  </si>
  <si>
    <t>ύποπτος εμπρησμός (εντοπίστηκαν εμπρηστικοί μηχανισμοί στη Βρωμοπούσι)</t>
  </si>
  <si>
    <t>112 16:09: αποχώρηση κατοίκων Αγίας Μαρίνας και Τσονίμα προς Λεωφόρο Λαυρίου</t>
  </si>
  <si>
    <t>https://hellasjournal.com/2026/08/fotia-sto-lavrio-sti-thesi-kolopigado-konta-se-spitia-proeidopoiitiko-112-gia-pithani-apomakrynsi-kai-plota-epicheiroun-4-elikoptera-kai-5-aeroskafi-video/ ; https://www.ekathimerini.com/news/1313360/wildfires-on-salamina-and-near-lavrio-trigger-evacuation-orders/ ; https://www.ertnews.gr/eidiseis/kalyteri-i-eikona-tis-fotias-sti-layreotiki-minyma-112-apeilithikan-spitia/</t>
  </si>
  <si>
    <t>Πλοιάριο RAFNAR στην Τσονίμα για πιθανή θαλάσσια εκκένωση. Τμήμα Πυρανάλυσης ενεργοποιήθηκε.</t>
  </si>
  <si>
    <t>Καλοπήγαδο Λαυρίου</t>
  </si>
  <si>
    <t>Λαύριο</t>
  </si>
  <si>
    <t>υδροφόρες Δήμου Λαυρεωτικής</t>
  </si>
  <si>
    <t>112 16:09: εκκένωση Αγία Μαρίνα και Τσώνιμα | 112: εκκένωση Αγίας Μαρίνας και Τσονίμα προς Λεωφόρο Λαυρίου | 112 ~16:00: προειδοποιητικό μήνυμα για πιθανή απομάκρυνση· 112 16:15: εκκένωση Αγίας Μαρίνας και Τσονίμας Αν. Αττικής προς Λεωφόρο Λαυρίου | 112 εκκένωση Αγ. Μαρίνας &amp; Τσώνιμα (Ανατολική Αττική) προς Λεωφ. Λαυρίου | 112 16:09: εκκένωση Αγίας Μαρίνας και Τσονιάμα προς Λεωφόρο Λαυρίου· αναπτύχθηκε σκάφος RAFNAR για πιθανή θαλάσσια εκκένωση | εκδόθηκε 112 για πιθανή απομάκρυνση κατοίκων (ώρα μη προσδιορισμένη) | προειδοποιητικό 112 για πιθανή απομάκρυνση κατοίκων</t>
  </si>
  <si>
    <t>https://www.newsit.gr/ellada/fotia-stin-perioxi-kalopigado-sto-layrio-ixise-to-112-ekkenonontai-agia-marina-kai-tsonima/4757465/ ; https://www.cnn.gr/ellada/story/549289/fotia-sto-layrio-minyma-ekkenosis-gia-tis-perioxes-agia-marina-kai-tsonim ; https://hellasjournal.com/2026/08/fotia-sto-lavrio-sti-thesi-kolopigado-konta-se-spitia-proeidopoiitiko-112-gia-pithani-apomakrynsi-kai-plota-epicheiroun-4-elikoptera-kai-5-aeroskafi-video/ ; https://www.tanea.gr/2026/08/25/greece/fotia-tora-sto-kalopigado-lavriou ; https://www.capital.gr/epikairotita/4012311/fotia-sto-laurio-epixeiroun-enaeria-mesa/ ; https://www.skai.gr/news/greece/voiotia-kai-attiki-kseperase-ta-100000-stremmata-i-kameni-ektasi ; https://www.ekathimerini.com/news/1313360/wildfires-on-salamina-and-near-lavrio-trigger-evacuation-orders/ ; https://www.athensvoice.gr/epikairotita/ellada/981938/dipla-se-spitia-i-fotia-sto-laurio-minuma-ekkenosis-gia-tis-periohes-agia-marina-kai-tsonima/ ; https://www.naftemporiki.gr/society/2145381/fotia-tora-stin-keratea-nea-kinitopoiisi-tis-pyrosvestikis/ ; https://www.thetoc.gr/koinwnia/article/fotia-tora-sto-kalopigado-lauriou---epixeiroun-tria-enaeria-mesa/ ; https://www.enikos.gr/society/fotia-sto-kalopigado-kerateas-neo-minyma-112-gia-ekkenosi-ton-periochon-agia-marina-kai-tsonima/2633732/ ; https://www.ertnews.gr/eidiseis/ellada/oriothetithike-to-neo-metopo-fotias-stin-keratea/ ; https://www.naftemporiki.gr/society/2153298/fotia-tora-sto-kalopigado-layrioy/ ; https://x.com/112Greece/status/2092255267144475055 ; https://www.documentonews.gr/article/fotia-tora-stin-keratea-5/ ; https://www.newsbeast.gr/greece/arthro/13312889/fotia-sto-lavrio-megali-kinitopoiisi-sto-kalopigado-epicheiroun-55-pyrosvestes-kai-enaeria-mesa ; https://www.real.gr/koinonia/arthro/fotia-sto-lavrio-minyma-112-gia-ekkenosi-dyo-periochon-907985/ ; https://www.news247.gr/ellada/fotia-sto-lavrio-sikothikan-tria-enaeria/ ; https://www.cnn.gr/ellada/story/549289/fotia-sto-layrio-minyma-ekkenosis-gia-tis-perioxes-agia-marina-kai-tsonima ; https://mesogianews.gr/apo-karakaxa-ekdilothike-i-fotia-sto-kalopigado-kerateas/ ; https://pelop.gr/fotia-keratea-kalopigado-pyrosvestes-enaeria/ ; https://www.irafina.gr/se-yfesi-i-fotia-stin-keratea-stamatise-akrivos-ekso-apo-ta-spitia/</t>
  </si>
  <si>
    <t>Yutori/hellasjournal αναφέρει αργότερα 4 ελικόπτερα και 5 αεροσκάφη (ενίσχυση). Καίει κοντά σε κατοικίες. ΕΣΚΕΔΙΚ παρακολουθεί με drone θερμικής/οπτικής κάμερας. | Κατά ΣΚΑΪ η συνδυαστική καμένη έκταση Αττικής (Καλοπήγαδο) και Βοιωτίας (Στεφάνη) υπερέβη τα 100.000 στρέμματα (&gt;10.000 ha) — διαχωρισμός ανά πυρκαγιά δεν παρέχεται στο δημοσίευμα. | Φλόγες σταμάτησαν λίγα μέτρα πριν τα σπίτια κατά Δήμαρχο Λαυρεωτικής. Yutori email αναφέρει 4 ελικόπτερα+5 αεροσκάφη (πιθανώς μεταγενέστερη ενίσχυση). | Χαμηλή βλάστηση, ~20μ από κατοικίες. Βελτίωση ~17:15, χωρίς ενεργό μέτωπο από πρωί 26/8. | Yutori email (25 Αυγ.): 4 ελικ. + 5 αεροσκ. Χάρτης ΓΓΠΠ 25/8: Αττική κίτρινο (ΥΨΗΛΗ 3). | Drone θερμικής απεικόνισης· κλιμάκιο εμπρησμού ενεργοποιήθηκε | Κοντά σε κατοικημένες περιοχές. Εναέρια κινητοποίηση 4 ελικοπτέρων + 5 αεροσκαφών. | Ενεργή κοντά σε κατοικημένες περιοχές. Τελικό αποτέλεσμα αδιευκρίνιστο. | Η φωτιά σταμάτησε ακριβώς έξω από τα σπίτια. Μήνυμα 112 εκδόθηκε 16:09–16:15 για Αγία Μαρίνα και Τσονιμά.</t>
  </si>
  <si>
    <t>Στέφανι-Άγιος Βλάσιος-Τσουκαλάδες</t>
  </si>
  <si>
    <t>5 πεζοπόρα τμήματα (4η και 10η ΕΜΟΔΕ)</t>
  </si>
  <si>
    <t>υδροφόρες Δήμου Λεβαδέων</t>
  </si>
  <si>
    <t>112 17:27: ετοιμότητα Αγίου Βλάσιου και Τσουκαλάδων· 112 18:14: εκκένωση Τσουκαλάδων προς Λιβαδειά | 17:27 ενημέρωση-ετοιμότητα κατοίκων Αγίου Βλασίου και Τσουκαλάδων· 18:14 εκκένωση οικισμού Τσουκαλάδες προς Λιβαδειά | 112 17:27: ενημέρωση Αγίου Βλασίου &amp; Τσουκαλάδων· 112 18:14: εκκένωση Τσουκαλάδων προς Λιβαδειά</t>
  </si>
  <si>
    <t>https://www.ertnews.gr/eidiseis/maxi-me-tis-floges-ston-agio-vlasio-voiotias-enisxythikan-oi-epigeies-dynameis-92-pyrosvestes-sto-metopo/ ; https://www.ertnews.gr/eidiseis/se-ekseliksi-i-pyrkagia-ston-ag-vlasi-voiotias-enisxyontai-oi-epigeies-dynameis-tis-pyrosvestikis/ ; https://www.cnn.gr/ellada/story/549302/fotia-sti-voiotia-kaigetai-pykno-dasos-anamesa-se-tsoukalades-kai-agio-vlasio-ixise-to-112 ; https://thetoc.gr/koinwnia/614671/diplo-metopo-fotias-sti-boiotia-minumata-tou-112-se-tsoukalades-kai-agio-blasio-ekkenonontai-oikismoi ; https://www.news247.gr/ellada/fotia-ston-agio-vlasio-voiotias-minima-112-gia-ekkenosi/ ; https://www.documentonews.gr/article/foties-se-salamina-kai-voiotia-machi-me-ta-pyrina-metopa-kai-baraz-minymaton-apo-to-112/ ; https://www.tovima.gr/2026/08/26/society/foties-veltiomeni-eikona-ston-agio-vlasio-ypsilos-kindynos-pyrkagias ; https://gr.euronews.com/my-europe/2026/08/25/pyrkagies-se-salamina-boiwtia-kai-hrakleio-krhths-mparaz-112-gia-ekkenwseis-oikismwn ; https://lamianow.gr/anexelegkti-i-megali-fotia-ston-agio-vlasio-voiotias-i-eikona-apo-ta-ypoloipa-pyrina-metopa/ ; https://www.in.gr/2026/08/25/greece/megali-fotia-sti-stefani-voiotias-sikothikan-8-enaeria-mesa/ ; https://www.star.gr/eidiseis/ellada/726492/fwtia-twra-sth-stefanh-boiwtias ; https://www.kalitheapress.gr/fotia-sti-stefani-voiotias-machi-se-dysvato-simeio-me-62-pyrosvestes-kai-4-enaeria-mesa/ ; https://www.documentonews.gr/article/mainetai-i-fotia-sti-stefani-voiotias-enischythikan-ta-enaeria-mesa-se-okto/ ; https://www.ertnews.gr/eidiseis/voiotia-veltiomeni-i-eikona-tis-pyrkagias-ston-agio-vlasio-xoris-energo-metopo-i-fotia-stin-stefani/ ; https://athina984.gr/2026/08/25/mainetai-se-dasiki-ektasi-pyrkagia-sti-voiotia/ ; https://www.documentonews.gr/article/foties-se-salamina-kai-voiotia-olonychtia-machi-me-tis-floges-kai-epagrypnisi-gia-anazopyroseis/ ; https://www.tanea.gr/2026/08/26/greece/fotia-sti-voiotia-kalyteri-i-eikona-ston-agio-vlasio-xoris-energo-metopo ; https://voicenews.gr/synagermos-sti-voiotia-fotia-tora-ston-agio-vlasio-ichise-to-112/ ; https://thepressproject.gr/fotia-sti-voiotia-sti-machi-11-enaeria-mesa-neo-minyma-112-gia-apomakrynsi/ ; https://www.liberal.gr/ellada/fotia-se-dasos-sti-stefani-boiotias-epiheiroyn-epta-enaeria-mesa ; https://www.ilamia.gr/2026/08/25/se-diplo-metopo-i-fotia-sti-voiotia-ekkenonontai-oikismoi/</t>
  </si>
  <si>
    <t>Βαρύ πυκνό δάσος, δύσκολες συνθήκες κατά Αντιπεριφερειάρχη. Βελτιωμένη εικόνα 26/08. 14 αεροσκάφη+4 ελικόπτερα έως τη νύχτα. Ανακριτικό κλιμάκιο εμπρησμού κινητοποιήθηκε. | Δύσβατο σημείο, μακριά από οικισμούς. Ίδια περιοχή έναρξης καταστροφικής πυρκαγιάς Πάρνηθας 2007. Εναέρια ενισχύθηκαν από 4 σε 8. | Δύσβατο και απρόσιτο έδαφος. Πολλαπλές εστίες κατά τη διάρκεια της νύχτας. | Ολονύχτια μάχη με τις φλόγες· βελτιωμένη εικόνα το πρωί 26/8· επαγρύπνηση για αναζωπυρώσεις. Μέτωπο στο πυκνό δάσος μεταξύ Τσουκαλάδων-Αγίου Βλασίου. Αρχικά 14 αεροπλάνα και 4 ελικόπτερα. | Ξεχωριστή εστία από την πυρκαγιά Αγ.Βλασίου· χωρίς ενεργό μέτωπο ήδη στο βράδυ της 25/8. Ελάχιστα ανεξάρτητα στοιχεία διαθέσιμα. | Χωρίς ενεργό μέτωπο από πρωί 26/8 μετά ολονύχτια επιχείρηση σε δύσβατη δασική περιοχή· μήνυμα 112 είχε εκδοθεί για Τσουκαλάδες | Διπλό μέτωπο Στεφάνη–Άγιος Βλάσιος· ολονύχτια επιχείρηση· αιχμή 18 εναέριων μέσων (liberal.gr). Χωρίς ενεργό μέτωπο 26/08. | Δασική έκταση. Follow-up ενημ. ~27/8: χωρίς ενεργό μέτωπο. Χάρτης 25/8: ΠΕ Βοιωτίας κίτρινο (Κατ.3).</t>
  </si>
  <si>
    <t>Στεφάνη Βοιωτίας</t>
  </si>
  <si>
    <t>4 ομάδες πεζοπόρων 1ης και 4ης ΕΜΟΔΕ</t>
  </si>
  <si>
    <t>μηχανήματα έργου ΟΤΑ</t>
  </si>
  <si>
    <t>υπό διερεύνηση (ΑΚΑ)</t>
  </si>
  <si>
    <t>112 17:27: ετοιμότητα Άγιος Βλάσιος και Τσουκαλάδες | 112 μήνυμα απομάκρυνσης (thepressproject, λεπτομέρειες αόριστες — κοινή κάλυψη Βοιωτίας)</t>
  </si>
  <si>
    <t>https://www.cnn.gr/ellada/story/549302/fotia-sti-voiotia-kaigetai-pykno-dasos-anamesa-se-tsoukalades-kai-agio-vlasio-ixise-to-112 ; https://www.skai.gr/news/greece/megali-pyrkagia-stin-perioxi-stefani-voiotias ; https://www.libre.gr/2026/08/25/fotia-stin-stefani-voiotias-megali-k/ ; https://www.huffingtonpost.gr/kinonia/fotia-sti-salamina-sto-palio-pedio-volis-syndramoun-enaeria-mesa/ ; https://www.skai.gr/news/greece/voiotia-kai-attiki-kseperase-ta-100000-stremmata-i-kameni-ektasi ; https://www.in.gr/2026/08/25/greece/megali-fotia-sti-stefani-voiotias-sikothikan-8-enaeria-mesa/ ; https://www.kalitheapress.gr/fotia-sti-stefani-voiotias-machi-se-dysvato-simeio-me-62-pyrosvestes-kai-4-enaeria-mesa/ ; https://www.tovima.gr/2026/08/25/society/fotia-tora-sti-stefani-voiotias/ ; https://thepressproject.gr/fotia-sti-voiotia-sti-machi-11-enaeria-mesa-neo-minyma-112-gia-apomakrynsi/ ; https://athina984.gr/2026/08/25/mainetai-se-dasiki-ektasi-pyrkagia-sti-voiotia/ ; https://www.ilamia.gr/2026/08/26/voiotia-veltiomeni-i-eikona-tis-pyrkagias-ston-agio-vlasio-choris-energo-metopo-i-fotia-stin-stefani/ ; https://www.ertnews.gr/eidiseis/voiotia-veltiomeni-i-eikona-tis-pyrkagias-ston-agio-vlasio-xoris-energo-metopo-i-fotia-stin-stefani/ ; https://www.ekathimerini.com/news/1313360/wildfires-on-salamina-and-near-lavrio-trigger-evacuation-orders/ ; https://www.tanea.gr/2026/08/26/greece/fotia-sti-voiotia-kalyteri-i-eikona-ston-agio-vlasio-xoris-energo-metopo ; https://www.megatv.com/2026/08/25/pyrkagies-se-keratea-salamina-voiotia-ixise-to-112 ; https://www.tvopen.gr/watch/276476/pyrinametopaseexelixhsthboiotiakaisthnkeratea</t>
  </si>
  <si>
    <t>Πυκνό δάσος, δύσβατο σημείο. Αρχικά 46 πυρ. / 15 οχ. / 10 εναέρια (CNN.gr) – αυξήθηκαν σε 85/28/8 μετά ενίσχυση (ΣΚΑΪ). Παρακείμενη νέα εστία στον Άγιο Βλάσιο. | Κατά ΣΚΑΪ η συνδυαστική καμένη έκταση Βοιωτίας (Στεφάνη) και Αττικής (Καλοπήγαδο) υπερέβη τα 100.000 στρέμματα (&gt;10.000 ha). Κύρια εστία αναφέρεται ο Άγιος Βασίλειος Βοιωτίας. | Δύσβατο σημείο μακριά από κατοικημένη περιοχή. Χωρίς ενεργό μέτωπο από 26 Αυγ. (επιβεβ. ilamia.gr). Ξεχωριστή από πυρκαγιά Αγ. Βλάσιου. | Δύσβατη/δυσπρόσιτη περιοχή· χωρίς ενεργό μέτωπο κατά την ενημέρωση | Mega-fire: η φωτιά επεκτάθηκε από τη Στεφάνη/Άγιο Βλάσιο Τανάγρας στην Αττική — κατά ΣΚΑΪ ξεπέρασε τα 100.000 στρέμματα (≥10.000 ha) συνολικά στη Βοιωτία και Αττική (megafire κατά πυρομετεωρολόγου Θ. Γιαννάρου). Χωρίς ενεργό μέτωπο από 26/8.</t>
  </si>
  <si>
    <t>Ξηρολίβαδο Βέροιας</t>
  </si>
  <si>
    <t>Βέροια</t>
  </si>
  <si>
    <t>2 ομάδες πεζοπόρων 4ης ΕΜΟΔΕ</t>
  </si>
  <si>
    <t>υδροφόρες Δήμου Βέροιας</t>
  </si>
  <si>
    <t>Πιθανώς κεραυνός (καταιγίδα προηγούμενης ημέρας)</t>
  </si>
  <si>
    <t>https://www.ertnews.gr/roi-idiseon/veroia-pyrkagia-se-dasiki-ektasi-stin-perioxi-ksirolivado/ ; https://www.focusfm.gr/foties-se-dasiki-ektasi-sto-zagori-ioanninon-kai-to-xirolivado-veroias/ ; https://www.topontiki.gr/2026/08/25/fotia-tora-sto-xirolivado-verias-sti-machi-ke-ta-enaeria/ ; https://www.sofokleousin.gr/epikairotita/ellada/veroia-pyrkagia-se-dasiki-ektasi-stin-perioxi-ksirolivado ; https://www.emakedonia.gr/pyrkagia-sto-xirolivado-veroias-tria-enaeria-sti-machi-823062 ; https://www.protothema.gr/greece/article/1869284/fotia-tora-sto-xirolivado-veroias-epiheiroun-2-aeroskafi-kai-1-elikoptero/ ; https://www.newsbeast.gr/greece/arthro/13312673/fotia-tora-sto-xirolivado-veroias ; https://www.ekathimerini.com/news/1313360/wildfires-on-salamina-and-near-lavrio-trigger-evacuation-orders/ ; https://www.naftemporiki.gr/society/2153241/fotia-tora-sto-xirolivado-veroias-sikothikan-enaeria-mesa/ ; https://www.ertnews.gr/ert3/veroia-pyrkagia-se-dasiki-ektasi-stin-perioxi-ksirolivado/ ; https://www.documentonews.gr/article/fotia-sto-xirolivado-veroias-sikothikan-3-enaeria/ ; https://www.ertnews.gr/roi-idiseon/veroia-xoris-energo-metopo-i-pyrkagia-sto-ksirolivado/</t>
  </si>
  <si>
    <t>Δασική έκταση. Ισχυρές βροχοπτώσεις και κεραυνική δραστηριότητα την προηγούμενη ημέρα ενδέχεται να σχετίζονται. | Πυρκαγιά σε δασική έκταση. Ισχυρές βροχές και κεραυνοί στην ευρύτερη περιοχή την προηγούμενη ημέρα. | Δασική έκταση. Χάρτης ΓΓΠΠ 25/8: Ημαθία κίτρινο (ΥΨΗΛΗ 3). | Δασική έκταση. Αναφορά ως ενεργή 25 Αυγ. 17:53 EEST. | Αναφέρεται σε λίστα εκκενώσεων 25 Αυγ. Εκδόθηκε εντολή εκκένωσης. | Δασική έκταση· χωρίς ενεργό μέτωπο σύντομα μετά την αρχική επέμβαση. | Κεραυνική δραστηριότητα 24/8 πιθανή αιτία ανάφλεξης. Χάρτης 25/8: ΠΕ Ημαθίας κίτρινο (Κατ.3).</t>
  </si>
  <si>
    <t>13:00</t>
  </si>
  <si>
    <t>Κρύα Βρύση Ζαγορίου</t>
  </si>
  <si>
    <t>1 ομάδα πεζοπόρων 5ης ΕΜΑΚ</t>
  </si>
  <si>
    <t>https://www.naftemporiki.gr/society/2153237/ioannina-fotia-tora-stin-krya-vrysi-zagorioy-epi-podos-i-pyrosvestiki/ ; https://seleo.gr/eidiseis/astynomika/fotia-sta-giannena-stin-periochi-krya-v/ ; https://www.focusfm.gr/foties-se-dasiki-ektasi-sto-zagori-ioanninon-kai-to-xirolivado-veroias/ ; https://epirusonline.gr/eidiseis/ipeiros/pyrkagia-apo-kerayno-sti-laista-zagorioy-sto-simeio-ischyres-pyrosvestikes-dynameis/ ; https://www.skai.gr/news/greece/fotia-se-xamili-vlastisi-stin-krya-vrysi-ioanninon-sikothike-ena-elikoptero ; https://www.ertnews.gr/perifereiakoi-stathmoi/ioanina/pyrkagia-apo-kerayno-sto-zagori/ ; https://www.newsbeast.gr/greece/arthro/13312712/fotia-tora-se-dasiki-ektasi-tou-dimou-zagoriou-ioanninon ; https://www.ekathimerini.com/news/1313360/wildfires-on-salamina-and-near-lavrio-trigger-evacuation-orders/ ; https://www.eleftherostypos.gr/ellada/synagermos-sta-ioannina-fotia-tora-se-chamili-vlastisi-stin-krya-vrysi</t>
  </si>
  <si>
    <t>Δασική έκταση. Επίσης αναφέρεται χωριστή πυρκαγιά από κεραυνό στη Λάιστα Ζαγορίου (epirusonline.gr). | Πυρκαγιά σε δασική έκταση Δήμου Ζαγορίου. | Αιτία: πτώση κεραυνού κατά καιρικών φαινομένων. Δύσβατη περιοχή. Χάρτης ΓΓΠΠ 25/8: Ιωάννινα μπλε (ΜΕΣΗ 2). | Αναφέρθηκε ως μία από τις περιοχές με εκκενώσεις στις 25/08· δεν εντοπίστηκε ξεχωριστό άρθρο με αναλυτικά στοιχεία | Αναφορά ως ενεργή εστία 25 Αυγ. 17:53 EEST. Λεπτομέρειες μη διαθέσιμες. | Αναφέρεται σε λίστα εκκενώσεων 25 Αυγ. Εκδόθηκε εντολή εκκένωσης. | ΝΕΑ ΕΓΓΡΑΦΗ (ανακαλύφθηκε στο batch)· χαμηλή βλάστηση· Δήμος Ζαγορίου συνδρομή με υδροφόρες</t>
  </si>
  <si>
    <t>Βρύση Δήμου Παγγαίου Καβάλας</t>
  </si>
  <si>
    <t>Ανατολικής Μακεδονίας-Θράκης</t>
  </si>
  <si>
    <t>Παγγαίο</t>
  </si>
  <si>
    <t>2 ομάδες πεζοπόρων 21ης και 2ης ΕΜΟΔΕ</t>
  </si>
  <si>
    <t>υδροφόρες Δήμου Παγγαίου</t>
  </si>
  <si>
    <t>χωρίς ενεργό μέτωπο</t>
  </si>
  <si>
    <t>υπό διερεύνηση ΑΚΑ Καβάλας</t>
  </si>
  <si>
    <t>https://thepressproject.gr/kavala-pyrkagia-se-chamili-vlastisi-sti-vrysi-pangaiou ; https://www.tanea.gr/2026/08/25/greece/kavala-xoris-energo-metopo-i-pyrkagia-sti-vrysi-tou-dimou-paggaiou/ ; https://www.protothema.gr/greece/article/1869202/fotia-ston-dimo-paggaiou-stin-kavala-epiheiroun-tessera-enaeria-mesa/ ; https://www.businessdaily.gr/koinonia/227903_ypo-elegho-i-pyrkagia-sti-brysi-toy-dimoy-paggaioy-stin-kabala ; https://www.makedonikanea.gr/ellada/kabala-pyrkagia-sti-brysi-toy-dimoy-paggaio-epiheiroyn-tessera-enaeria-mesa ; https://www.newsit.gr/ellada/xoris-energo-metopo-i-fotia-stin-kavala-ekaige-se-xamili-vlastisi-sti-vrysi/4757331/ ; https://www.cnn.gr/ellada/story/549251/fotia-stin-kavala-stin-perioxi-vrysi-epixeiroyn-kai-tessera-enaeria-mesa ; https://www.efsyn.gr/ellada/1453883/fotia-stin-kavala-kaiei-se-hamili-vlastisi-stin-periochi-vrysi-epiheiroyn-tessera-enaeria/ ; https://www.ekathimerini.com/news/1313360/wildfires-on-salamina-and-near-lavrio-trigger-evacuation-orders/ ; https://www.enikos.gr/society/fotia-stin-kavala-epicheiroun-4-enaeria-mesa/2633590/ ; https://www.in.gr/2026/08/25/greece/fotia-stin-kavala-epixeiroun-tessera-enaeria-mesa/ ; https://www.efsyn.gr/ellada/1453883/fotia-stin-kavala-kaiei-se-hamili-vlastisi-stin-periohi-vrysi-epiheiroyn-tessera-enaeria/ ; https://www.tanea.gr/2026/08/25/greece/kavala-fotia-se-xamili-vlastisi-sti-vrysi-paggaiou-sikothikan-enaeria-mesa/ ; https://www.emakedonia.gr/kavala-fotia-se-chamili-vlastisi-sti-vrysi-paggaioy-epicheiroyn-tessera-enaeria-mesa ; https://radar.gr/article/fotia-ston-dimo-pangaiou-stin-kavala-epicheiroun-tessera-enaeria-mesa ; https://www.athensvoice.gr/epikairotita/ellada/981885/fotia-ston-dimo-paggaiou-stin-kavala-epiheiroun-tessera-enaeria-mesa/ ; https://thesstoday.gr/%CE%BA%CE%B1%CE%B2%CE%AC%CE%BB%CE%B1-%CF%86%CF%89%CF%84%CE%B9%CE%AC-%CF%83%CF%84%CE%B7-%CE%B8%CE%AD%CF%83%CE%B7-%CE%B2%CF%81%CF%8D%CF%83%CE%B7-%CF%83%CF%84%CE%BF%CE%BD-%CE%B4%CE%AE%CE%BC/</t>
  </si>
  <si>
    <t>Χαμηλή βλάστηση. Tanea/businessdaily: χωρίς ενεργό μέτωπο αργότερα. | Πυρκαγιά σε χαμηλή βλάστηση. Ανακριτικό Κλιμάκιο Εγκλημάτων Εμπρησμού Καβάλας διερευνά αίτια. | Αναφέρεται σε λίστα εκκενώσεων 25 Αυγ. Εκδόθηκε εντολή εκκένωσης. Γειτνιάζει με τοποθεσίες πυρκαγιών 26 Αυγ στον ίδιο δήμο. | Χαμηλή βλάστηση. Drone παρακολούθηση. Χάρτης ΓΓΠΠ 25/8: Καβάλα μπλε (ΜΕΣΗ 2). | Αναφέρθηκε ως μία από τις περιοχές με εκκενώσεις στις 25/08· δεν εντοπίστηκε ξεχωριστό άρθρο με αναλυτικά στοιχεία | Αναφορά ως ενεργή εστία 25 Αυγ. 17:53 EEST. Λεπτομέρειες μη διαθέσιμες. | Χαμηλή βλάστηση. 4 εναέρια μέσα συνολικά (2 αεροσκάφη + 2 ελικόπτερα). ΑΚΑ Καβάλας για διερεύνηση αιτίας. Καμένη έκταση και ώρα ελέγχου δεν εντοπίστηκαν.</t>
  </si>
  <si>
    <t>Άγιοι Δέκα-Παρανύμφοι, Ηράκλειο Κρήτης</t>
  </si>
  <si>
    <t>Γόρτυνας</t>
  </si>
  <si>
    <t>1 πεζοπόρο τμήμα (3η ΕΜΟΔΕ)</t>
  </si>
  <si>
    <t>112: ετοιμότητα κατοίκων | 112: προειδοποιητικό μήνυμα ετοιμότητας στην περιοχή</t>
  </si>
  <si>
    <t>https://www.cnn.gr/ellada/story/549300/fotia-sto-irakleio-kritis-sti-maxi-epigeies-kai-enaeries-dynameis ; https://www.tovima.gr/2026/08/25/society/fotia-tora-stin-kriti-synagermos-se-irakleio-kai-gortyna/ ; https://www.tovima.gr/2026/08/25/society/fotia-tora-sto-irakleio-megali-maxi-stous-agious-deka-enisxythikan-oi-dynameis ; https://www.newsbomb.gr/ellada/story/1758846/kriti-fotia-tora-stous-paranymfous-irakleiou-amesi-kinitopoiisi-tis-pyrosvestikis ; https://voicenews.gr/kriti-pyrkagia-tora-se-chamili-vlastisi-stin-periochi-abelouzos-sto-irakleio/ ; https://gr.euronews.com/my-europe/2026/08/25/pyrkagies-se-salamina-boiwtia-kai-hrakleio-krhths-mparaz-112-gia-ekkenwseis-oikismwn ; https://www.documentonews.gr/article/fotia-tora-sto-irakleio-stin-periochi-agioi-deka/ ; https://www.eleftherostypos.gr/ellada/oriothetithike-i-fotia-stous-agious-deka-sto-irakleio-paramenoun-ischyres-dynameis ; https://2810.gr/irakleio-fotia-stous-paranymfous-archanon-asterousion/ ; https://www.dimocracy.gr/epikairotita/pyrkagia-stous-paranymfous-irakleiou-kritis/ ; https://www.ekathimerini.com/news/1313360/wildfires-on-salamina-and-near-lavrio-trigger-evacuation-orders/</t>
  </si>
  <si>
    <t>Δευτερεύον μέτωπο στους Παρανύμφους (Δήμος Αρχανών-Αστερουσίων). Αρχαιολογικός χώρος Γόρτυνας δεν απειλήθηκε. Δύο από τα 4 ελικόπτερα πραγματοποιούσαν ρίψεις. | Αγροτοδασική έκταση. Παραμένουν ισχυρές δυνάμεις για επανέλεγχο. | Δεύτερο ενεργό μέτωπο στο Ηράκλειο Κρήτης την ίδια ημέρα. Νότια του Ηρακλείου. | Αναφέρεται σε λίστα εκκενώσεων 25 Αυγ. Εκδόθηκε εντολή εκκένωσης. Δεν υπάρχουν επιπλέον λεπτομέρειες.</t>
  </si>
  <si>
    <t>Κερατέα</t>
  </si>
  <si>
    <t>Λαυρεωτικής</t>
  </si>
  <si>
    <t>Καρακάξα εμπλέκτηκε σε ηλεκτρικά καλώδια και έπεσε φλεγόμενη στη βλάστηση</t>
  </si>
  <si>
    <t>True</t>
  </si>
  <si>
    <t>https://www.megatv.com/2026/08/25/pyrkagies-se-keratea-salamina-voiotia-ixise-to-112 ; https://www.athensvoice.gr/epikairotita/ellada/978190/minuma-tou-112-gia-ti-fotia-stin-keratea/app/ ; https://www.tvopen.gr/watch/276497/pyrkagiesmaxhmetisflogesseboiotiakaikeratea ; https://mesogianews.gr/apo-karakaxa-ekdilothike-i-fotia-sto-kalopigado-kerateas/ ; https://pelop.gr/fotia-keratea-kalopigado-pyrosvestes-enaeria/ ; https://www.irafina.gr/se-yfesi-i-fotia-stin-keratea-stamatise-akrivos-ekso-apo-ta-spitia/</t>
  </si>
  <si>
    <t>Πιθανόν ίδιο συμβάν με Καλοπήγαδο Λαυρίου — η τοποθεσία Καλοπήγαδο βρίσκεται μεταξύ Κερατέας και Λαυρίου, ταυτόχρονα αναφέρεται ως Καλοπήγαδο Κερατέας σε πηγές. Δυνάμεις και αιτία επιβεβαιώθηκαν από πηγές για Καλοπήγαδο Κερατέας.</t>
  </si>
  <si>
    <t>Κτυπημένα</t>
  </si>
  <si>
    <t>https://www.firefightingreece.gr/2026/08/25/pyrkagia-se-dasiki-ektasi-sti-thesi-ktypimena-almopias-pellas-epicheiroun-34-pyrosvestes-kai-1-elikoptero/</t>
  </si>
  <si>
    <t>Στέφανι (κοντά Πάρνηθα)</t>
  </si>
  <si>
    <t>https://www.ekathimerini.com/news/1313360/wildfires-on-salamina-and-near-lavrio-trigger-evacuation-orders/</t>
  </si>
  <si>
    <t>Αναφέρεται σε λίστα εκκενώσεων 25 Αυγ. Εκδόθηκε εντολή εκκένωσης. Ακριβής νομός αδιευκρίνιστος (Αττικής/Βοιωτίας).</t>
  </si>
  <si>
    <t>Στέφανι Πάρνηθας</t>
  </si>
  <si>
    <t>Φυλή</t>
  </si>
  <si>
    <t>Αναφορά ως ενεργή εστία 25 Αυγ. στις 17:53 EEST. Λεπτομέρειες μη διαθέσιμες.</t>
  </si>
  <si>
    <t>Πλατάνια - Ποντοηράκλεια, Δήμος Παιονίας Κιλκίς</t>
  </si>
  <si>
    <t>Παιονία</t>
  </si>
  <si>
    <t>υπό διερεύνηση (κλιμάκιο εμπρησμού Κιλκίς)</t>
  </si>
  <si>
    <t>https://www.ertnews.gr/roi-idiseon/kilkis-xoris-energa-metopa-oi-dyo-pyrkagies-pou-ksespasan-ston-dimo-paionias/ ; https://www.thestival.gr/eidiseis/astynomika/choris-energo-metopo-i-pyrkagia-stin-ko/ ; https://www.capital.gr/epikairotita/4005152/kilkis-purkagia-se-xamili-blastisi-stin-paionia/ ; https://www.firefightingreece.gr/2026/08/24/pyrkagia-se-chamili-vlastisi-ston-aspro-paionias-kilkis-epicheiroun-30-pyrosvestes-kai-1-elikoptero/ ; https://www.thestival.gr/eidiseis/astynomika/nea-fotia-sto-kilkis-kaiei-chamili-vl/ ; https://www.naftemporiki.gr/society/2152943/fotia-tora-sto-kilkis-sikothike-kai-elikoptero/ ; https://www.documentonews.gr/article/fotia-tora-sto-kilkis-2/</t>
  </si>
  <si>
    <t>2η από 2 πυρκαγιές Δήμου Παιονίας. Χαμηλή βλάστηση. Εκκίνησε ~2h45m μετά τον Ασπρό. | Κλιμάκιο εμπρησμού κινητοποιήθηκε για αμφότερες τις πυρκαγιές Παιονίας (Άσπρος + Πλατάνια/Ποντοηράκλεια). Καμένη έκταση και ώρα ελέγχου δεν εντοπίστηκαν.</t>
  </si>
  <si>
    <t>Πλατανιά-Ποντοχρακλιά Πολυκάστρου</t>
  </si>
  <si>
    <t>Παιονίας</t>
  </si>
  <si>
    <t>1 ομάδα πεζοπόρων 2ης ΕΜΟΔΕ</t>
  </si>
  <si>
    <t>υδροφόρες Δήμου Παιονίας</t>
  </si>
  <si>
    <t>https://www.ertnews.gr/roi-idiseon/kilkis-xoris-energa-metopa-oi-dyo-pyrkagies-pou-ksespasan-ston-dimo-paionias/ ; https://www.inewsgr.com/27/kilkis-oriothetimeni-kai-choris-energo-metopo-i-pyrkagia-sto-polykastro.htm ; https://www.inewsgr.com/27/kilkis-pyrkagia-se-chamili-vlastisi-sto-polykastro.htm ; https://ihunt.gr/kilkis-syllipseis-pyrkagies-ameleia-polykastro-platania/ ; https://www.thestival.gr/eidiseis/astynomika/choris-energo-metopo-i-pyrkagia-stin-ko/ ; https://www.thestival.gr/eidiseis/astynomika/nea-fotia-sto-kilkis-kaiei-chamili-vl/ ; https://www.thetoc.gr/koinwnia/article/kilkis-fotia-tora-sto-polukastro/ ; https://www.athensvoice.gr/epikairotita/ellada/975205/fotia-tora-sto-polukastro-kilkis/ ; https://www.naftemporiki.gr/society/2152943/fotia-tora-sto-kilkis-sikothike-kai-elikoptero/ ; https://www.capital.gr/epikairotita/4005152/kilkis-purkagia-se-xamili-blastisi-stin-paionia/</t>
  </si>
  <si>
    <t>Δεύτερη πυρκαγιά ίδιας ημέρας στον Δήμο Παιονίας Κιλκίς (η πρώτη στον Άσπρο). Εκδηλώθηκε μεταξύ Πλατανιάς και Ποντοχρακλιάς, Δημοτική Ενότητα Πολυκάστρου. Κατηγορία πυρκινδυνότητας 3. | Άρθρο ihunt.gr αναφέρει σύλληψη για αμέλεια και ότι η αιτία συνδέεται με καύση ξερών χόρτων ή σπινθήρες οχήματος — ενδέχεται να αφορά αυτή την πυρκαγιά. | Πιθανή ταύτιση με την εγγραφή «Πλατάνια - Ποντοηράκλεια, Δήμος Παιονίας Κιλκίς» (ίδια ώρα έναρξης, ίδιες δυνάμεις). Να επαληθευτεί αν πρόκειται για διπλή καταγραφή.</t>
  </si>
  <si>
    <t>17:30</t>
  </si>
  <si>
    <t>Ασπρός Παιονίας, Κιλκίς</t>
  </si>
  <si>
    <t>εμπρησμός (σύλληψη 49χρονου)</t>
  </si>
  <si>
    <t>https://www.firefightingreece.gr/2026/08/24/pyrkagia-se-chamili-vlastisi-ston-aspro-paionias-kilkis-epicheiroun-30-pyrosvestes-kai-1-elikoptero/ ; https://www.npress.gr/greece/fotia-ston-aspro-kilkis-epicheirei-ena-elikoptero/ ; https://www.capital.gr/epikairotita/4005152/kilkis-purkagia-se-xamili-blastisi-stin-paionia/ ; https://www.firefightingreece.gr/2026/08/24/pyrosvestiki-49-agrotodasikes-pyrkagies-to-teleftaio-24oro-4/ ; https://www.athensvoice.gr/epikairotita/ellada/981807/fotia-tora-se-hamili-vlastisi-sto-aspros-kilkis/amp/ ; https://www.cnn.gr/ellada/story/549182/xoris-energo-metopo-i-fotia-stin-perioxi-aspros-sto-kilkis ; https://www.ereportaz.gr/choris-energo-metopo-i-fotia-stin-periochi-aspros-sto-kilkis-49-pyrkagies-se-oli-ti-chora-to-teleftaio-24oro/ ; https://www.ertnews.gr/roi-idiseon/kilkis-xoris-energa-metopa-oi-dyo-pyrkagies-pou-ksespasan-ston-dimo-paionias/ ; https://www.eleftherostypos.gr/ellada/fotia-tora-ston-aspro-kilkis-sto-simeio-enaeria-mesa ; https://www.ekathimerini.com/news/1313360/wildfires-on-salamina-and-near-lavrio-trigger-evacuation-orders/ ; https://www.tanea.gr/2026/08/24/greece/kilkis-oriothetithike-i-fotia-ston-aspro ; https://ihunt.gr/kilkis-syllipseis-pyrkagies-ameleia-polykastro-platania/ ; https://www.thestival.gr/eidiseis/astynomika/kilkis-pyrkagia-stin-periochi-aspros-e/ ; https://www.pireasnews.gr/choris-energo-metopo-i-fotia-sto-aspros-kilkis/</t>
  </si>
  <si>
    <t>Χαμηλή βλάστηση στον Άσπρο Παιονίας. Σύλληψη 49χρονου για εμπρησμό. | Χαμηλή βλάστηση. Εντός των 49 περιστατικών 24ωρου 23-24/8. Ημέρα/ώρα εκκίνησης ακαθόριστη. | Χαμηλή βλάστηση. Ανακριτικό Κλιμάκιο Εμπρησμού κινητοποιήθηκε. Κατηγορία κινδύνου 3 βάσει πηγής. | Πυρκαγιά σε χαμηλή βλάστηση. Περιορισμένες πληροφορίες — μόνη πηγή Yutori email + Athens Voice. | Πυρκαγιά σε χαμηλή βλάστηση στην ΠΑΘΕ ύψους Ασπρού. Ανακριτικό Κλιμάκιο Εγκλημάτων Εμπρησμού Κιλκίς διερευνά αίτια. | 1η από 2 πυρκαγιές Δήμου Παιονίας. Χαμηλή βλάστηση. Χάρτης ΓΓΠΠ 24/8: Κιλκίς κίτρινο (ΥΨΗΛΗ 3). | Πυρκαγιά σε χαμηλή βλάστηση· αναφέρθηκε ως ενεργή στην ημερήσια ενημέρωση 25/08 | ΑΝΑΚΑΛΥΨΗ. Πρώτη από δύο πυρκαγιές στον Δήμο Παιονίας 24/8/2026· η δεύτερη ήταν η Πλατανιά-Ποντοχρακλιά (18:45). Η ωρα 16:00 είναι κατά προσέγγιση. Ονομασία περιοχής Άσπρος προς επαλήθευση από πρωτογενή πηγή. | Ανακριτικό Κλιμάκιο Εγκλημάτων Εμπρησμού Κιλκίς διερεύνησε και τις δύο πυρκαγιές Παιονίας. Πιθανή αναθεώρηση αιτίας (βλ. ihunt.gr: δύο συλλήψεις αμέλειας στην ίδια περιοχή).</t>
  </si>
  <si>
    <t>17:20</t>
  </si>
  <si>
    <t>Τραγανό Πηνειού Ηλείας</t>
  </si>
  <si>
    <t>Δήμος Πηνειού (υδροφόρες)</t>
  </si>
  <si>
    <t>υπό διερεύνηση (Ανακριτικό Κλιμάκιο Ηλείας)</t>
  </si>
  <si>
    <t>https://www.naftemporiki.gr/society/2152944/pyrkagia-sto-tragano-ileias-tria-aeroskafi-sti-machi-tis-katasvesis/ ; https://www.ilialive.gr/epikaira/435642/ileia-oriothetithike-i-pyrkagia-sto-tragano ; https://www.documentonews.gr/article/fotia-tora-sto-tragano-ileias-sikothikan-3-enaeria/ ; https://www.ertnews.gr/perifereiakoi-stathmoi/pirgos/ileia-pyrkagia-sto-tragano-pineiou/ ; https://www.thetoc.gr/koinwnia/article/ileia-purkagia-se-georgiki-ektasi-sto-tragano-pineiou---diakoptoun-tin-kukloforia-stin-olumpia-odo/ ; https://www.patrisnews.com/fotia-sto-tragano-megali-kinitopoiisi-tis-pyrosvestikis-kai-enaeria-mesa/ ; https://www.firefightingreece.gr/2026/08/24/pyrkagia-se-agrotodasiki-ektasi-sto-tragano-ileias-epicheiroun-24-pyrosvestes-kai-3-aeroskafi/ ; https://www.newsbomb.gr/ellada/story/1758583/fotia-tora-sto-tragano-ileias-epixeiroyn-kai-tria-aeroskafi ; https://www.kontranews.gr/koinonia/pyrkagia-sto-tragano-pineiou-ileias/</t>
  </si>
  <si>
    <t>Αγροτοδασική. SKEDIK drone real-time εικόνα κατά τη διάρκεια επιχείρησης. Οριοθετήθηκε. | Διακοπή κυκλοφορίας στην Ολυμπία Οδό κατά τη διάρκεια κατάσβεσης. Πυρκαγιά σε γεωργική έκταση, τέθηκε γρήγορα υπό έλεγχο χωρίς σημαντική εξάπλωση. | Πεζοπόρο τμήμα 18ης ΕΜΟΔΕ. Δημοτικά τανκ νερού στην επιχείρηση. Φωτιά οριοθετήθηκε την ίδια ημέρα χωρίς να λάβει μεγάλες διαστάσεις. | Οριοθετήθηκε άμεσα χωρίς να λάβει μεγάλες διαστάσεις (ilialive.gr). Ανακριτικό Κλιμάκιο Ηλείας ενεργό για τα αίτια. | Η πυρκαγιά οριοθετήθηκε γρήγορα χωρίς να επεκταθεί σε σημαντικές αναλογίες (patrisnews: «γρήγορα και χωρίς να επεκταθεί»). Δήμος Πηνειού παρείχε υδροφόρα.</t>
  </si>
  <si>
    <t>Άγιος Βασίλειος Κορινθίας</t>
  </si>
  <si>
    <t>Δήμος Κορινθίων</t>
  </si>
  <si>
    <t>1 ομάδα πεζοπόρων τμημάτων 9ης ΕΜΟΔΕ</t>
  </si>
  <si>
    <t>υδροφόρα Δήμου Κορίνθου</t>
  </si>
  <si>
    <t>https://www.newsbomb.gr/ellada/story/1758541/pyrkagia-ston-agio-vasileio-korinthias ; https://www.skai.gr/news/greece/pyrkagia-ston-agio-vasileio-korinthou ; https://www.loutrakiblog.gr/2026/08/24/poly-ypsilos-kindynos-pyrkagias-gia-tis-pe-argolidas-korinthias-kai-2/ ; https://civilprotection.gov.gr/sites/default/files/2026-08/260824.jpg ; https://www.tanea.gr/2026/08/24/greece/korinthos-pyrkagia-se-agrotodasiki-ektasi-ston-agio-vasileio-megali-kinitopoiisi-tis-pyrosvestikis/ ; https://www.tanea.gr/2026/08/24/greece/oriothetithike-i-pyrkagia-se-agrotodasiki-ektasi-ston-agio-vasileio-korinthias ; https://www.libre.gr/2026/08/24/korinthia-pyrkagia-se-agrotodasiki-ek/ ; https://www.zougla.gr/greece/fotia-ston-agio-vasileio-korinthias/ ; https://www.documentonews.gr/article/fotia-tora-stin-korinthia-se-agrotodasiki-ektasi-ston-agio-vasileio/ ; https://www.libre.gr/2026/08/24/oriothetithike-i-pyrkagia-ston-agio-vas/ ; https://www.irafina.gr/fotia-ston-agio-vasileio-korinthias/</t>
  </si>
  <si>
    <t>Αγροτοδασική έκταση. Υπό μερικό έλεγχο 14:58 (ΣΚΑΪ)· οριοθετήθηκε αργότερα (tanea.gr). Εναέρια μέσα δεν αναφέρονται στις προσβάσιμες πηγές. | αγροτοδασική έκταση · Ανακριτικό Κλιμάκιο Εμπρησμού Κόρινθου ενεργοποιήθηκε για διερεύνηση αιτίας | Αγροτοδασική έκταση. Η πυρκαγιά οριοθετήθηκε το ίδιο απόγευμα. | Αγροτοδασική έκταση. Οριοθετήθηκε. | Αγροτοδασική έκταση. Δυνάμεις δεν αναφέρονται στην πηγή. Χάρτης ΓΓΠΠ 24/8: Κορινθία πορτοκαλί (ΠΟΛΥ ΥΨΗΛΗ 4). | Αγροτοδασική έκταση. Καμένη έκταση δεν ανακοινώθηκε από πηγές.</t>
  </si>
  <si>
    <t>Βαγγελίστρα Μαραθόκαμπου (όρος Κέρκης)</t>
  </si>
  <si>
    <t>Σάμου</t>
  </si>
  <si>
    <t>Δήμος Δυτικής Σάμου</t>
  </si>
  <si>
    <t>1 ομάδα πεζοπόρων τμημάτων 14ης ΕΜΟΔΕ</t>
  </si>
  <si>
    <t>υδροφόρα Δήμου Δυτικής Σάμου</t>
  </si>
  <si>
    <t>https://www.newsbomb.gr/ellada/story/1758538/samos-fotia-se-dasiki-ektasi-ston-marathokampo-epixeirei-kai-elikoptero ; https://www.ertnews.gr/perifereiakoi-stathmoi/voreio_aigaio/samos-xoris-energo-metopo-i-fotia-sto-oros-kerkis/ ; https://agrinio24.gr/choris-energo-metopo-i-fotia-sti-samo-stin-periochi-marathokabou/ ; https://www.libre.gr/2026/08/24/samos-fotia-sto-oros-kerkis-synagerm/ ; https://www.skai.gr/news/greece/fotia-se-dasiki-ektasi-ston-marathokampo-samou ; https://civilprotection.gov.gr/sites/default/files/2026-08/260824.jpg ; https://www.athensvoice.gr/epikairotita/ellada/981769/fotia-tora-sti-samo-kaiei-se-dasiki-ektasi-ston-marathokabo/ ; https://www.news24world.com/samos-ekrixi-vlimatos-mesa-stis-floges-ston-marathokabo-vinteo-ntokoumento-apo-to-palio-pedio-volis/</t>
  </si>
  <si>
    <t>Χωρίς ενεργό μέτωπο (ERT/agrinio24). Κατ. κινδύνου 4 επιβεβαιώθηκε από ertnews. Ανακριτικό κλιμάκιο ΚΕΑΕΕ Λέσβου. Δεν απειλήθηκαν οικισμοί. | Δασική πυρκαγιά, θέση Ευαγγελίστρα. Αργότερα «χωρίς ενεργό μέτωπο» (ertnews). Ανακριτικό κλιμάκιο Λέσβου για αίτια. | Έκρηξη πυρομαχικού από παλιό πεδίο βολής μέσα στις φλόγες. Χωρίς ενεργό μέτωπο αργότερα κατά ertnews. | Χωρίς ενεργό μέτωπο έως ~16:07 της 24/8 (εντός ~2 ωρών από έναρξη 14:15)· αιτία υπό διερεύνηση από Ανακριτικό Κλιμάκιο Λέσβου</t>
  </si>
  <si>
    <t>Κέρκη Σάμου (Μαραθόκαμπος)</t>
  </si>
  <si>
    <t>Δυτικής Σάμου</t>
  </si>
  <si>
    <t>1 ομάδα πεζοπόρων 14ης ΕΜΟΔΕ</t>
  </si>
  <si>
    <t>Δήμος Δυτικής Σάμου (υδροφόρες)</t>
  </si>
  <si>
    <t>https://www.ertnews.gr/perifereiakoi-stathmoi/voreio_aigaio/samos-xoris-energo-metopo-i-fotia-sto-oros-kerkis/ ; https://www.firefightingreece.gr/2026/08/24/pyrkagia-se-dasiki-ektasi-stin-kerki-samou-epicheiroun-28-pyrosvestes-kai-1-elikoptero/ ; https://www.tanea.gr/2026/08/24/greece/fotia-sti-samo-konta-ston-marathokampo</t>
  </si>
  <si>
    <t>Δασική, όρος Κέρκης. Χωρίς ενεργό μέτωπο. Ημέρα με κατηγορία κινδύνου 4 (ΠΟΛΥ ΥΨΗΛΗ) για Σάμο. | Χωρίς ενεργό μέτωπο έως ~16:07 της 24/8· Ανακριτικό Κλιμάκιο Εγκλημάτων Εμπρησμού Λέσβου για αιτία</t>
  </si>
  <si>
    <t>Ξηρολίβαδο, Βέροια</t>
  </si>
  <si>
    <t>Βέροιας</t>
  </si>
  <si>
    <t>2 πεζοπόρα τμήματα (4η ΕΜΟΔΕ)</t>
  </si>
  <si>
    <t>https://www.ertnews.gr/roi-idiseon/veroia-pyrkagia-se-dasiki-ektasi-stin-perioxi-ksirolivado/ ; https://www.emakedonia.gr/pyrkagia-sto-xirolivado-veroias-tria-enaeria-sti-machi-823062 ; https://www.skai.gr/news/greece/fotia-se-dasiki-ektasi-sto-ksirolivado-veroias ; https://www.ereportaz.gr/fotia-tora-sto-xirolivado-veroias-megali-kinitopoiisi-tis-pyrosvestikis-epicheiroun-enaeria-mesa/ ; https://www.libre.gr/2026/08/25/fotia-sto-xirolivado-veroias-ena-eli/ ; https://www.newsbeast.gr/greece/arthro/13312673/fotia-tora-sto-xirolivado-veroias</t>
  </si>
  <si>
    <t>Συνολικά 3 εναέρια (1 ελικόπτερο + 2 αεροσκάφη). Χωρίς ενεργό μέτωπο αργότερα κατά Euronews 25/08.</t>
  </si>
  <si>
    <t>Πεντέλη (οδός Αριστοφάνους)</t>
  </si>
  <si>
    <t>Πεντέλης</t>
  </si>
  <si>
    <t>1 πεζοπόρο τμήμα (1η ΕΜΟΔΕ)</t>
  </si>
  <si>
    <t>Δήμος Πεντέλης (υδροφόρες)</t>
  </si>
  <si>
    <t>https://www.ertnews.gr/eidiseis/oriothetithike-i-fotia-stin-penteli/ ; https://www.in.gr/2026/08/24/greece/fotia-stin-penteli-kaiei-se-xamili-vlastisi/ ; https://www.newsit.gr/ellada/fotia-sti-nea-penteli-oriothetithike-mesa-se-20-lepta-isxyres-dynameis-epixeirisan-sto-simeio/4756749/ ; https://www.naftemporiki.gr/society/2152800/fotia-tora-stin-penteli-kinitopoiisi-tis-pyrosvestikis/</t>
  </si>
  <si>
    <t>Πυρκαγιά σε χαμηλή βλάστηση, οδός Αριστοφάνους, Νέα Πεντέλη. | Χαμηλή βλάστηση. Παρέμεναν καπνογόνα σημεία. Ισχυροί άνεμοι. | Πυρκαγιά σε ξερά χόρτα και απορρίμματα σε ρέμα στη Νέα Πεντέλη. Οριοθετήθηκε σε 20 λεπτά.</t>
  </si>
  <si>
    <t>2026-08-26</t>
  </si>
  <si>
    <t>Κέρκης (Δυτική Σάμος)</t>
  </si>
  <si>
    <t>1 ομάδα 14η ΕΜΟΔΕ</t>
  </si>
  <si>
    <t>υδροφόρες Δήμου Δυτικής Σάμου</t>
  </si>
  <si>
    <t>https://www.ertnews.gr/perifereiakoi-stathmoi/voreio_aigaio/samos-xoris-energo-metopo-i-fotia-sto-oros-kerkis/ ; https://www.firefightingreece.gr/2026/08/24/pyrkagia-se-dasiki-ektasi-stin-kerki-samou-epicheiroun-28-pyrosvestes-kai-1-elikoptero/</t>
  </si>
  <si>
    <t>Follow-up (ενημ. ~27/8): χωρίς ενεργό μέτωπο. danger_level=4 από άρθρο ενημέρωσης 27/8 («Σάμος Κατηγορία 4»). Επίγειες περιπολίες.</t>
  </si>
  <si>
    <t>Καστανιά</t>
  </si>
  <si>
    <t>Δήμος Βέροιας</t>
  </si>
  <si>
    <t>4 ομάδες πεζοπόρων τμημάτων 2ης ΕΜΟΔΕ (ενισχυμένη διάταξη)</t>
  </si>
  <si>
    <t>υδροφόρα Δήμου Βέροιας</t>
  </si>
  <si>
    <t>https://www.newsbomb.gr/ellada/story/1758487/pyrkagia-se-dasos-tis-veroias ; https://www.veriotis.gr/2026/08/pirkagia-se-dasiki-ektasi-sta-oreina-tis-imathias-32-pirosvestes.html ; https://www.rthess.gr/ellada/fotia-sta-oreina-tis-veroias-sti-machi-32-pyrosvestes-kai-dyo-elikoptera/ ; https://www.flash.gr/fotia-stin-kastania-veroias-epicheiroyn-dyo-elikoptera-1077950 ; https://civilprotection.gov.gr/sites/default/files/2026-08/260824.jpg ; https://www.ertnews.gr/ert3/veroia-enisxythikan-oi-dynameis-gia-tin-katasvesi-tis-pyrkagias-stin-kastania/ ; https://www.skai.gr/news/greece/veroia-pyrkagia-se-dasiki-ektasi-konta-stin-kastania</t>
  </si>
  <si>
    <t>Ορεινή περιοχή — δεν απειλούσε κατοικημένη περιοχή. Αρχικά 32 πυρ./8 οχ./2 ομ. 2ης ΕΜΟΔΕ· ενισχύθηκαν σε 62 πυρ./18 οχ./4 ομ. Ανακριτικό κλιμάκιο Πιερίας. | ΑΚ Εμπρησμού Πιερίας επιλήφθηκε για διερεύνηση αιτίας. Δυνάμεις ενισχύθηκαν σε 62 πυροσβέστες/4 ομάδες πεζοπόρων/18 οχήματα/2 ελικόπτερα (ήδη στα γνωστά). Δεν απειλήθηκαν κατοικημένες περιοχές.</t>
  </si>
  <si>
    <t>16:48</t>
  </si>
  <si>
    <t>Περιβόλι (θέση Μπαϊτάνι)</t>
  </si>
  <si>
    <t>Δήμος Γρεβενών</t>
  </si>
  <si>
    <t>1 ομάδα πεζοπόρων τμημάτων 8ης ΕΜΟΔΕ</t>
  </si>
  <si>
    <t>υδροφόρα Δήμου Γρεβενών</t>
  </si>
  <si>
    <t>υπό διερεύνηση (Ανακριτικό Κλιμάκιο Κοζάνης)</t>
  </si>
  <si>
    <t>https://www.newsit.gr/ellada/fotia-sta-grevena-kaiei-se-dasiki-ektasi-sto-perivoli-sikothike-elikoptero/4756633/ ; https://www.ertnews.gr/eidiseis/grevena-fotia-se-dasiki-ektasi-sto-perivoli-epixeirei-kai-elikoptero/ ; https://www.protothema.gr/greece/article/1868687/fotia-se-dasiki-ektasi-sta-grevena-epiheirei-ena-elikoptero/ ; https://civilprotection.gov.gr/sites/default/files/2026-08/260824.jpg ; https://www.emakedonia.gr/choris-energo-metopo-i-fotia-sta-grevena ; https://grevenapress.gr/grevena-pyrkagia-se-dasiki-ektasi-sto-perivoli-syndramei-kai-ena-elikoptero/ ; https://www.emakedonia.gr/grevena-enischythikan-oi-dynameis-stin-pyrkagia-sto-perivoli-sikothikan-2-elikoptera ; https://www.iefimerida.gr/ellada/fotia-sta-grebena-enishythikan-oi-dynameis ; https://www.enikos.gr/society/fotia-sta-grevena-megali-kinitopoiisi-tis-pyrosvestikis-sti-thesi-baitani/2633045/ ; https://igrevena.gr/%CF%86%CF%89%CF%84%CE%B9%CE%AC-%CF%83%CE%B5-%CE%B4%CE%B1%CF%83%CE%B9%CE%BA%CE%AE-%CE%AD%CE%BA%CF%84%CE%B1%CF%83%CE%B7-%CF%83%CF%84%CE%BF-%CE%BC%CF%80%CE%B1%CF%8A%CF%84%CE%AC%CE%BD%CE%B9-%CF%83%CF%84/ ; https://www.tanea.gr/2026/08/24/greece/grevena-pyrkagia-se-dasiki-ektasi-sto-perivoli-syndramei-kai-ena-elikoptero ; https://www.documentonews.gr/article/fotia-tora-sta-grevena-se-dasiki-ektasi-sto-perivoli/ ; https://www.lamiareport.gr/ellada/item/fotia-sta-grevena-enisxythikan-oi-dynameis-tis-pyrosvestikis-epixeiroun-2-elikoptera/</t>
  </si>
  <si>
    <t>Δύσβατη και δυσπρόσιτη ορεινή δασική περιοχή. Ανακριτικό κλιμάκιο Κοζάνης. Ο νομός Γρεβενών εμφανίζεται σε μπλε ζώνη (κατ. 2) στον χάρτη ΓΓΠΠ 24/8. | Δύσβατη δασώδης περιοχή. Αρχικά 1 ελικόπτερο, ενισχύθηκε σε 2. Χωρίς ενεργό μέτωπο στις 16:48. | Ανακριτικό κλιμάκιο αντιμετώπισης εγκλημάτων εμπρησμού Κοζάνης ανέλαβε τη διερεύνηση. Πυρκαγιά σε δασική έκταση. | Αρχικά 18 πυροσβ./1 ομάδα/5 οχ. — μετά ενίσχυση: 40 πυροσβ./3 ομάδες/9 οχ./2 ελικ. Δύσβατη &amp; δυσπρόσιτη περιοχή. Χάρτης ΓΓΠΠ 24/8: Γρεβενά κίτρινο (ΥΨΗΛΗ 3). | Αρχικά 18 πυρ/στες + 1 ελικόπτερο· ενίσχυση στις 12:30 με σύνολο 62 πυρ/στες, 18 οχήματα, 2 ελικόπτερα. Ανακριτικό Κλιμάκιο Κοζάνης για διερεύνηση αιτίας. Καμένη έκταση δεν εντοπίστηκε σε πηγές.</t>
  </si>
  <si>
    <t>Καλόρρεμα Μετσόβου</t>
  </si>
  <si>
    <t>Μετσόβου</t>
  </si>
  <si>
    <t>1 πεζοπόρο τμήμα</t>
  </si>
  <si>
    <t>https://www.firefightingreece.gr/2026/08/24/pyrkagia-se-dasiki-ektasi-sto-kalorrema-metsovou-epicheiroun-12-pyrosvestes-kai-1-elikoptero/ ; https://www.eleftherostypos.gr/ellada/fotia-tora-sto-kaloremma-metsovou-megali-kinitopoiisi-tis-pyrosvestikis</t>
  </si>
  <si>
    <t>Δασική πυρκαγιά. Τελική κατάσταση και έκταση δεν εντοπίστηκαν. | Δασική έκταση, δύσβατη ορεινή περιοχή. Κατηγορία κινδύνου 2 (ΜΕΣΗ) για Ιωάννινα 24/8.</t>
  </si>
  <si>
    <t>2026-08-25</t>
  </si>
  <si>
    <t>Αιανή Κοζάνης</t>
  </si>
  <si>
    <t>υπό διερεύνηση (εμπρησμός ερευνάται)</t>
  </si>
  <si>
    <t>https://www.skai.gr/news/greece/fotia-se-dasiki-ektasi-stin-kozani-sikothike-elikoptero ; https://www.protothema.gr/greece/article/1868513/purkagia-se-dasiki-ektasi-stin-aiani-stin-kozani-sto-simeio-kai-elikoptero/ ; https://www.documentonews.gr/article/fotia-tora-stin-kozani-sikothike-ena-elikoptero/ ; https://www.naftemporiki.gr/society/2152610/fotia-tora-se-dasiki-ektasi-stin-kozani/ ; https://tharos.gr/kozani/kozani-ypo-elegcho-i-pyrkagia-sti-dimotiki-enotita-aianis/ ; https://laosnews.gr/%CE%BA%CE%BF%CE%B6%CE%AC%CE%BD%CE%B7-%CF%87%CF%89%CF%81%CE%AF%CF%82-%CE%B5%CE%BD%CE%B5%CF%81%CE%B3%CF%8C-%CE%BC%CE%AD%CF%84%CF%89%CF%80%CE%BF-%CE%B7-%CF%80%CF%85%CF%81%CE%BA%CE%B1%CE%B3%CE%B9%CE%AC ; https://radar.gr/article/fotia-se-dasiki-ektasi-stin-aiani-kozanis-sto-simeio-kai-elikoptero</t>
  </si>
  <si>
    <t>Δασική έκταση στη δημοτική ενότητα Αιανής. Ελικόπτερο ρίψεις νερού μέχρι ηλιοβασίλεμα. Κινητοποίηση ανακριτικού κλιμακίου εμπρησμού Κοζάνης. Χάρτης ΓΓΠΠ 23/8 → Κοζάνη στο όριο μπλε/κίτρινης ζώνης, αποδίδεται επίπεδο 3 (ΥΨΗΛΗ) επιφυλακτικά. | Ανακριτικό Κλιμάκιο Αντιμετώπισης Εγκλημάτων Εμπρησμού Κοζάνης ερευνά τα αίτια | Εξέλιξη κατάστασης: σε εξέλιξη → υπό έλεγχο (tharos.gr) → χωρίς ενεργό μέτωπο (laosnews.gr) → οριοθετήθηκε. Ανακριτικό Κλιμάκιο Εμπρησμού παρέστη.</t>
  </si>
  <si>
    <t>Πεντάκορφο Αιτωλοακαρνανίας</t>
  </si>
  <si>
    <t>Αγρινίου</t>
  </si>
  <si>
    <t>υδροφόρες Δήμου Αγρινίου</t>
  </si>
  <si>
    <t>https://www.ertnews.gr/eidiseis/fotia-sto-pentakorfo-aitoloakarnanias-kaiei-dasiki-ektasi/ ; https://www.documentonews.gr/article/fotia-sto-pentakorfo-aitoloakarnanias-epicheiroun-2-aeroskafi/ ; https://www.ertnews.gr/eidiseis/fotia-sto-pentakorfo-aitoloakarnanias-enisxythikan-oi-enaeries-pyrosvestikes-dynameis/ ; https://www.parapolitika.gr/ellada/article/1780128/fotia-se-dasiki-ektasi-sto-pedakorfo-aitoloakarnanias-kinitopoiithikan-23-purosvestes-sikothikan-kai-duo-aeroskafi/ ; https://www.agriniosite.gr/fotia-se-dasiki-ektasi-sto-pentakorfo-sikothikan-2-aeroskafi/ ; https://www.libre.gr/2026/08/23/fotia-sto-pentakorfo-aitoloakarnani/</t>
  </si>
  <si>
    <t>Δασική έκταση. Αρχική επέμβαση: 23 πυρ/στες, 7 οχ., 2 αεροσκ. → ενίσχυση: 3 αεροσκ., 1 ελικ., 16 πυρ/στες, 4 οχ. Κινητοποίηση ανακριτικού κλιμακίου εμπρησμού Αιτ/νίας. Χάρτης ΓΓΠΠ 23/8 → Αιτ/νία επίπεδο 3 (ΥΨΗΛΗ). | Αρχικά 23 πυροσβέστες+2 αεροσκάφη· ενισχύθηκε με 16 επιπλέον πυροσβέστες, 3 αεροσκάφη και 1 ελικόπτερο | Δασική πυρκαγιά. Αρχικά 2 Α/Φ, αργότερα ενισχύθηκε σε 3 Α/Φ + 1 ελικόπτερο. Ανακριτικό κλιμάκιο Αιτωλοακαρνανίας για αίτια.</t>
  </si>
  <si>
    <t>Άγιος Νικόλαος Σμύνους Ανατολικής Μάνης</t>
  </si>
  <si>
    <t>Πελοποννήσου</t>
  </si>
  <si>
    <t>Λακωνίας</t>
  </si>
  <si>
    <t>Ανατολικής Μάνης</t>
  </si>
  <si>
    <t>2 ομάδες πεζοπόρων (9η ΕΜΟΔΕ)</t>
  </si>
  <si>
    <t>Πολιτική Προστασία Δήμων Σπάρτης &amp; Ανατολικής Μάνης· υδροφόρες</t>
  </si>
  <si>
    <t>https://www.cretalive.gr/ellada/pyrkagia-se-dasiki-ektasi-ston-agio-nikolao-lakonias ; https://www.notospress.gr/peloponnisos/story/131543/fotia-ston-agio-nikolao-lakonias-enisxythikan-oi-dynameis-epixeiroyn-7-enaeria ; https://www.documentonews.gr/article/fotia-ston-agio-nikolao-lakonias-enischythikan-oi-pyrosvestikes-dynameis/ ; https://www.skai.gr/news/greece/pyrkagia-se-dasiki-ektasi-ston-agio-nikolao-lakonias ; https://www.laconiatv.gr/index.php/life-styles/koinonia/item/22064-pyrkagia-ston-agio-nikolao-tou-dimou-anatolikis-manis-isxyri-kinitopoiisi-tis-pyrosvestikis ; https://www.ieidiseis.gr/ellada/851516/fotia-tora-ston-agio-nikolao-lakonias-megali-kinitopoiisi-me-7-enaeria/ ; https://www.protothema.gr/greece/article/1868457/fotia-se-dasiki-ektasi-ston-agio-nikolao-lakonias-sikothikan-4-enaeria/ ; https://www.ertnews.gr/perifereiakoi-stathmoi/tripoli/lakonia-pyrkagia-se-dasiki-ektasi-ston-agio-nikolao/ ; https://www.newsbeast.gr/greece/arthro/13309106/fotia-tora-se-dasiki-ektasi-ston-agio-nikolao-lakonias-epicheiroun-4-enaeria-mesa ; https://civilprotection.gov.gr/sites/default/files/2026-08/260823.jpg ; https://www.laconiatv.gr/index.php/life-styles/koinonia/item/22065-ypo-elegxo-i-fotia-ston-agio-nikolao-sminous-i-amesi-epemvasi-apetrepse-ta-xeirotera-fotografies</t>
  </si>
  <si>
    <t>Δεν απείλησε κατοικίες· υπό μερικό έλεγχο 24/8 | Ασύνεχείς εστίες/καπνίζοντα σημεία από 20:31. Δεν απειλούσε κατοικημένες περιοχές. Αρχικά 36 πυρ./10 οχ./2 εναέρια, ενισχύθηκε σε 52/17/7 εναέρια. | Η έγκαιρη επέμβαση απέτρεψε τα χειρότερα. Συμμετείχαν τοπική πολιτική προστασία και εθελοντικές ομάδες διάσωσης. Δυνάμεις: 52 πυροσβέστες, 2 ομάδες πεζοπόρων 9ης ΕΜΟΔΕ, 17 οχήματα, 6 αεροσκάφη, 1 ελικόπτερο.</t>
  </si>
  <si>
    <t>Πυρκαγιά Άγιος Νικόλαος Λακωνίας (Σμύνους)</t>
  </si>
  <si>
    <t>2 ομάδες πεζοπόρων 9ης ΕΜΟΔΕ</t>
  </si>
  <si>
    <t>https://www.skai.gr/news/greece/pyrkagia-se-dasiki-ektasi-ston-agio-nikolao-lakonias ; https://www.ertnews.gr/perifereiakoi-stathmoi/tripoli/lakonia-pyrkagia-se-dasiki-ektasi-ston-agio-nikolao/ ; https://www.protothema.gr/greece/article/1868457/fotia-se-dasiki-ektasi-ston-agio-nikolao-lakonias-sikothikan-4-enaeria/ ; https://www.notospress.gr/peloponnisos/story/131543/fotia-ston-agio-nikolao-lakonias-enisxythikan-oi-dynameis-epixeiroyn-7-enaeria ; https://www.newsbeast.gr/greece/arthro/13309106/fotia-tora-se-dasiki-ektasi-ston-agio-nikolao-lakonias-epicheiroun-4-enaeria-mesa ; https://www.cretalive.gr/ellada/pyrkagia-se-dasiki-ektasi-ston-agio-nikolao-lakonias ; https://civilprotection.gov.gr/sites/default/files/2026-08/260823.jpg ; https://www.laconiatv.gr/index.php/life-styles/koinonia/item/22065-ypo-elegxo-i-fotia-ston-agio-nikolao-sminous-i-amesi-epemvasi-apetrepse-ta-xeirotera-fotografies ; https://www.documentonews.gr/article/fotia-ston-agio-nikolao-lakonias-enischythikan-oi-pyrosvestikes-dynameis/</t>
  </si>
  <si>
    <t>Δεν απειλεί κατοικίες. Αρχική ανταπόκριση: 36 πυρ./2 α/φ/2 ελ./10 οχ. (ertnews)· ενισχύθηκε σε 52 πυρ./6 α/φ/1 ελ./17 οχ. (protothema). Κατάσταση βελτιωμένη σε λίγες ώρες. | Δασική έκταση. Δεν απειλούσε κατοικίες. Αρχικά 4 εναέρια → αυξήθηκαν σε 7 με ενισχύσεις. Υπό μερικό έλεγχο επίσης από ανακοίνωση Πυροσβεστικής (σύνολο 37 πυρκαγιών 24ώρου). Χάρτης ΓΓΠΠ 23/8 → Λακωνία επίπεδο 3 (ΥΨΗΛΗ).</t>
  </si>
  <si>
    <t>Γιαννωτά</t>
  </si>
  <si>
    <t>Ελασσόνας</t>
  </si>
  <si>
    <t>2</t>
  </si>
  <si>
    <t>υδροφόρα ΟΤΑ</t>
  </si>
  <si>
    <t>https://www.libre.gr/2026/08/23/fotia-stin-elassona/ ; https://www.libre.gr/2026/08/23/choris-energo-metopo-i-fotia-stin-elass/ ; https://www.enikos.gr/society/elassona-fotia-se-agrotiki-ektasi-sta-giannota-epicheiroun-4-enaeria/2632772/ ; https://www.naftemporiki.gr/society/2152568/fotia-tora-se-agrotiki-ektasi-sta-giannota-elassonas/ ; https://www.newsbomb.gr/ellada/story/1758348/fotia-ston-agio-nikolao-lakonias-veltiomeni-eikona-se-fthiotida-kai-elassona ; https://civilprotection.gov.gr/sites/default/files/2026-08/260823.jpg ; https://www.lamiareport.gr/topika/topikanea/item/pyrkagia-sta-giannota-larisas-sti-maxi-kai-enaeria-mesa/ ; https://www.emakedonia.gr/fotia-stin-periochi-giannota-larisas-sikothikan-3-aeroskafi-kai-1-elikoptero ; https://www.karditsalive.net/eidiseis/thessalia/larisa/%CF%80%CF%85%CF%81%CE%BA%CE%B1%CE%B3%CE%B9%CE%AC-%CF%83%CE%B5-%CE%B5%CE%BE%CE%AD%CE%BB%CE%B9%CE%BE%CE%B7-%CF%83%CF%84%CE%B7%CE%BD-%CF%80%CE%B5%CF%81%CE%B9%CE%BF%CF%87%CE%AE-%CE%B3%CE%B9%CE%B1%CE%BD%CE%BD%CF%89%CF%84%CE%AC-%CF%84%CE%BF%CF%85-%CE%B4%CE%AE%CE%BC%CE%BF%CF%85-%CE%B5%CE%BB%CE%B1%CF%83%CF%83%CF%8C%CE%BD%CE%B1%CF%82 ; https://kosmoslarissa.gr/protoselida/φωτιά-στα-γιαννωτά-ελασσόνας-μεγάλη-κι/ ; https://www.ifarsala.gr/2026/08/23/fotia-se-agrotiki-ektasi-sta-giannota-elassonas/ ; https://www.eleftherostypos.gr/ellada/fotia-tora-stin-elassona-sikothikan-tessera-enaeria-mesa ; https://messolonghivoice.gr/fotia-tora-sta-giannota-larisas-sikothikan-3-aeroskafi-kai-1-elikoptero-ischyri-kinitopoiisi-tis-pyrosvestikis ; https://agrinio24.gr/fotia-sta-giannota-larisas-epicheiroun-5-enaeria-mesa/</t>
  </si>
  <si>
    <t>Αγροτική έκταση. Αρχικά 4 εναέρια (3 αεροσκ. + 1 ελικ.). Χωρίς ενεργό μέτωπο αργότερα. Δεν απειλούσε οικισμούς. Χάρτης ΓΓΠΠ 23/8 → Λάρισα επίπεδο 3 (ΥΨΗΛΗ). | Περιορισμένα στοιχεία — αναφορά εντός ευρύτερου ρεπορτάζ για φωτιές της 23/8. Απαιτείται επαλήθευση. | χωρίς ενεργό μέτωπο σύμφωνα με libre.gr · καίει χαμηλή βλάστηση και χαμηλό πουρνάρι · Ανακριτικό Κλιμάκιο Λάρισας για αιτία | 3 πεζοπόρα τμήματα 10ης ΕΜΟΔΕ. Εθελοντές και τανκ Δήμου Ελασσόνας στην επιχείρηση. | Τέθηκε υπό μερικό έλεγχο αργά το απόγευμα της 23/08 (karditsalive.net). Εθελοντές συμμετείχαν στην κατάσβεση. Φωτιά μακριά από οικισμούς και υποδομές. | Η φωτιά έκαιγε χαμηλή βλάστηση και πουρνάρι· αρχικά υπό μερικό έλεγχο, στη συνέχεια χωρίς ενεργό μέτωπο. Ανακριτικό Κλιμάκιο Εμπρησμού Λάρισας παρέστη. Δήμος Ελασσόνας παρείχε υδροφόρες.</t>
  </si>
  <si>
    <t>Αιάντειο Σαλαμίνας</t>
  </si>
  <si>
    <t>αμέλεια – εργασίες ηλεκτροσυγκόλλησης</t>
  </si>
  <si>
    <t>https://www.documentonews.gr/article/fotia-sti-salamina-synelifthi-49chronos-pou-ektelouse-ergasies-ilektrosygkollisis/ ; https://www.newsit.gr/ellada/salamina-synelifthi-49xronos-gia-pyrkagia-apo-ameleia-sto-aianteio/4756426/ ; https://www.cnn.gr/ellada/story/549048/mia-syllipsi-gia-tin-pyrkagia-sti-salamina-proklithikan-spinthires-apo-ilektrokollisi ; https://www.topontiki.gr/2026/08/23/sinelifthi-49chronos-gia-proklisi-fotias-stin-salamina-kata-tin-ektelesi-ergasion-ilektrosigkollisis/ ; https://www.newsbomb.gr/ellada/story/1757275/salamina-22-ktiria-ypestisan-zimies-sto-aianteio-apo-ti-fotia-pente-xaraktiristikan-os-kokkina ; https://www.skai.gr/news/greece/salamina-22-ktiria-ypestisan-zimies-apo-tin-pyrkagia-427-aytopsies-se-pligeises-perioxes</t>
  </si>
  <si>
    <t>Χαμηλή βλάστηση ~100 τ.μ. Σύλληψη 49χρονου για εμπρησμό από αμέλεια· πρόστιμο €2.594,23· εισαγωγή στην Εισαγγελία 24/8. | 22 κτίρια υπέστησαν ζημιές: 7 πράσινα, 10 κίτρινα, 5 κόκκινα. Διοικητικό πρόστιμο 2.594,23 € στον 49χρονο συλληφθέντα.</t>
  </si>
  <si>
    <t>Ελάτεια Φθιώτιδας</t>
  </si>
  <si>
    <t>Φθιώτιδος</t>
  </si>
  <si>
    <t>Αμφίκλειας-Ελάτειας</t>
  </si>
  <si>
    <t>υδροφόρες Δήμου Αμφίκλειας-Ελάτειας</t>
  </si>
  <si>
    <t>112 13:45: ενημερωτικό μήνυμα ετοιμότητας κατοίκων ευρύτερης περιοχής Ελάτειας — «παραμείνετε σε ετοιμότητα και ακολουθείτε τις οδηγίες των Αρχών» | 112 ~13:45: ενημερωτικό μήνυμα ετοιμότητας | 112 13:45: ενημερωτικό μήνυμα ετοιμότητας σε κατοίκους ευρύτερης περιοχής πυρκαγιάς — «παρακαλείστε να βρίσκεστε σε ετοιμότητα και να ακολουθείτε τις οδηγίες των αρχών» | 112 13:45: προειδοποίηση ετοιμότητας κατοίκων Ελάτειας – «Παραμείνετε σε ετοιμότητα και ακολουθείτε τις οδηγίες των Αρχών»</t>
  </si>
  <si>
    <t>https://www.thepresident.gr/2026/08/23/pyrkagia-se-agrotodasiki-ektasi-stin-elateia-fthiotidas-enimerotiko/ ; https://www.ertnews.gr/eidiseis/fthiotida-pyrkagia-se-agrotodasiki-ektasi-stin-elateia-ixise-to-112/ ; https://www.tanea.gr/2026/08/23/greece/fotia-stin-elateia-fthiotidas-ixise-to-112-gia-etoimotita ; https://www.newsbeast.gr/greece/arthro/13308944/fotia-stin-elateia-fthiotidas-minyma-tou-112-stous-katoikous-sikothikan-enaeria-mesa ; https://www.naftemporiki.gr/society/2152547/fotia-tora-stin-elateia-tis-fthiotidas-minyma-apo-to-112/ ; https://www.skai.gr/news/greece/fthiotida-pyrkagia-se-agrotodasiki-ektasi-stin-elateia ; https://www.documentonews.gr/article/fthiotida-choris-energo-metopo-i-fotia-stin-elateia/ ; https://www.flash.gr/fthiotida-energopoiithike-to-112-gia-fotia-stin-elateia-1077838 ; https://www.enikos.gr/society/fotia-stin-elateia-fthiotidas-ichise-to-112/2632727/ ; https://www.zougla.gr/greece/pyrkagia-stin-elateia-fthiotidas-ichise-to-112/ ; https://civilprotection.gov.gr/sites/default/files/2026-08/260823.jpg ; https://www.cnn.gr/ellada/story/548998/fotia-stin-elateia-fthiotidas-minyma-apo-to-112-stous-katoikous ; https://www.newsbomb.gr/ellada/story/1758325/fotia-tora-stin-elateia-fthiotidas-ixise-to-112-gia-etoimotita ; https://www.athensvoice.gr/epikairotita/ellada/981637/fotia-tora-stin-elateia-fthiotidas-minuma-apo-to-112-stous-katoikous/ ; https://www.lamiareport.gr/topika/topikanea/item/pyrkagia-konta-se-katoikimeni-perioxi-stin-elateia-sikothikan-aeroplana-ixise-to-112/</t>
  </si>
  <si>
    <t>Αγροτοδασική έκταση με ελαιόδεντρα. Παρακολούθηση με drone (θερμική+οπτική κάμερα) ΕΣΚΕΔΙΚ. Κινητοποίηση ανακριτικού κλιμακίου εμπρησμού Φθιώτιδας. Χάρτης ΓΓΠΠ 23/8 → Φθιώτιδα επίπεδο 3 (ΥΨΗΛΗ). | Αγροτοδασική έκταση (ελαιώνες)· παρακολούθηση με drone/θερμική κάμερα (ΕΣΚΕΔΙΚ)· υπό μερικό έλεγχο 24/8 | Πυρκαγιά σε ελαιώνα/αγροτοδασική έκταση. Βελτιωμένη εικόνα από το απόγευμα. Ενεργοποιήθηκε ανακριτικό κλιμάκιο. Αρχικά 35 πυρ./11 οχ. (ERT)· ενισχύθηκαν 40/13 (ΣΚΑΪ 15:23). Εποπτεία με θερμικά/οπτικά drones ΕΣΚΕΔΙΚ. | Αγροτοδασική έκταση με ελαιόδεντρα. Επιτήρηση με drone (ΕΣΚΕΔΙΙΚ). Ανακριτικό κλιμάκιο για αίτια. Τελική κατάσταση δεν επιβεβαιώθηκε από δεύτερο άρθρο εντός παραθύρου.</t>
  </si>
  <si>
    <t>Μπαϊτάνι Περιβολίου Γρεβενών</t>
  </si>
  <si>
    <t>Δυτικής Μακεδονίας</t>
  </si>
  <si>
    <t>υδροφόρες Δήμου Γρεβενών</t>
  </si>
  <si>
    <t>https://www.newsbomb.gr/ellada/story/1758479/grevena-fotia-se-dasiki-ektasi-sti-thesi-baitani-epixeirei-kai-elikoptero ; https://www.documentonews.gr/article/fotia-tora-sta-grevena-se-dasiki-ektasi-sto-perivoli/ ; https://www.iefimerida.gr/ellada/fotia-sta-grebena-enishythikan-oi-dynameis ; https://www.tanea.gr/2026/08/24/greece/grevena-pyrkagia-se-dasiki-ektasi-sto-perivoli-syndramei-kai-ena-elikoptero</t>
  </si>
  <si>
    <t>Η πυρκαγιά συνέχιζε να επιχειρεί και την 24/8 (ίδια δύναμη)· Ανακριτικό Κλιμάκιο Κοζάνης ερευνά τα αίτια | Δυνάμεις ενισχύθηκαν: 40 πυροσβέστες, 3 ομάδες πεζοπόρων (5ης &amp; 8ης ΕΜΟΔΕ), 9 οχήματα, 2 ελικόπτερα. Δύσβατη/δυσπρόσιτη περιοχή. ΑΚ Εμπρησμού Κοζάνης κινητοποιήθηκε για διερεύνηση αιτίας. Δήμος Γρεβενών παρείχε υδροφόρα.</t>
  </si>
  <si>
    <t>23:00</t>
  </si>
  <si>
    <t>Πυρκαγιά Πρώτης Σερρών</t>
  </si>
  <si>
    <t>Αμφίπολης</t>
  </si>
  <si>
    <t>2 (2η ΕΜΟΔΕ)</t>
  </si>
  <si>
    <t>υδροφόρα Δήμου Αμφίπολης</t>
  </si>
  <si>
    <t>https://www.zougla.gr/greece/pyrkagia-se-dasiki-ektasi-stin-proti-serron/ ; https://www.newsit.gr/ellada/fotia-stin-proti-serron-megali-kinitopoiisi-tis-pyrosvestikis/4755918/ ; https://www.dnews.gr/eidhseis/ellada/605895/fotia-tora-stis-serres ; https://www.tovima.gr/2026/08/22/society/fotia-se-dasiki-ektasi-konta-sto-katafygio-tis-protis-serron ; https://www.flash.gr/megali-kinitopoiisi-tis-pyrosvestikis-gia-fotia-stin-proti-serron-1077806 ; https://www.naftemporiki.gr/society/2152434/fotia-tora-se-dasiki-ektasi-stin-proti-serron/ ; https://www.emakedonia.gr/se-kalyteri-poreia-i-pyrkagia-stis-serres-pithani-aitia-i-ptosi-keraynoy-822791 ; https://www.ertnews.gr/eidiseis/ellada/pyrkagia-stin-proti-serron-se-kalyteri-katastasi-to-metopo-pithani-aitia-o-keraynos/ ; https://www.skai.gr/news/greece/pyrkagia-se-dasiki-ektasi-stin-proti-serron ; https://www.cnn.gr/ellada/story/548984/xoris-energo-metopo-i-fotia-se-dasiki-ektasi-stin-proti-serron ; https://www.tanea.gr/2026/08/22/greece/pyrkagia-se-dasiki-ektasi-stin-proti-serron ; https://www.tanea.gr/2026/08/23/greece/serres-xoris-energo-metopo-i-fotia-se-dasiki-ektasi-stin-proti ; https://www.thestival.gr/eidiseis/astynomika/choris-energo-metopo-i-fotia-stin-proti/ ; https://www.iefimerida.gr/ellada/fotia-se-dasiki-ektasi-stin-proti-serron ; https://civilprotection.gov.gr/sites/default/files/2026-08/260822.jpg ; https://www.tanea.gr/2026/08/23/greece/pyrkagia-konta-sto-katafygio-tis-protis-serron-epixeiroun-xersaies-dynameis-tis-pyrosvestikis-kai-ena-elikoptero ; https://athina984.gr/2026/08/23/serres-se-exelixi-pyrkagia-se-dasiki-ektasi-stin-proti/ ; https://www.newsbomb.gr/ellada/story/1758273/fotia-stis-serres-kaiei-dasiki-ektasi-konta-sto-katafygio-tis-protis ; https://www.aftodioikisi.gr/koinonia/fotia-stin-proti-serron-megali-kinitopoiisi-tis-pyrosvestikis/ ; https://www.skai.gr/news/greece/fotia-stin-proti-serron-kalyteri-i-eikona-tou-metopou ; https://www.dikastiko.gr/eidhsh/pyrkagia-stin-proti-serron-se-kalyteri-katastasi-to-metopo-pithani-aitia-o-keraynos/ ; https://todaypress.gr/2026/08/23/synagermos-stis-serres-fotia-tora-sto-katafygio-tis-protis-sti-machi-60-pyrosvestes-kai-elikoptero/ ; https://www.enikos.gr/society/veltiomeni-einai-i-eikona-tis-pyrkagias-pou-ekdilothike-se-dasiki-ektasi-konta-sto-katafygio-tis-protis-serron/2632679/ ; https://www.tanea.gr/2026/08/26/greece/pyrkagies-sto-paggaio-kavalas-kai-tin-proti-serron ; https://www.newsbomb.gr/ellada/story/1759117/fotia-tora-se-dasiki-ektasi-stin-proti-serron ; https://www.documentonews.gr/article/fotia-tora-stin-proti-serron-megali-kinitopoiisi-tis-pyrosvestikis/</t>
  </si>
  <si>
    <t>Κοντά σε ορεινό καταφύγιο· Ανακριτικό Κλιμάκιο Αντιμετώπισης Εγκλημάτων Εμπρησμού Σερρών κινητοποιήθηκε για διερεύνηση αιτίων | Δυσπρόσιτη περιοχή Κάλα–Κόμη, όριο Βισαλτίας–Αμφίπολης. Δυνάμεις ανέβηκαν από 24→60. Βελτιωμένη εικόνα 23/8 07:57. Ενεργή παρακολούθηση λόγω αναμενόμενης ανεμοβροχής. | Δασική έκταση κοντά στο ορεινό καταφύγιο Πρώτης. Δυσπρόσιτο έδαφος. Αίτιο ερευνά Ανακριτικό Κλιμάκιο Εμπρησμών Σερρών. | Κοντά στο καταφύγιο Πρώτης Σερρών. Χωρίς ενεργό μέτωπο ανακοινώθηκε το πρωί 23/8. Χάρτης ΓΓΠΠ 22/8 → Σέρρες επίπεδο 2 (ΜΕΣΗ). | Ξεκίνησε αργά το βράδυ 22/8· χωρίς ενεργό μέτωπο από πρωί 23/8· καπνογόνα σε δύσβατη/δυσπρόσιτη περιοχή | Εκκίνηση 22/8 22:45· χωρίς ενεργό μέτωπο 23/8 πρωί· δυσπρόσιτη ορεινή περιοχή. Αρχικά: 24 πυρ., 2 ομ. 2ης ΕΜΟΔΕ, 6 οχ. Ενισχύθηκαν 23/8 σε 60 πυρ., 9 οχ., 1 ελικ. | Δασική κοντά στο καταφύγιο Πρώτης. Αρχικά 24 πυροσβέστες+2 ομάδες+6 οχήματα· ενίσχυση σε 60+6 ομάδες+9 οχήματα. Ελικόπτερο από πρωινές ώρες 23/8. Χωρίς ενεργό μέτωπο. | ΝΕΟ περιστατικό — δεν συμπεριλαμβανόταν στη λίστα batch. Πυρκαγιά σε δασική έκταση· χωρίς ενεργό μέτωπο από 23/08. Αναφέρεται ξανά 26/08 (πιθανή παρακολούθηση ή αναζωπύρωση). | Κοντά στο καταφύγιο Πρώτης Σερρών. Εξετάζεται ενδεχόμενο πτώσης κεραυνού. Ανακριτικό Κλιμάκιο Σερρών ενεργό.</t>
  </si>
  <si>
    <t>Πρώτη – Παγγαίο Όρος</t>
  </si>
  <si>
    <t>Εμμανουήλ Παππά</t>
  </si>
  <si>
    <t>2 πεζοπόρα τμήματα (2η ΕΜΟΔΕ)</t>
  </si>
  <si>
    <t>υδροφόρες Δήμου Αμφίπολης</t>
  </si>
  <si>
    <t>κεραυνός (αρχική εκτίμηση, υπό επίσημη διερεύνηση)</t>
  </si>
  <si>
    <t>https://www.newsit.gr/ellada/fotia-stin-proti-serron-megali-kinitopoiisi-tis-pyrosvestikis/4755918/ ; https://www.thestival.gr/eidiseis/astynomika/choris-energo-metopo-i-fotia-stin-proti/ ; https://kavalanews.gr/61522-serres-horis-energo-metopo-i-dasiki-pyrkagia-paggaio-oros.html ; https://www.skai.gr/news/greece/pyrkagia-se-dasiki-ektasi-stin-proti-serron ; https://www.serrespress247.gr/2026/08/aggaio-xoris-energo-metopo-i-fotia-meta-tin-olonyxtia-maxi-paramenei-sto-simeio-i-pyrosvestiki.html ; https://www.serrespress247.gr/2026/08/dyskoli-nyxta-sto-paggaio-neoteri-enimerosi-apo-ton-proedro-tis-protis-serron-gia-ti-fotia-se-epifylaki-oi-koinotites.html</t>
  </si>
  <si>
    <t>Δασική πυρκαγιά κοντά στο καταφύγιο Πρώτης, Παγγαίο Όρος. Χωρίς ενεργό μέτωπο – καπνίζοντα σημεία σε δυσπρόσιτη έκταση. Ανακριτικό κλιμάκιο για αίτια. | Εκδηλώθηκε ~23:00 (22/08) κοντά σε καταφύγιο Παγγαίου σε δύσβατο/υψηλό υψόμετρο. Ολονύχτια μάχη· μετά την ανατολή αεροπυρόσβεση. Χωρίς ενεργό μέτωπο από 23/08. Δεν απειλήθηκαν κατοικημένες περιοχές.</t>
  </si>
  <si>
    <t>Πυρκαγιά Λευκόγια Δράμας</t>
  </si>
  <si>
    <t>Νευροκόπι</t>
  </si>
  <si>
    <t>2 ομάδες πεζοπόρων 21ης ΕΜΟΔΕ</t>
  </si>
  <si>
    <t>Πιθανώς κεραυνός (κεραυνική δραστηριότητα την προηγούμενη ημέρα)</t>
  </si>
  <si>
    <t>https://www.newsbeast.gr/greece/arthro/13308170/fotia-tora-se-dasiki-ektasi-sta-lefkogia-dramas-epicheirei-ena-elikoptero ; https://www.dnews.gr/eidhseis/ellada/605851/fotia-tora-stin-lefkogia-dramas ; https://www.cnn.gr/ellada/story/548930/synagermos-gia-pyrkagia-se-dasiki-ektasi-sta-lefkogia-dramas-epixeirei-kai-ena-elikoptero ; https://www.documentonews.gr/article/oriothetithike-i-fotia-sta-lefkogia-dramas/ ; https://www.iefimerida.gr/ellada/fotia-dasiki-ektasi-leykogia-dramas ; https://radar.gr/article/oriothetithike-i-fotia-se-dasiki-ektasi-sta-lefkogia-dramas ; https://www.tovima.gr/2026/08/22/society/thessaloniki-enisxythikan-oi-dynameis-stin-pyrkagia-sta-leykogia-dramas ; https://civilprotection.gov.gr/sites/default/files/2026-08/260822.jpg ; https://www.tanea.gr/2026/08/22/greece/fotia-tora-sta-leykogia-dramas-sto-simeio-17-pyrosvestes-kai-4-oximata/ ; https://www.enikos.gr/society/drama-pyrkagia-se-dasiki-ektasi-sta-lefkogia-epicheiroun-epigeies-kai-enaeries-dynameis/2632424/ ; https://www.enikos.gr/society/drama-oriothetithike-i-fotia-se-dasiki-ektasi-sta-lefkogia/2632443/ ; https://www.dimokratia.gr/ellada/735932/drama-oriothetithike-i-pyrkagia-se-dasiki-ektasi-sta-leykogia/ ; https://www.libre.gr/2026/08/22/fotia-sta-lefkogia-dramas-sikothike-ka/ ; https://kavalanews.gr/61514-tethike-ypo-meriko-elegho-i-dasiki-pyrkagia-sta-leykogeia-dramas.html ; https://www.xronometro.com/oriothetithike-i-pyrkagia-se-dasiki-ektasi-sta-lefkogia-dramas/ ; https://www.skai.gr/news/greece/fotia-sta-leykogia-dramas ; https://www.rthess.gr/ellada/pyrkagia-tora-sti-drama-kaigetai-dasos-sta-lefkogeia/ ; https://www.emakedonia.gr/drama-pyrkagia-sta-leykogia-neyrokopioy-822762 ; https://www.emakedonia.gr/drama-enischythikan-oi-dynameis-tis-pyrkagias-sta-leykogia-822765 ; https://www.pontosnews.gr/858745/ellada/drama-pyrkagia-se-dasiki-ektasi-sta-leykogia/</t>
  </si>
  <si>
    <t>Κεραυνική δραστηριότητα εξετάζεται ως αιτία. Σε εξέλιξη κατά τη συλλογή δεδομένων. | Ανακοίνωση Επιχειρησιακού Κέντρου Πυροσβεστικής περί 16:30· αναφορά ενίσχυσης δυνάμεων (Τbιμα) | Βροχόπτωση και κεραυνοί προηγήθηκαν. Ενισχύθηκαν οι δυνάμεις κατά τη διάρκεια επιχείρησης. | Δασική έκταση. Προηγήθηκε βροχόπτωση και κεραυνική δραστηριότητα. Χάρτης ΓΓΠΠ 22/8 → Δράμα επίπεδο 2 (ΜΕΣΗ). | Αρχικές δυνάμεις 28 πυροσβέστες· δυνάμεις ενισχύθηκαν αργότερα (tovima.gr). Δύσβατη περιοχή. | 2 πεζοπόρα τμήματα: 2η ΕΜΟΔΕ και 21η ΕΜΟΔΕ. Αιτία: κεραυνική δραστηριότητα υπό διερεύνηση από Πυροσβεστική. | Αρχικές δυνάμεις 17 πυροσβέστες+4 οχήματα, ενισχύθηκαν σε 28 πυροσβέστες+7 οχήματα+1 ελικόπτερο (dimokratia.gr). Εξέλιξη: υπό μερικό έλεγχο (kavalanews.gr) → οριοθετήθηκε.</t>
  </si>
  <si>
    <t>Πυρκαγιά Λευκόγια Νευροκοπίου</t>
  </si>
  <si>
    <t>Ανατολικής Μακεδονίας και Θράκης</t>
  </si>
  <si>
    <t>2 ομάδες πεζοπορίας (2η, 21η ΕΜΟΔΕ)</t>
  </si>
  <si>
    <t>πτώση κεραυνού (υπό διερεύνηση)</t>
  </si>
  <si>
    <t>https://www.dimokratia.gr/ellada/735932/drama-oriothetithike-i-pyrkagia-se-dasiki-ektasi-sta-leykogia/ ; https://www.tanea.gr/2026/08/22/greece/fotia-tora-sta-leykogia-dramas-sto-simeio-17-pyrosvestes-kai-4-oximata/ ; https://www.newsbeast.gr/greece/arthro/13308170/fotia-tora-se-dasiki-ektasi-sta-lefkogia-dramas-epicheirei-ena-elikoptero ; https://www.dnews.gr/eidhseis/ellada/605851/fotia-tora-stin-lefkogia-dramas ; https://www.documentonews.gr/article/oriothetithike-i-fotia-sta-lefkogia-dramas/ ; https://www.enikos.gr/society/drama-pyrkagia-se-dasiki-ektasi-sta-lefkogia-epicheiroun-epigeies-kai-enaeries-dynameis/2632424/ ; https://www.enikos.gr/society/drama-oriothetithike-i-fotia-se-dasiki-ektasi-sta-lefkogia/2632443/ ; https://www.xronometro.com/oriothetithike-i-pyrkagia-se-dasiki-ektasi-sta-lefkogia-dramas/ ; https://www.skai.gr/news/greece/fotia-sta-leykogia-dramas ; https://www.pontosnews.gr/858745/ellada/drama-pyrkagia-se-dasiki-ektasi-sta-leykogia/</t>
  </si>
  <si>
    <t>Δασική έκταση. Ηλεκτρικές εκκενώσεις και βροχόπτωση πριν την έναρξη. | Δασική έκταση. Πτώση κεραυνών στην περιοχή. Ενίσχυση σε 28 πυροσβέστες, 2 ομάδες, 7 οχήματα. Αισθητή βελτίωση → οριοθέτηση. | 2 πεζοπόρα τμήματα: 2η ΕΜΟΔΕ και 21η ΕΜΟΔΕ. Αιτία: κεραυνική δραστηριότητα υπό διερεύνηση από Πυροσβεστική. | Πιθανόν ίδιο περιστατικό με «Πυρκαγιά Λευκόγια Δράμας» — ταυτόσημη ώρα έναρξης, δυνάμεις, δήμος. Ενδείκνυται συγχώνευση εγγραφών. | Πιθανή διπλοεγγραφή με 'Πυρκαγιά Λευκόγια Δράμας' — ίδια ημερομηνία, ώρα έναρξης (16:30), δυνάμεις (28 πυρ./7 οχ./1 ελικ.) και τοποθεσία. Συνιστάται συγχώνευση.</t>
  </si>
  <si>
    <t>15:05</t>
  </si>
  <si>
    <t>Πυρκαγιά Πύλης Τρικάλων</t>
  </si>
  <si>
    <t>Θεσσαλίας</t>
  </si>
  <si>
    <t>Πύλη</t>
  </si>
  <si>
    <t>1 ομάδα πεζοπόρου 10ης ΕΜΟΔΕ</t>
  </si>
  <si>
    <t>Υδροφόρα Δήμου Τρικάλων</t>
  </si>
  <si>
    <t>εμπρησμός εκ προθέσεως (46χρονος συνελήφθη)</t>
  </si>
  <si>
    <t>https://www.dnews.gr/eidhseis/ellada/605834/fotia-stin-pyli-trikalon ; https://www.enikos.gr/society/fotia-stin-pyli-trikalon-kaiei-chamili-vlastisi/2632371/ ; https://www.ertnews.gr/eidiseis/dyo-syllipseis-gia-foties-46xronos-gia-emprismo-apo-prothesi-sta-trikala-kai-47xronos-gia-pyrkagia-apo-ameleia-stin-karysto/ ; https://www.thestival.gr/eidiseis/astynomika/ypo-meriko-elegcho-i-pyrkagia-ston-dimo/</t>
  </si>
  <si>
    <t>Χαμηλή βλάστηση, Δημ. Ενότητα Πιαλείων. Σύλληψη 46χρονου για εμπρησμό εκ προθέσεως στα Τρίκαλα (από ertnews — ταυτοποίηση με το συγκεκριμένο συμβάν εκκρεμεί).</t>
  </si>
  <si>
    <t>Πυρκαγιά Μεσοχωρίου Μεσσηνίας</t>
  </si>
  <si>
    <t>Πύλου-Νέστορος</t>
  </si>
  <si>
    <t>2 ομάδες πεζοπορίας (9η ΕΜΟΔΕ)</t>
  </si>
  <si>
    <t>υδροφόρες Δήμου Πύλου</t>
  </si>
  <si>
    <t>υπό διερεύνηση (Ανακριτικό Κλιμάκιο Εμπρησμού Μεσσηνίας)</t>
  </si>
  <si>
    <t>21/8 15:38 προειδοποίηση: «Παραμείνετε σε ετοιμότητα και ακολουθείτε αυστηρά τις οδηγίες των Αρχών» | 112 15:38 ετοιμότητα ευρύτερης περιοχής Μεσοχωρίου Μεσσηνίας | 112 ετοιμότητα (ώρα άγνωστη) | 112 ~15:38 (21/8): μήνυμα ετοιμότητας στη ευρύτερη περιοχή Μεσοχωρίου Μεσσηνίας | 112 15:38: ενημερωτικό μήνυμα ετοιμότητας ευρύτερης περιοχής</t>
  </si>
  <si>
    <t>https://www.naftemporiki.gr/society/2152117/fotia-tora-sto-mesochori-messinias/ ; https://messolonghivoice.gr/fotia-sto-mesochori-messinias-minyma-112-gia-etoimotita-epicheirisi-me-5-enaeria-kai-48-pyrosvestes ; https://www.tanea.gr/2026/08/21/greece/messinia-fotia-se-agrotodasiki-ektasi-sto-mesoxori-minyma-apo-112-gia-etoimotita ; https://www.libre.gr/2026/08/21/fotia-sto-mesochori-messinias-112-gia-eto/ ; https://www.ereportaz.gr/pente-pyrina-metopa-se-exelixi-estali-112-gia-ekkenoseis-kai-etoimotita-se-limno-aitoloakarnania-kai-messinia/ ; https://www.antenna.gr/Society/article/4/1004540/enisxythikan-oi-dynameis-sti-fotia-poy-ekdilothike-sto-mesoxori-messinias-ixise-to-112 ; https://www.news247.gr/ellada/fotia-sto-mesoxori-messinias-ixise-to-112/ ; https://www.enikos.gr/society/messinia-fotia-se-agrotodasiki-ektasi-sto-mesochori-minyma-apo-112-gia-etoimotita/2631994/ ; https://debater.gr/ellada/pyrkagia-sto-mesochori-messinias-epicheiroyn-pente-enaeria-mesa/ ; https://www.gargalianoionline.gr/mesochori-messinias-megali-fotia-se-agrotodasiki-ektasi-ichise-to-112/ ; https://www.messinialive.gr/ypo-meriko-elegcho-fotia-sto-mesochori-pylou-ekapse-30-stremmata-sti-machi-48-pyrosvestes-kai-5-enaeria ; https://www.ertnews.gr/perifereiakoi-stathmoi/kalamata/fotia-sto-mesoxori-messinias-megali-kinitopoiisi-logo-ton-isxyron-anemon/ ; https://www.dnews.gr/eidhseis/ellada/605697/fotia-tora-se-messinia-drama-aitoloakarnania-limno-minymata-apo-to-112 ; https://civilprotection.gov.gr/sites/default/files/2026-08/260821.jpg ; https://www.newsit.gr/ellada/fotia-sto-mesoxori-messinias-epixeiroun-4-aeroskafi-kai-1-elikoptero/4755121/ ; https://www.documentonews.gr/article/fotia-sto-mesochori-messinias-epicheiroun-4-aeroskafi-kai-1-elikoptero/</t>
  </si>
  <si>
    <t>Αγροτοδασική έκταση. Ισχυροί άνεμοι δυσχεραίνουν την επιχείρηση. | Ισχυροί άνεμοι δυσχέραναν κατάσβεση · τελικά χωρίς ενεργό μέτωπο. Αγροτοδασική έκταση. | 30 στρ. (20 δάσος + 10 αγροτικό) | Αγροτοδασική έκταση, ισχυροί άνεμοι. 5 συνολικά εναέρια (4 αεροσκάφη + 1 ελικόπτερο). | Μεγάλη κινητοποίηση λόγω ισχυρών ανέμων</t>
  </si>
  <si>
    <t>2026-08-24</t>
  </si>
  <si>
    <t>Πυρκαγιά Γενεσίου Τρικάλων</t>
  </si>
  <si>
    <t>Τρικκαίων</t>
  </si>
  <si>
    <t>2 (10η ΕΜΟΔΕ)</t>
  </si>
  <si>
    <t>μηχανήματα έργου και υδροφόρες Δήμου Τρικκαίων</t>
  </si>
  <si>
    <t>https://www.naftemporiki.gr/society/2152121/fotia-tora-sto-genesi-trikalon/ ; https://www.thestival.gr/eidiseis/astynomika/oriothetimeni-i-fotia-sto-genesi-trika/ ; https://kosmoslarissa.gr/ellada/φωτιά-στα-τρίκαλα-στο-γενέσι-επιχειρο/ ; https://agrinio24.gr/fotia-sta-trikala-sto-genesi-epicheiroun-2-aeroskafi/ ; https://www.dnews.gr/eidhseis/ellada/605697/fotia-tora-se-messinia-drama-aitoloakarnania-limno-minymata-apo-to-112 ; https://www.foties.gr/foties-nea-live ; https://civilprotection.gov.gr/sites/default/files/2026-08/260821.jpg ; https://www.emakedonia.gr/trikala-pyrkagia-se-agrotodasiki-ektasi-sto-genesi ; https://www.vradini.gr/ellada/trikala-fotia-sto-genesi-sikothikan-dyo-aeroskafi-vinteo/1644528/ ; https://www.kalimera-ellada.gr/fotia-xespase-sto-genesi-trikalon-ischyres-dynameis-pyrosvestikis-kai-dimou-se-drasi/ ; https://www.pineiosnews.gr/2026/08/21/pyrkagia-sta-trikala-stin-periochi-genesi-epicheiroun-kai-enaeria-mesa/</t>
  </si>
  <si>
    <t>Αγροτοδασική πυρκαγιά. | Αγροτοδασική έκταση. Συνδρομή Δήμου Τρικκαίων (μηχανήματα + υδροφόρες). Καμένη έκταση, ώρα ελέγχου και αιτία δεν εντοπίστηκαν σε πηγές.</t>
  </si>
  <si>
    <t>Θάνος Λήμνου</t>
  </si>
  <si>
    <t>Δήμος Λήμνου</t>
  </si>
  <si>
    <t>υδροφόρες Δήμου Λήμνου</t>
  </si>
  <si>
    <t>πιθανώς ΧΥΤΑ (χώρος υγειονομικής ταφής απορριμμάτων)</t>
  </si>
  <si>
    <t>21/8 15:23 ετοιμότητα ευρύτερης περιοχής πυρκαγιάς· 16:00 εκκένωση Αγίας Παρασκευής και Προφήτη Ηλία προς Μύρινα | 15:54 εκκένωση Αγίας Παρασκευής και Προφήτη Ηλία προς Μύρινα (ertnews: ~16:00) | 112 εκκένωση Αγίας Παρασκευής + Προφήτη Ηλία προς Μύρινα | 112 ~16:00: εκκένωση Αγίας Παρασκευής και Προφήτη Ηλία προς Μύρινα· απεγκλωβισμός 59 κατοίκων/λουόμενων δια θαλάσσης (Λιμενικό + ιδιωτικά σκάφη)</t>
  </si>
  <si>
    <t>https://www.newsit.gr/ellada/fotia-sti-limno-stin-perioxi-thanos-ixise-to-112-ekkenonontai-agia-paraskeyi-kai-profitis-ilias/4755093/ ; https://www.thetoc.gr/koinwnia/article/fotia-tora-stin-perioxi-thanos-tis-limnou/ ; https://www.koutipandoras.gr/article/fotia-sti-limno-112-gia-ekkenosi-ton-periochon-agia-paraskevi-kai-profiti-ilia/ ; https://www.libre.gr/2026/08/21/fotia-stin-limno-ekkenonontai-agia-pa/ ; https://www.skai.gr/news/greece/fotia-sti-limno-epi-podos-i-pyrosvestiki ; https://www.tanea.gr/2026/08/21/greece/fotia-sti-limno-pyrkagia-se-xamili-vlastisi-stin-perioxi-thanos ; https://www.protothema.gr/greece/article/1867707/fotia-tora-stin-periohi-thanos-tis-limnou/ ; https://www.ertnews.gr/perifereiakoi-stathmoi/voreio_aigaio/fotia-stin-perioxi-thanos-limnou-polites-apegklovistikan-apo-tin-paralia-enisxyontai-me-enaeria-mesa-oi-dynameis-pyrosvesis/ ; https://www.newsit.gr/ellada/fotia-sti-limno-i-stigmi-tis-apomakrynsis-59-anthropon-apo-tin-paralia-thanos-meso-thalassis/4755181/ ; https://www.emakedonia.gr/limnos-meghali-fotia-stin-periochi-thanos-112-ghia-ekkenosi-dio-periochon-59-atoma-apomakrynthikan-dia-thalassis ; https://www.liberal.gr/ellada/fotia-stin-periohi-thanos-tis-limnoy ; https://www.news247.gr/ellada/fotia-sti-limno-minima-apo-to-112/ ; https://www.in.gr/2026/08/21/greece/limnos-fotia-ksespase-stin-perioxi-thanos-kaiei-xamili-vlastisi/ ; https://www.lesvosnews.net/articles/news-categories/limnos/fotia-sti-limno-thriler-stin-paralia-thanos-59-anthropoi ; https://news-24.gr/limnos-500-kai-pleon-stremmata-feretai-ekapse-fotia-sto-thanos-ginetai-simera/ ; https://www.lifo.gr/now/greece/fotia-sti-limno-apegklobismoi-dia-thalassis-stin-paralia-thanos-minyma-toy-112-gia</t>
  </si>
  <si>
    <t>59 άτομα απεγκλωβίστηκαν δια θαλάσσης από παραλία Θάνος. Πυρκαγιά ξεκίνησε σε χαμηλή βλάστηση/ΧΥΤΑ, εξαπλώθηκε. Κλιμάκιο ΠΣ-Λέσβου κινητοποιήθηκε για έρευνα εμπρησμού. | 59 πολίτες απεγκλωβίστηκαν δια θαλάσσης από παραλία Θάνος (Λιμενικό + αλιευτικά + 5 ιδιωτικά σκάφη) στο λιμάνι Μύρινας. Δήμαρχος Ελεονόρα Γεώργα ζήτησε ενίσχυση εναερίων (3 Air Tractor από Αλεξανδρούπολη). Χωρίς ενεργό μέτωπο μετά την κατάσβεση. | 59 άτομα εκκενώθηκαν δια θαλάσσης (1 ΛΣ πλοίο + 1 ναυαγοσωστικό + 1 αλιευτικό + 5 ιδιωτικά σκάφη) · πλήρης έλεγχος ~18:00. Φωτιά σε χαμηλή βλάστηση περιοχής Θάνος. | Καμένη έκταση 500+ στρέμματα (~50 ha, εκτίμηση). 59 κάτοικοι απεγκλωβίστηκαν διά θαλάσσης από παραλία Θάνου (Λιμενικό, αλιευτικά, ιδιωτικά σκάφη). Εκκενώθηκαν Αγία Παρασκευή και Προφήτης Ηλίας προς Μύρινα. Πυρκαγιά εκκίνησε από χωματερή ΧΥΤΑ και επεκτάθηκε σε χορτολιβαδική έκταση. | 59 κάτοικοι απεγκλωβίστηκαν δια θαλάσσης· 1 πυροσβέστης τραυματίστηκε (πτώση σε πηγάδι)· 3 επιπλέον Air Tractors από Αλεξανδρούπολη</t>
  </si>
  <si>
    <t>Κατάφυτο Νευροκοπίου</t>
  </si>
  <si>
    <t>Δήμος Νευροκοπίου</t>
  </si>
  <si>
    <t>3 ομάδες ΕΜΟΔΕ</t>
  </si>
  <si>
    <t>υδροφόρες Δήμου Νευροκοπίου</t>
  </si>
  <si>
    <t>https://www.kontranews.gr/koinonia/fotia-stin-drama-stin-periochi-katafyto-epicheiroun-4-enaeria-mesa/ ; https://www.enikos.gr/society/drama-fotia-se-dasiki-ektasi-sto-katafyto-ano-nevrokopioy-ischyres-dynameis-tis-pyrosvestikis-sto-simeio/2631989/ ; https://www.tanea.gr/2026/08/21/greece/drama-fotia-se-dasiki-ektasi-sto-katafyto-ano-neyrokopiou ; https://www.libre.gr/2026/08/21/drama-fotia-sto-katafyto-nevrokopiou/ ; https://www.vradini.gr/ellada/drama-fotia-se-dasos-sto-katafyto-neyrokopioy-epixeiroyn-tessera-enaeria/1644351/ ; https://www.enikos.gr/society/drama-fotia-se-dasiki-ektasi-sto-katafyto-ano-nevrokopiou-ischyres-dynameis-tis-pyrosvestikis-sto-simeio/2631989/ ; https://www.cnn.gr/ellada/story/548863/ypo-meriko-elegxo-i-fotia-sto-nevrokopi-dramas-esvise-kai-sto-paranesti ; https://www.newsbeast.gr/greece/arthro/13306712/fotia-se-dasos-sto-nevrokopi-tis-dramas-epicheiroun-tessera-enaeria ; https://www.iefimerida.gr/ellada/fotia-katafyto-neyrokopioy-tessera-enaeria-mesa ; https://www.ertnews.gr/roi-idiseon/drama-pyrkagia-se-dasiki-ektasi-sto-katafyto-neyrokopiou-stin-katasvesi-kai-enaeria/ ; https://www.vradini.gr/ellada/drama-fotia-se-dasiki-ektasi-sto-katafyto-neyrokopioy-epixeiroyn-tessera-enaeria/1644351/ ; https://www.ertnews.gr/roi-idiseon/ypo-meriko-elegxo-tethike-i-fotia-sto-katafyto-dramas-katasvestike-stin-adriani/</t>
  </si>
  <si>
    <t>Δύσβατο δασικό σημείο — πρόσβαση μόνο από πεζοπόρα και εναέρια. Ανακριτικό Κλιμάκιο Εμπρησμών Καβάλας ερευνά αιτίες. Τελευταία ενημέρωση 18:54 21/8: σε επιχείρηση χωρίς επιβεβαίωση οριοθέτησης. | Απόκρημνη, δυσπρόσιτη δασική έκταση· Ανακριτικό Κλιμάκιο Εμπρησμών Καβάλας κινητοποιήθηκε· παράλληλα κατασβέστηκε μικρή φωτιά (αγροτοδασική) στην Αδριανή Παρανεστίου από 6 πυροσβέστες / 3 οχήματα | Ταυτόχρονες εστίες: Αδριανή (κατασβέστηκε) και Παρανέστι (κατασβέστηκε). ΔΑΚ Καβάλας ερευνά τα αίτια.</t>
  </si>
  <si>
    <t>2026-08-23</t>
  </si>
  <si>
    <t>18:40</t>
  </si>
  <si>
    <t>Πυρκαγιά Θάνος Λήμνου</t>
  </si>
  <si>
    <t>Λήμνου</t>
  </si>
  <si>
    <t>2 ομάδες πεζοπόρων 7ης ΕΜΟΔΕ</t>
  </si>
  <si>
    <t>Εκκίνηση από χωματερή Θάνου, εξάπλωση σε χαμηλή βλάστηση</t>
  </si>
  <si>
    <t>16:00 εκκένωση Αγία Παρασκευή και Προφήτης Ηλίας προς Μύρινα· απεγκλωβισμός 59 ατόμων δια θαλάσσης από παραλία Θάνος</t>
  </si>
  <si>
    <t>https://www.emakedonia.gr/limnos-meghali-fotia-stin-periochi-thanos-112-ghia-ekkenosi-dio-periochon-59-atoma-apomakrynthikan-dia-thalassis ; https://www.emakedonia.gr/limnos-choris-energho-metopo-i-fotia-stin-periochi-thanos ; https://www.newsit.gr/ellada/fotia-sti-limno-stin-perioxi-thanos-ixise-to-112-ekkenonontai-agia-paraskeyi-kai-profitis-ilias/4755093/ ; https://www.skai.gr/news/greece/fotia-sti-limno-epi-podos-i-pyrosvestiki ; https://www.dnews.gr/eidhseis/ellada/605697/fotia-tora-se-messinia-drama-aitoloakarnania-limno-minymata-apo-to-112 ; https://www.liberal.gr/ellada/fotia-stin-periohi-thanos-tis-limnoy ; https://www.limnosreport.gr/featured/249079/limnos-se-exelixi-i-pyrkagia-sti-chomateri-tou-thanous-spevdoun-tria-air-tractor-sti-limno/ ; https://www.thetoc.gr/koinwnia/article/fotia-tora-stin-perioxi-thanos-tis-limnou/ ; https://civilprotection.gov.gr/sites/default/files/2026-08/260821.jpg</t>
  </si>
  <si>
    <t>59 πολίτες απεγκλωβίστηκαν δια θαλάσσης από παραλία Θάνος με πλωτά μέσα. Πυρκαγιά ξεκίνησε από χωματερή Θάνου και εξαπλώθηκε σε αγρανάπαυση.</t>
  </si>
  <si>
    <t>Πυρκαγιά Θάνου Λήμνου</t>
  </si>
  <si>
    <t>1 ομάδα πεζοπορίας</t>
  </si>
  <si>
    <t>υδροφόρες Δήμου Λήμνου, Λιμενικό Σώμα, ιδιωτικά σκάφη</t>
  </si>
  <si>
    <t>υπό διερεύνηση (εκτιμάται εμπρησμός)</t>
  </si>
  <si>
    <t>21/8 ~15:30 πρώτο μήνυμα ετοιμότητας: «Να είστε έτοιμοι για ενδεχόμενη απομάκρυνση»· 21/8 15:54 δεύτερο μήνυμα: εκκένωση Αγίας Παρασκευής και Προφήτη Ηλία προς Μύρινα</t>
  </si>
  <si>
    <t>https://www.libre.gr/2026/08/21/fotia-stin-limno-ekkenonontai-agia-pa/ ; https://www.thetoc.gr/koinwnia/article/fotia-tora-stin-perioxi-thanos-tis-limnou/ ; https://www.newsit.gr/ellada/fotia-sti-limno-stin-perioxi-thanos-ixise-to-112-ekkenonontai-agia-paraskeyi-kai-profitis-ilias/4755093/ ; https://www.zougla.gr/greece/pyrkagia-sti-limno-ichise-to-112/ ; https://www.koutipandoras.gr/article/fotia-sti-limno-112-gia-ekkenosi-ton-periochon-agia-paraskevi-kai-profiti-ilia/</t>
  </si>
  <si>
    <t>~59 άτομα απεγκλωβίστηκαν δια θαλάσσης από παραλία Θάνου. Εκκενώθηκαν Αγία Παρασκευή και Προφήτης Ηλίας. Αρσονιστική μονάδα Λέσβου στο σημείο.</t>
  </si>
  <si>
    <t>2026-08-21</t>
  </si>
  <si>
    <t>2 (ομάδες πεζοπόρων)</t>
  </si>
  <si>
    <t>υπό διερεύνηση (ενεργοποιήθηκε Ανακριτικό Κλιμάκιο Εγκλημάτων Εμπρησμού Λέσβου· ανεπίσημες αναφορές για εκκίνηση στη χωματερή περιοχής Θάνου)</t>
  </si>
  <si>
    <t>112 16:00 εκκένωση Αγίας Παρασκευής και Προφήτη Ηλία → Μύρινα· 59 άτομα απεγκλωβίστηκαν δια θαλάσσης</t>
  </si>
  <si>
    <t>https://www.emakedonia.gr/limnos-meghali-fotia-stin-periochi-thanos-112-ghia-ekkenosi-dio-periochon-59-atoma-apomakrynthikan-dia-thalassis ; https://www.tanea.gr/2026/08/21/greece/fotia-sti-limno-pyrkagia-se-xamili-vlastisi-stin-perioxi-thanos ; https://www.dnews.gr/eidhseis/ellada/605697/fotia-tora-se-messinia-drama-aitoloakarnania-limno-minymata-apo-to-112 ; https://www.zarpanews.gr/fotia-sti-limno-minyma-apo-to-112-gia-ekkenosi-se-agia-paraskeyi-kai-profiti-ilia-video/ ; https://www.protothema.gr/greece/article/1867707/fotia-tora-stin-periohi-thanos-tis-limnou/ ; https://news-24.gr/limnos-500-kai-pleon-stremmata-feretai-ekapse-fotia-sto-thanos-ginetai-simera/</t>
  </si>
  <si>
    <t>Πυρκαγιά σε χαμηλή βλάστηση στην περιοχή Θάνος· το μέτωπο επεκτάθηκε κοντά στην Αγία Παρασκευή και τον Προφήτη Ηλία· χωρίς ενεργό μέτωπο από 18:40 | Καμένη εκτίμηση &gt;=500 στρ. (&gt;=50 ha) κατά ανεπίσημες αναφορές LimnosLive — επίσημη επαλήθευση εκκρεμεί.</t>
  </si>
  <si>
    <t>Κόμιτος Καρύστου</t>
  </si>
  <si>
    <t>Δήμος Καρύστου</t>
  </si>
  <si>
    <t>1 ομάδα πεζοπόρων (20η ΕΜΟΔΕ)</t>
  </si>
  <si>
    <t>υδροφόρες Δήμου Καρύστου</t>
  </si>
  <si>
    <t>αμέλεια (συνελήφθη 47χρονος)</t>
  </si>
  <si>
    <t>https://www.tanea.gr/2026/08/21/greece/fotia-stin-karysto-megali-kinitopoiisi-tis-pyrosvestikis-ston-komito ; https://www.skai.gr/news/greece/fotia-ston-komito-karystou-kinitopoiithikan-dyo-enaeria ; https://www.tovima.gr/2026/08/21/society/fotia-tora-stin-karysto-sikothikan-2-enaeria/ ; https://www.documentonews.gr/article/fotia-tora-ston-komito-karystou-kaiei-dasiki-ektasi/ ; https://www.ertnews.gr/eidiseis/oriothetithike-i-fotia-stin-karysto/ ; https://www.topontiki.gr/2026/08/21/fotia-tora-stin-karisto-sikothikan-ta-enaeria/ ; https://www.cnn.gr/ellada/story/548797/eyvoia-se-ekseliksi-fotia-ston-komito-karystou-epixeiroyn-epigeies-kai-enaeries-dynameis ; https://www.ertnews.gr/eidiseis/dyo-syllipseis-gia-foties-46xronos-gia-emprismo-apo-prothesi-sta-trikala-kai-47xronos-gia-pyrkagia-apo-ameleia-stin-karysto/ ; https://workenter.gr/fotia-tora-stin-karysto-30-pyrosvestes-kai-dyo-enaeria-mesa-sto-komito-988932 ; https://www.irafina.gr/fotia-stin-karysto-megali-kinitopoiisi-tis-pyrosvestikis/ ; https://civilprotection.gov.gr/sites/default/files/2026-08/260821.jpg ; https://www.aftodioikisi.gr/koinonia/eyvoia-synelavan-47chrono-gia-ti-fotia-stin-karysto-epese-quot-kampana-quot-6-600-eyro/ ; https://www.newsit.gr/ellada/dyo-syllipseis-gia-tis-foties-se-trikala-kai-karysto-46xronos-katigoreitai-gia-emprismo-apo-prothesi-kai-47xronos-gia-pyrkagia-apo-ameleia/4753419/ ; https://www.enikos.gr/society/foties-se-kriti-kai-evvoia-oriothetithikan-ta-pyrina-metopa-sta-zoniana-kai-tin-karysto/2632018/ ; https://www.naftemporiki.gr/society/2152077/eyvoia-fotia-xana-sto-komito-karystoy/</t>
  </si>
  <si>
    <t>Δασική έκταση. Εκδηλώθηκε πλησίον σημείου όπου είχε εκδηλωθεί πυρκαγιά ~3 ημέρες νωρίτερα. | Φωτιά σε χαμηλή βλάστηση — εκδηλώθηκε μεσημέρι Παρασκευής 21/8. Δεν απειλήθηκαν οικισμοί. | Χαμηλή βλάστηση. Arrest published same-day batch with Trikala arson case. | Χαμηλή βλάστηση. Αίτιο ερευνά Ανακριτικό Κλιμάκιο Εμπρησμών Εύβοιας. | Αιτία: θερμές εργασίες σε πάρκο ανεμογεννητριών. Επιβλήθηκε διοικητικό πρόστιμο 6.641,25 ευρώ στον 47χρονο. | Πεζοπόρο τμήμα 20ης ΕΜΟΔΕ. Εθελοντές παρόντες στην επιχείρηση. | Ο τίτλος naftemporiki.gr («φωτιά ξανά στο Κόμιτο») υποδηλώνει ιστορικό προηγούμενων πυρκαγιών στην ίδια τοποθεσία.</t>
  </si>
  <si>
    <t>Πυρκαγιά Κόμιτου Καρύστου Ευβοίας</t>
  </si>
  <si>
    <t>1 ομάδα πεζοπορίας (20η ΕΜΟΔΕ)</t>
  </si>
  <si>
    <t>υπό διερεύνηση (Ανακριτικό Κλιμάκιο Αντιμετώπισης Εγκλημάτων Εμπρησμού Εύβοιας)</t>
  </si>
  <si>
    <t>https://www.tanea.gr/2026/08/21/greece/fotia-stin-karysto-megali-kinitopoiisi-tis-pyrosvestikis-ston-komito ; https://www.cnn.gr/ellada/story/548797/eyvoia-se-ekseliksi-fotia-ston-komito-karystou-epixeiroyn-epigeies-kai-enaeries-dynameis ; https://www.enikos.gr/society/foties-se-kriti-kai-evvoia-oriothetithikan-ta-pyrina-metopa-sta-zoniana-kai-tin-karysto/2632018/ ; https://www.tovima.gr/2026/08/21/society/fotia-tora-stin-karysto-sikothikan-2-enaeria/ ; https://www.in.gr/2026/08/18/greece/pyrkagia-se-dasiki-ektasi-ston-komito-karystou-epixeiroun-pente-enaeria/ ; https://www.dnews.gr/eidhseis/ellada/605697/fotia-tora-se-messinia-drama-aitoloakarnania-limno-minymata-apo-to-112 ; https://www.skai.gr/news/greece/fotia-ston-komito-karystou-kinitopoiithikan-dyo-enaeria ; https://www.topontiki.gr/2026/08/21/fotia-tora-stin-karisto-sikothikan-ta-enaeria/</t>
  </si>
  <si>
    <t>Χαμηλή βλάστηση. Οριοθετήθηκε εντός της ημέρας. Πιθανώς ξεχωριστή πυρκαγιά στην ίδια περιοχή (Κόμιτος) εκδηλώθηκε και στις 18/08/2026 (in.gr, 5 εναέρια μέσα).</t>
  </si>
  <si>
    <t>Πυρκαγιά Νερομάνας Αιτωλοακαρνανίας</t>
  </si>
  <si>
    <t>2 (6η ΕΜΟΔΕ)</t>
  </si>
  <si>
    <t>112 15:43 ετοιμότητα περιοχή Ξεροβούνι</t>
  </si>
  <si>
    <t>https://www.tanea.gr/2026/08/21/greece/fotia-se-dasos-sti-neromana-aitoloakarnanias-sikothikan-dyo-enaeria ; https://www.naftemporiki.gr/society/2152110/fotia-tora-sti-neromana-aitoloakarnanias-synagermos-stin-pyrosvestiki/ ; https://www.in.gr/2026/08/21/greece/fotia-stin-aitoloakarnania-sikothikan-dyo-enaeria-ixise-to-112/ ; https://www.vradini.gr/ellada/fotia-sti-neromana-aitoloakarnanias-ixise-to-112-gia-etoimotita-stin-perioxi-xerovoyni/1644400/ ; https://agrinio24.gr/fotia-sti-neromana-aitoloakarnanias-ichise-to-112-ripseis-nerou-apo-1-aeroskafos-kai-1-elikoptero/ ; https://www.dnews.gr/eidhseis/ellada/605697/fotia-tora-se-messinia-drama-aitoloakarnania-limno-minymata-apo-to-112 ; https://www.foties.gr/foties-nea-live ; https://civilprotection.gov.gr/sites/default/files/2026-08/260821.jpg</t>
  </si>
  <si>
    <t>Αργότερα ενισχύθηκε με επιπλέον εναέρια (Tanea: 5 αεροπυροσβεστικά συνολικά)· αρκετά μέτωπα οριοθετήθηκαν αλλά η φωτιά συνέχιζε | Αναφορά εναέριων μέσων και συναγερμού από foties.gr, δεν επιβεβαιώθηκε ρητό σήμα 112.</t>
  </si>
  <si>
    <t>11:45</t>
  </si>
  <si>
    <t>Πυρκαγιά Ζωνιανών Μυλοποτάμου</t>
  </si>
  <si>
    <t>Ρεθύμνης</t>
  </si>
  <si>
    <t>Μυλοποτάμου</t>
  </si>
  <si>
    <t>υδροφόρες Δήμου Μυλοποτάμου</t>
  </si>
  <si>
    <t>υπό διερεύνηση (Ανακριτικό Κλιμάκιο Ρεθύμνου)</t>
  </si>
  <si>
    <t>https://www.tanea.gr/2026/08/21/greece/pyrkagia-sta-zoniana-kritis ; https://www.enikos.gr/society/foties-se-kriti-kai-evvoia-oriothetithikan-ta-pyrina-metopa-sta-zoniana-kai-tin-karysto/2632018/ ; https://www.ertnews.gr/perifereiakoi-stathmoi/chania/rethymno-fotia-ston-oreino-mylopotamo-kinitopoiise-tin-pyrosvestiki-ypiresia/ ; https://www.rethemnosnews.gr/rethymno/725929_fotia-sta-zoniana-kritis-epiheiroyn-epigeies-kai-enaeries-dynameis</t>
  </si>
  <si>
    <t>Χαμηλή βλάστηση. Οριοθετήθηκε εντός της ημέρας.</t>
  </si>
  <si>
    <t>Ρεθύμνου</t>
  </si>
  <si>
    <t>Μυλοπόταμος</t>
  </si>
  <si>
    <t>1 ομάδα πεζοπόρου 3ης ΕΜΟΔΕ</t>
  </si>
  <si>
    <t>https://www.newsbeast.gr/greece/arthro/13306175/fotia-tora-se-chamili-vlastisi-sta-zoniana-tis-kritis ; https://www.rethemnosnews.gr/rethymno/725929_fotia-sta-zoniana-kritis-epiheiroyn-epigeies-kai-enaeries-dynameis ; https://www.protothema.gr/greece/article/1867651/fotia-tora-sta-zoniana-kritis-epiheiroun-epigeies-kai-enaeries-dunameis/ ; https://www.ertnews.gr/perifereiakoi-stathmoi/chania/rethymno-fotia-ston-oreino-mylopotamo-kinitopoiise-tin-pyrosvestiki-ypiresia/</t>
  </si>
  <si>
    <t>Χαμηλή βλάστηση μεταξύ Ζωνιανών και Λιβαδίων. Γρήγορη οριοθέτηση.</t>
  </si>
  <si>
    <t>Πυρκαγιά Άνω Νευροκόπι Δράμας</t>
  </si>
  <si>
    <t>Ανατολικής Μακεδονίας &amp; Θράκης</t>
  </si>
  <si>
    <t>Νευροκοπίου</t>
  </si>
  <si>
    <t>3</t>
  </si>
  <si>
    <t>https://www.dnews.gr/eidhseis/ellada/605697/fotia-tora-se-messinia-drama-aitoloakarnania-limno-minymata-apo-to-112 ; https://civilprotection.gov.gr/sites/default/files/2026-08/260821.jpg ; https://www.cnn.gr/ellada/story/548863/ypo-meriko-elegxo-i-fotia-sto-nevrokopi-dramas-esvise-kai-sto-paranesti ; https://www.enikos.gr/society/drama-fotia-se-dasiki-ektasi-sto-katafyto-ano-nevrokopiou-ischyres-dynameis-tis-pyrosvestikis-sto-simeio/2631989/</t>
  </si>
  <si>
    <t>Ο νομός Δράμας στον ΓΓΠΠ χάρτη 21/08 εμφανίζεται μπλε (κατ. 2). | Τοποθεσία: Κατάφυτο Άνω Νευροκοπίου. Δυνάμεις: 32 πυροσβέστες, 3 ομάδες πεζοπόρων (2η, 7η, 21η ΕΜΟΔΕ), 2 οχήματα, 2 αεροσκάφη, 2 ελικόπτερα· Δήμος Νευροκοπίου παρείχε υδροφόρες. ΑΚ Εμπρησμού Καβάλας για αιτία. Διόρθωση: τα 4 αρχικά «εναέρια μέσα» διευκρινίστηκαν ως 2 αεροσκάφη + 2 ελικόπτερα. Στο Παρανέστι (ξεχωριστό περιστατικό) η πυρκαγιά κατασβέστηκε σε 30' με 6 πυροσβέστες/3 οχήματα.</t>
  </si>
  <si>
    <t>Πυρκαγιά Νερομάνας Αγρινίου</t>
  </si>
  <si>
    <t>2 ομάδες πεζοπορίας (6η ΕΜΟΔΕ)</t>
  </si>
  <si>
    <t>21/8 ~15:30 προειδοποίηση: «Παραμείνετε σε ετοιμότητα» στην περιοχή Ξηροβουνίου | 21/8 ~15:30 112 ετοιμότητα: «Πυρκαγιά στην περιοχή Ξεροβούνι Καλλιθέας ΠΕ Αιτωλοακαρνανίας – Παραμείνετε σε ετοιμότητα και ακολουθήστε οδηγίες Αρχών» | 112 ~15:30 ετοιμότητα περιοχής Ξεροβούνι-Καλλιθέα Αιτωλοακαρνανίας</t>
  </si>
  <si>
    <t>https://www.vradini.gr/ellada/fotia-sti-neromana-aitoloakarnanias-ixise-to-112-gia-etoimotita-stin-perioxi-xerovoyni/1644400/ ; https://www.tanea.gr/2026/08/21/greece/fotia-se-dasos-sti-neromana-aitoloakarnanias-sikothikan-dyo-enaeria ; https://messolonghivoice.gr/fotia-sti-neromana-aitoloakarnanias ; https://www.agriniosite.gr/fotia-stin-kallithea-agrinioy-megali-kinitopoiisi-tis-pyrosvestikis-epicheiroyn-kai-enaeria-mesa/ ; https://agrinio24.gr/fotia-sti-neromana-aitoloakarnanias-ichise-to-112-ripseis-nerou-apo-1-aeroskafos-kai-1-elikoptero/ ; https://www.naftemporiki.gr/society/2152110/fotia-tora-sti-neromana-aitoloakarnanias-synagermos-stin-pyrosvestiki/ ; https://www.in.gr/2026/08/21/greece/fotia-stin-aitoloakarnania-sikothikan-dyo-enaeria-ixise-to-112/ ; https://www.enikos.gr/society/fotia-se-dasiki-ektasi-stin-aitoloakarnania-epicheiroun-5-enaeria-mesa-estali-minyma-apo-to-112/2632001/ ; https://messolonghivoice.gr/fotia-se-dasos-sti-neromana-aitoloakarnanias-epicheirisi-me-42-pyrosvestes-kai-dyo-enaeria-mesa</t>
  </si>
  <si>
    <t>Δασική έκταση. Αρχικά 1 αεροσκάφος + 1 ελικόπτερο, αργότερα ενισχύθηκε σε 5 εναέρια μέσα συνολικά (tanea.gr). Ταυτόχρονα με 4 άλλα πύρινα μέτωπα εκείνη την ώρα. | Δάσος. Δυνάμεις αρχικά (21/8): 42 πυροσβέστες, 14 οχήματα, 1 αεροσκάφος, 1 ελικόπτερο. Ενισχύθηκαν στις 22/8: 58 πυροσβέστες, 22 οχήματα, 4 αεροσκάφη, 1 ελικόπτερο. Παραμένει ενεργή στις 22/8. | Αρχικά 42 πυροσβέστες + 2 εναέρια · ενισχύθηκε σε 58 πυροσβέστες + 5 εναέρια. Σε εξέλιξη κατά τη συλλογή δεδομένων (21/8).</t>
  </si>
  <si>
    <t>2026-08-22</t>
  </si>
  <si>
    <t>14:50</t>
  </si>
  <si>
    <t>Κρεμαστή Ευρώτα Λακωνίας</t>
  </si>
  <si>
    <t>Ευρώτας</t>
  </si>
  <si>
    <t>https://www.cnn.gr/ellada/story/548674/xoris-energo-metopo-i-pyrkagia-se-dasiki-ektasi-stin-kremasti-lakonias ; https://newpost.gr/eidiseis/fotia-se-lakonia-kai-karditsa-epicheiroyn-ischyres-dynameis/ ; https://www.in.gr/2026/08/20/greece/fotia-se-dasiki-ektasi-sti-lakonia-sikothikan-tessera-enaeria/ ; https://www.eleftherostypos.gr/ellada/lakonia-choris-energo-metopo-i-fotia-stin-kremasti-tou-evrota ; https://www.lamiareport.gr/ellada/item/fotia-stin-kremasti-lakonias-sikothikan-3-aeroplana-kai-ena-elikoptero/ ; https://www.documentonews.gr/article/choris-energo-metopo-i-fotia-stin-kremasti-lakonias/ ; https://www.skai.gr/news/greece/pyrosvestiki-25-agrotodasikes-pyrkagies-to-teleytaio-24oro-1</t>
  </si>
  <si>
    <t>Χωρίς ενεργό μέτωπο σε ~20 λεπτά· δεν απειλούνταν οικισμοί | Περιορίστηκε χωρίς ενεργό μέτωπο εντός ~20 λεπτών (Yutori: «χωρίς ενεργό μέτωπο» στις 15:41 EEST). Δεν απειλήθηκαν οικισμοί. Danger level 3 (ΥΨΗΛΗ, κίτρινο) κατ. από χάρτη ΓΓΠΠ 20/8 για Πελοπόννησο/ΠΕ Λακωνίας. | Περιορίστηκε εντός ~20 λεπτών· δεν απειλούνταν οικισμοί· πυρκαγιολογική έρευνα αιτίας σε εξέλιξη | Χωρίς ενεργό μέτωπο. Περιορίστηκε εντός ~20 λεπτών. Δεν απειλήθηκαν οικισμοί. | Περιορίστηκε χωρίς ενεργό μέτωπο εντός ~20 λεπτών από έναρξη. Δεν απειλήθηκαν οικισμοί. | Περιορίστηκε εντός ~20 λεπτών χωρίς ενεργό μέτωπο · δεν απειλήθηκαν οικισμοί. | Περιορίστηκε εντός ~20 λεπτών· δεν απειλήθηκαν οικισμοί | Περιορίστηκε εντός ~20 λεπτών. Δεν απειλούνται οικισμοί.</t>
  </si>
  <si>
    <t>Μαραθέα Παλαμά Καρδίτσας</t>
  </si>
  <si>
    <t>Καρδίτσας</t>
  </si>
  <si>
    <t>1 ομάδα πεζοπόρων 10ης ΕΜΟΔΕ</t>
  </si>
  <si>
    <t>οχήματα Δήμου Παλαμά</t>
  </si>
  <si>
    <t>υπό διερεύνηση (Κλιμάκιο Εμπρησμού Τρικάλων)</t>
  </si>
  <si>
    <t>https://www.karditsalive.net/karditsa/topiki-epikerotita/ ; https://www.tanea.gr/2026/08/20/greece/fotia-stin-karditsa-kaiei-se-agrotodasiki-ektasi ; https://voicenews.gr/ypo-meriko-elegcho-i-pyrkagia-sti-marathea-karditsas/ ; https://kosmoslarissa.gr/ellada/ ; https://www.irafina.gr/fotia-se-agrotodasiki-ektasi-stin-karditsa/ ; https://www.libre.gr/2026/08/20/oriothetithike-i-fotia-ston-palama-kard/ ; https://www.naftemporiki.gr/society/2151761/fotia-tora-ston-palama-karditsas/ ; https://www.iefimerida.gr/ellada/30-periohes-kitrinos-synagermos-kindynos-fotias ; https://www.documentonews.gr/article/fotia-tora-ston-palama-karditsas/ ; https://www.lamiareport.gr/topika/topikanea/item/fotia-sti-marathea-karditsas-amesi-kinitopoiisi-tis-pyrosvestikis-me-xersaies-dynameis-kai-ena-elikoptero/ ; https://www.ereportaz.gr/karditsa-fotia-se-agrotodasiki-ektasi-sti-marathea-palama/</t>
  </si>
  <si>
    <t>~10 στρέμματα δασώδους και χορτολιβαδικής έκτασης· ελέγχθηκε σε ~1 ώρα· ελικόπτερο κλήθηκε αλλά δεν χρειάστηκε | Αγροτοδασική πυρκαγιά στη Μαραθέα Δήμου Παλαμά. Οριοθετήθηκε στην ευρύτερη περιοχή Μεταμορφώσεως Δήμου Παλαμά. Danger level 2 (ΜΕΣΗ, μπλε) κατ. από χάρτη ΓΓΠΠ 20/8 για ΠΕ Καρδίτσας (Θεσσαλία εμφανίζεται μπλε). | Κάηκε χορτολιβαδική έκταση και πουρνάρια · περιοχή Μεταμόρφωσης Δήμου Παλαμά. Οριοθετήθηκε.</t>
  </si>
  <si>
    <t>Μεταμόρφωση – Μαραθέα</t>
  </si>
  <si>
    <t>https://www.karditsalive.net/karditsa/topiki-epikerotita/%CF%83%CE%B5-%CE%B5%CE%BE%CE%AD%CE%BB%CE%B9%CE%BE%CE%B7-%CF%80%CF%85%CF%81%CE%BA%CE%B1%CE%B3%CE%B9%CE%AC-%CF%84%CE%BF-%CE%BC%CE%B5%CF%83%CE%B7%CE%BC%CE%AD%CF%81%CE%B9-%CF%84%CE%B7%CF%82-%CF%80%CE%AD%CE%BC%CF%80%CF%84%CE%B7%CF%82-20-8-%CE%BA%CE%BF%CE%BD%CF%84%CE%AC-%CF%83%CF%84%CE%B7%CE%BD-%CF%84-%CE%BA-%CE%BC%CE%B5%CF%84%CE%B1%CE%BC%CF%8C%CF%81%CF%86%CF%89%CF%83%CE%B7%CF%82</t>
  </si>
  <si>
    <t>Ελάχιστα διαθέσιμα στοιχεία· ελέγχθηκε το μεσημέρι της Πέμπτης 20/8. | Δασική έκταση με πεύκα σε βραχώδες έδαφος και χορτολιβαδική έκταση. Ελικόπτερο κινητοποιήθηκε αλλά δεν χρησιμοποιήθηκε τελικά.</t>
  </si>
  <si>
    <t>05:30</t>
  </si>
  <si>
    <t>Παλαμπάς Θεσπρωτίας</t>
  </si>
  <si>
    <t>Φιλιάτες</t>
  </si>
  <si>
    <t>2 ομάδες 5ης ΕΜΟΔΕ</t>
  </si>
  <si>
    <t>άγνωστο</t>
  </si>
  <si>
    <t>https://www.newsit.gr/ellada/fotia-sti-thesprotia-stin-perioxi-palampas-sikothikan-enaeria-mesa/4754176/ ; https://www.tanea.gr/2026/08/20/greece/fotia-tora-ston-palampa-thesprotias-epixeiroun-epigeies-kai-enaeries-dynameis/ ; https://www.alphanews.live/greece/synagermos-gia-pyrkagia-se-dasiki-ektasi-stin-thesprotia-sikothikan-enaeria-mesa/ ; https://www.thetoc.gr/koinwnia/article/fotia-apo-ta-ximeromata-ston-palampa-thesprotias/ ; https://www.cnn.gr/ellada/story/548595/synagermos-gia-pyrkagia-se-dasiki-ektasi-stin-thesprotia-sikothikan-enaeria-mesa ; https://www.firefightingreece.gr/2026/08/20/pyrkagia-se-dasiki-ektasi-ston-palaba-thesprotias-epicheiroun-25-pyrosvestes-kai-2-enaeria-mesa/ ; https://pelop.gr/fotia-sti-thesprotia-pyrkagia-se-dysvati-dasiki-periochi-ston-palaba/ ; https://www.documentonews.gr/article/fotia-tora-ston-palaba-thesprotias-se-dasiki-ektasi/ ; https://www.taxydromos.gr/ellada/1356484/fotia-se-dasiki-ektasi-stin-thesprotia-sikothikan-enaeria-mesa/ ; https://www.naftemporiki.gr/society/2151699/ypo-elegcho-i-pyrkagia-ston-palampa-thesprotias/ ; https://www.tanea.gr/2026/08/20/greece/fotia-tora-ston-palampa-thesprotias-epixeiroun-epigeies-kai-enaeries-dynameis ; https://www.skai.gr/news/greece/fotia-se-dasiki-ektasi-sti-thesprotia ; https://www.iefimerida.gr/ellada/fotia-stin-thesprotia-epiheiroyn-2-enaeria</t>
  </si>
  <si>
    <t>Δύσβατος και δυσπρόσιτος ορεινός όγκος κοντά σε κορυφογραμμή | Καίει από τα ξημερώματα· δύσβατο ορεινό έδαφος κοντά σε κορυφογραμμή· δύσκολη πρόσβαση χερσαίων δυνάμεων | Δύσβατο ορεινό έδαφος κοντά σε κορυφογραμμή· δύσκολη πρόσβαση επίγειων δυνάμεων. Κατάσταση «ενεργή — σε εξέλιξη» κατά ώρα πληροφορίας Yutori (09:14–10:12 EEST 20/8). Danger level 2 (ΜΕΣΗ) κατ. από χάρτη ΓΓΠΠ 20/8 για ΠΕ Θεσπρωτίας (ΠΕ Ηπείρου εμφανίζεται μπλε). | Δύσβατο ορεινό έδαφος κοντά σε κορυφογραμμή. Δυσχερής πρόσβαση επίγειων δυνάμεων. Κατάσταση ως 10:12 20/8: σε εξέλιξη. | Δύσβατο ορεινό έδαφος κοντά σε κορυφογραμμή, δύσκολη πρόσβαση. Κατάσταση σε εξέλιξη ως 09:14-10:12 EEST. | Εξαιρετικά δύσβατο ορεινό σημείο κοντά σε κορυφογραμμή · δυσχεραίνει πρόσβαση επίγειων δυνάμεων. Τελικά υπό έλεγχο (naftemporiki). | Δύσβατο ορεινό έδαφος κοντά σε κορυφογραμμή· δυσχεραμένη πρόσβαση επίγειων δυνάμεων· Yutori αναφέρει ενεργή (09:14–10:12 EEST) αλλά νεότερες πηγές επιβεβαιώνουν οριοθέτηση εντός ~30 λεπτών από έναρξη | Δύσβατο ορεινό έδαφος κοντά σε κορυφογραμμή, δύσκολη πρόσβαση. Αίτιο άγνωστο. | Νέο περιστατικό (ανακάλυψη batch). Πυρκαγιά σε δύσβατο δασικό ορεινό όγκο (κορυφογραμμή)· δυσχεραίνεται πρόσβαση επίγειων. 2 ομάδες πεζοπόρων 5ης ΕΜΟΔΕ. | Δύσβατο ορεινό έδαφος κοντά σε ράχη, περιόρισε πρόσβαση επίγειων δυνάμεων. Καμένη έκταση και τελική κατάσταση δεν εντοπίστηκαν σε πηγές.</t>
  </si>
  <si>
    <t>Κερασοχώρι Αγράφων</t>
  </si>
  <si>
    <t>Ευρυτανίας</t>
  </si>
  <si>
    <t>Αγράφων</t>
  </si>
  <si>
    <t>https://www.iefimerida.gr/ellada/fotia-kerasohori-agrafon ; https://www.tovima.gr/2026/08/19/society/fotia-tora-sto-kerasoxori-agrafon ; https://www.in.gr/2026/08/19/greece/pyrkagia-se-dasiki-ektasi-sto-kerasoxori-agrafon/ ; https://www.news247.gr/ellada/fotia-se-dasos-sto-kerasoxori-agrafon-sti-maxi-kai-enaeria-mesa/ ; https://www.newsbeast.gr/greece/arthro/13302845/fotia-tora-se-dasos-sto-kerasochori-agrafon-sikothike-elikoptero ; https://www.ertnews.gr/roi-idiseon/pyrkagia-sto-kerasoxori-agrafon-epixeiroun-epigeies-kai-enaeries-dynameis/ ; https://evrytanika.gr/%CF%84%CF%89%CF%81%CE%B1-%CF%86%CF%89%CF%84%CE%B9%CE%AC-%CF%83%CF%84%CE%BF-%CE%BA%CE%B5%CF%81%CE%B1%CF%83%CE%BF%CF%87%CF%8E%CF%81%CE%B9-%CE%B1%CE%B3%CF%81%CE%AC%CF%86%CF%89%CE%BD-%CE%B5%CF%80%CE%AF/ ; https://www.skai.gr/news/greece/pyrkagia-se-dasiki-ektasi-sti-perioxi-kerasoxori-sta-agrafa ; https://www.tanea.gr/2026/08/19/greece/pyrkagia-se-dasiki-ektasi-sto-kerasoxori-agrafon-sto-simeio-3-enaeria-mesa ; https://www.firefightingreece.gr/2026/08/19/pyrosvestiki-39-agrotodasikes-pyrkagies-to-teleftaio-24oro-9/ ; https://www.ilamia.gr/2026/08/20/elegchomeni-i-fotia-sto-kerasochori-synechizontai-oi-ergasies-gia-pliri-katasvesi-fotografies/ ; https://www.onlarissa.gr/2026/08/19/pyrkagia-sto-kerasochori-agrafon-epicheiroun-epigeies-kai-enaeries-dynameis/</t>
  </si>
  <si>
    <t>Δυσπρόσιτη ορεινή περιοχή· η δυσκολία πρόσβασης παρεμπόδιζε τις επιχειρήσεις | Δημοτική Ενότητα Βυνιανής, Δήμος Αγράφων | Πιθανή αιτία κεραυνός: κεραυνική δραστηριότητα 18/8/2026 (μη επίσημα επιβεβαιωμένο). Πηγές επιβεβαιώνουν 2 αεροσκάφη + 1 ελικόπτερο (σύνολο 3 εναερίων). | Κοινότητα Βινιάνης Δήμου Αγράφων. Δύσβατη δασική έκταση — δεν απειλούνταν οικισμοί κατά τον χρόνο αναφοράς. Μεταξύ 18/8 18:00–19/8 18:00 εκδηλώθηκαν 39 αγροτοδασικές πυρκαγιές συνολικά στη χώρα (36 αντιμετωπίστηκαν αμέσως, 3 εν εξελίξει). Τελευταία γνωστή κατάσταση: ενεργή ~18:00 19/8. | Δ.Ε. Βυνιανής· κεραυνική δραστηριότητα προηγούμενης ημέρας· δεν απειλούνταν οικισμοί | Δύσβατη δασική περιοχή Βυνιανής Δ. Αγράφων. Προηγήθηκαν βροχές και κεραυνοί. Ελεγχόμενη στις 20/8, εργασίες πλήρους κατάσβεσης σε εξέλιξη. Χάρτης 19/8 εμφανίζει επισήμανση αυξημένου κινδύνου κεραυνών σε δάση. | Εκδηλώθηκε σε δύσβατη δασική περιοχή (Βυνιάνη) · δεν απειλούνταν οικισμοί κατά την εκδήλωση | Δυνάμεις: 25 πυροσβέστες με 2 ομάδες πεζοπορίας από 4η ΕΜΟΔΕ, 3 οχήματα, 2 αεροσκάφη, 1 ελικόπτερο. Κοινότητα Βυνιάνων. Καμένη έκταση και τελική κατάσταση αγνώστου (εν εξελίξει κατά τη δημοσίευση). | Δασική πυρκαγιά σε δυσπρόσιτη ορεινή περιοχή. Επιχείρησαν 2 ομάδες πεζοπορίας 4ης ΕΜΑΚ. Δεν απειλούνταν κατοικίες κατά τη διάρκεια κάλυψης.</t>
  </si>
  <si>
    <t>Άγραφα</t>
  </si>
  <si>
    <t>κεραυνός (πιθανή)</t>
  </si>
  <si>
    <t>https://www.ertnews.gr/roi-idiseon/pyrkagia-sto-kerasoxori-agrafon-epixeiroun-epigeies-kai-enaeries-dynameis/ ; https://www.iefimerida.gr/ellada/fotia-kerasohori-agrafon ; https://www.skai.gr/news/greece/pyrkagia-se-dasiki-ektasi-sti-perioxi-kerasoxori-sta-agrafa ; https://www.in.gr/2026/08/19/greece/pyrkagia-se-dasiki-ektasi-sto-kerasoxori-agrafon/ ; https://thepressproject.gr/fotia-se-dasiki-ektasi-sto-kerasochori-agrafon-epicheiroun-3-enaeria-mesa/ ; https://www.documentonews.gr/article/fotia-tora-sto-kerasochori-agrafon-sikothikan-enaeria-mesa/ ; https://thepressproject.gr/fotia-se-dasiki-ektasi-sto-kerasochori-agrafon-epicheiroun-3-enaeria-mesa ; https://www.tanea.gr/2026/08/19/greece/pyrkagia-se-dasiki-ektasi-sto-kerasoxori-agrafon-sto-simeio-3-enaeria-mesa</t>
  </si>
  <si>
    <t>ΔΕ Βυνιανής· δύσβατο δάσος· δεν απειλούνταν κατοικίες | Κοινότητα Βυνιάνης · κεραυνική δραστηριότητα προηγούμενη ημέρα. Χάρτης ΓΓΠΠ 19/8: όλη η χώρα Κατ.2 με ειδική επισήμανση αυξημένου κινδύνου εκδήλωσης σε δάση όπου αναμένεται κεραυνική δραστηριότητα. | 3 εναέρια μέσα συνολικά αναφέρονται από πηγές· ανάλυση αεροσκαφών/ελικοπτέρων δεν επιβεβαιώθηκε</t>
  </si>
  <si>
    <t>Δήμος Αγράφων</t>
  </si>
  <si>
    <t>2 ομάδες πεζοπόρων (4η ΕΜΟΔΕ)</t>
  </si>
  <si>
    <t>https://www.tanea.gr/2026/08/19/greece/pyrkagia-se-dasiki-ektasi-sto-kerasoxori-agrafon-sto-simeio-3-enaeria-mesa ; https://www.ertnews.gr/roi-idiseon/pyrkagia-sto-kerasoxori-agrafon-epixeiroun-epigeies-kai-enaeries-dynameis/ ; https://www.in.gr/2026/08/19/greece/pyrkagia-se-dasiki-ektasi-sto-kerasoxori-agrafon/ ; https://www.skai.gr/news/greece/pyrkagia-se-dasiki-ektasi-sti-perioxi-kerasoxori-sta-agrafa</t>
  </si>
  <si>
    <t>Δύσβατη δασική περιοχή, ΔΕ Βυνιανής. Δεν απειλούνται κατοικίες. Πιθανή αιτία κεραυνός (ο χάρτης ΓΓΠΠ 19/8 προειδοποιεί για αυξημένο κίνδυνο λόγω κεραυνών σε δάση).</t>
  </si>
  <si>
    <t>Γέρακας (Ανθούσα)</t>
  </si>
  <si>
    <t>Παλλήνης</t>
  </si>
  <si>
    <t>3 ομάδες 1ης ΕΜΟΔΕ</t>
  </si>
  <si>
    <t>δημοτικά βυτία Παλλήνης</t>
  </si>
  <si>
    <t>εθελοντικές ομάδες</t>
  </si>
  <si>
    <t>υπό διερεύνηση (Ανακριτικό Κλιμάκιο Αθηνών)</t>
  </si>
  <si>
    <t>15:43 προειδοποίηση ετοιμότητας κατοίκων Ανθούσας Ανατολικής Αττικής | 112: «Πυρκαγιά στην Ανθούσα Ανατολικής Αττικής – παραμείνετε σε ετοιμότητα και ακολουθείτε τις οδηγίες Αρχών»</t>
  </si>
  <si>
    <t>https://www.ertnews.gr/eidiseis/oriothetithike-i-fotia-ston-geraka/ ; https://www.thetoc.gr/koinwnia/article/fotia-tora-ston-geraka-dipla-stin-attiki-odo---ixise-to-112---epixeiroun-2-aeroskafi-kai-2-elikoptera/ ; https://www.naftemporiki.gr/society/2151437/fotia-tora-ston-geraka-attikis-minyma-toy-112/ ; https://www.enikos.gr/society/fotia-ston-geraka-ichise-to-112-gia-etoimotita/2631087/ ; https://www.in.gr/2026/08/19/greece/pyrkagia-ston-geraka-minyma-apo-to-112-epixeiroun-isxyres-dynameis-tis-pyrosvestikis/ ; https://www.newsbomb.gr/ellada/story/1757476/fotia-tora-ston-geraka-dipla-stin-attiki-odo-isxyres-dynameis-sto-simeio ; https://www.lamiareport.gr/ellada/item/pyrkagia-ston-geraka-minyma-apo-to-112-parameinete-se-etoimotita/</t>
  </si>
  <si>
    <t>Χαμηλή βλάστηση κάτω από πύργους ΥΤ· πλησίον νεκροταφείου &amp; Αττικής Οδού· ~1 ha· οριοθέτηση σε ~15 λεπτά | Κοντά στην Αττική Οδό· οριοθετήθηκε εντός 15 λεπτών</t>
  </si>
  <si>
    <t>2026-08-20</t>
  </si>
  <si>
    <t>Πυρκαγιά Γέρακα Αττικής (Ανθούσα)</t>
  </si>
  <si>
    <t>Ανατολικής Αττικής</t>
  </si>
  <si>
    <t>3 ομάδες πεζοπορίας (1η ΕΜΟΔΕ)</t>
  </si>
  <si>
    <t>υδροφόρες Δήμου Παλλήνης</t>
  </si>
  <si>
    <t>19/8 15:43 προειδοποίηση: «Πυρκαγιά στην περιοχή Ανθούσας Ανατολικής Αττικής. Παραμείνετε σε ετοιμότητα και ακολουθείτε τις οδηγίες των Αρχών»</t>
  </si>
  <si>
    <t>https://www.thetoc.gr/koinwnia/article/fotia-tora-ston-geraka-dipla-stin-attiki-odo---ixise-to-112---epixeiroun-2-aeroskafi-kai-2-elikoptera/ ; https://www.in.gr/2026/08/19/greece/pyrkagia-ston-geraka-minyma-apo-to-112-epixeiroun-isxyres-dynameis-tis-pyrosvestikis/ ; https://www.newsit.gr/ellada/fotia-ston-geraka-minyma-apo-to-112-parameinete-se-etoimotita/4753840/ ; https://www.tovima.gr/2026/08/19/society/fotia-ston-geraka-ixise-112 ; https://www.news247.gr/ellada/fotia-stin-anthousa-attikis-minima-112/ ; https://www.newsbeast.gr/greece/arthro/13302452/112-gia-fotia-stin-anthousa-attikis ; https://www.ertnews.gr/eidiseis/oriothetithike-i-fotia-ston-geraka/ ; https://europost.gr/pyrkagies-fotia-ston-geraka-dipla-stin-attiki-odo-ichise-to112-gia-etoimotita-sikothikan-4-enaeria-mesa-gia-tin-katasvesi-amesi-kinitopoiisi-ton-archon-me-46-pyrosvestes-treis-omades-pezoporon-9/</t>
  </si>
  <si>
    <t>Χαμηλή βλάστηση κάτω από πυλώνες ρεύματος, δίπλα στην Αττική Οδό. Οριοθετήθηκε εντός 15 λεπτών. Αιτία υπό διερεύνηση από Τμήμα Εγκλημάτων Εμπρησμού Αθηνών. | 3 ομάδες πεζοπόρων 1ης ΕΜΟΔΕ. Καμένη έκταση ~1 στρέμμα (ertnews.gr). Ώρα οριοθέτησης 16:10 σύμφωνα με ertnews — ενδέχεται η 15:45 να αφορά πρώτο μερικό έλεγχο.</t>
  </si>
  <si>
    <t>Πυρκαγιά Γέρακα — πλησίον Αττικής Οδού</t>
  </si>
  <si>
    <t>3 ομάδες πεζοπόρων (1η ΕΜΟΔΕ)</t>
  </si>
  <si>
    <t>Δήμος Παλλήνης (υδροφόρα)</t>
  </si>
  <si>
    <t>υπό διερεύνηση (βλάστηση κάτω από πυλώνες ΔΕΗ — ενεργοποιήθηκε τμήμα εμπρησμών)</t>
  </si>
  <si>
    <t>112 15:43 19/8: προειδοποίηση Ανθούσας (ΠΕ Ανατολικής Αττικής) — «παραμείνετε σε ετοιμότητα και ακολουθείτε τις οδηγίες των Αρχών»</t>
  </si>
  <si>
    <t>https://www.in.gr/2026/08/19/greece/pyrkagia-ston-geraka-minyma-apo-to-112-epixeiroun-isxyres-dynameis-tis-pyrosvestikis/ ; https://www.thetoc.gr/koinwnia/article/fotia-tora-ston-geraka-dipla-stin-attiki-odo---ixise-to-112---epixeiroun-2-aeroskafi-kai-2-elikoptera/ ; https://www.documentonews.gr/article/fotia-tora-konta-sto-nekrotafeio-tou-geraka/ ; https://www.cnn.gr/ellada/story/548528/fotia-ston-geraka-dipla-stin-attiki-odo-ixise-112-gia-etoimotita ; https://www.libre.gr/2026/08/19/oriothetithike-amesa-i-fotia-ston-gerak/ ; https://www.irafina.gr/gerakas-fotia-konta-sto-nekrotafeio/ ; https://www.ertnews.gr/eidiseis/oriothetithike-i-fotia-ston-geraka/ ; https://europost.gr/pyrkagies-fotia-ston-geraka-dipla-stin-attiki-odo-ichise-to112-gia-etoimotita-sikothikan-4-enaeria-mesa-gia-tin-katasvesi-amesi-kinitopoiisi-ton-archon-me-46-pyrosvestes-treis-omades-pezoporon-9/</t>
  </si>
  <si>
    <t>Χαμηλή βλάστηση κοντά στο νεκροταφείο Γέρακα, δίπλα στην Αττική Οδό. Οριοθετήθηκε εντός ~15 λεπτών. Παρακολούθηση με θερμικό/οπτικό drone. Χάρτης ΓΓΠΠ 19/8: ολόκληρη χώρα κατηγορία 2 (ΜΕΣΗ) με σημείωση αυξημένου κινδύνου σε περιοχές κεραυνικής δραστηριότητας. | 3 ομάδες πεζοπόρων 1ης ΕΜΟΔΕ. Καμένη έκταση ~1 στρέμμα (ertnews.gr).</t>
  </si>
  <si>
    <t>14:10</t>
  </si>
  <si>
    <t>Βωβούσα - θέση «Αυτιά»</t>
  </si>
  <si>
    <t>1 ομάδα 5ης ΕΜΟΔΕ</t>
  </si>
  <si>
    <t>https://www.newsbomb.gr/ellada/story/1757455/fotia-tora-sti-vovoysa-ioanninon-megali-kinitopoiisi-tis-pyrosvestikis ; https://www.efsyn.gr/ellada/1450535/fotia-sti-vovoysa-ioanninon-epiheirei-ena-elikoptero/ ; https://www.skai.gr/news/greece/fotia-se-dasiki-ektasi-sti-vovousa-ioanninon ; https://www.madata.gr/epikairotita/social/973042-fotia-se-dasiki-ektasi-sti-vovoysa-ioanninon-kinitopoiisi-pyrosvestikis.html ; https://www.firefightingreece.gr/2026/08/19/pyrkagia-se-dasiki-ektasi-sti-vovousa-zagoriou-epicheiroun-12-pyrosvestes-kai-1-elikoptero/</t>
  </si>
  <si>
    <t>Δάσος στη θέση «Αυτιά» Τ.Κ. Βωβούσας | Δασική έκταση, τοποθεσία «Αυτιά» | Πιθανή αιτία κεραυνός: κεραυνική δραστηριότητα στην περιοχή 18/8/2026 (μη επίσημα επιβεβαιωμένο)</t>
  </si>
  <si>
    <t>Πυρκαγιά Βωβούσας Ζαγορίου</t>
  </si>
  <si>
    <t>ΜΕΣΗ (αυξημένος κίνδυνος λόγω κεραυνικής δραστηριότητας)</t>
  </si>
  <si>
    <t>https://www.skai.gr/news/greece/fotia-se-dasiki-ektasi-sti-vovousa-ioanninon</t>
  </si>
  <si>
    <t>Θέση Αυτιά, Δ.Ε. Βωβούσας· κεραυνική δραστηριότητα προηγούμενης ημέρας</t>
  </si>
  <si>
    <t>Κλειτορία, Δήμος Γορτυνίας, Αρκαδία</t>
  </si>
  <si>
    <t>Αρκαδίας</t>
  </si>
  <si>
    <t>Γορτυνία</t>
  </si>
  <si>
    <t>1 ομάδα πεζοπόρων (9η ΕΜΟΔΕ)</t>
  </si>
  <si>
    <t>Υδροφόρες Δήμου Τρίπολης</t>
  </si>
  <si>
    <t>https://www.in.gr/2026/08/18/greece/foties-apo-keraynous-se-kalavryta-kai-arkadia/ ; https://www.inewsgr.com/93/fotia-stin-gortynia-arkadias-sikothike-ena-elikoptero.htm ; https://www.tanea.gr/2026/08/18/greece/pyrkagia-se-dasiki-ektasi-stin-arkadia/ ; https://www.thetoc.gr/koinwnia/article/foties-se-kalabruta-kai-arkadia---entoni-kerauniki-drastiriotita-stin-perioxi/ ; https://www.skai.gr/news/greece/pyrkagia-se-xamili-vlastisi-sta-pigadakia-arkadias ; https://www.thetoc.gr/koinwnia/article/foties-se-kalavruta-kai-arkadia---entoni-kerauniki-drastiriotita-stin-perioxi/ ; https://www.news.gr/ellada/article/4196838/oriothetithike-i-fotia-sta-pigadakia-arkadias.html</t>
  </si>
  <si>
    <t>Πυρκαγιά από κεραυνό. Έντονη κεραυνική και βροχερή δραστηριότητα στην περιοχή. | Πυρκαγιά σε δασική έκταση Δημοτικής Ενότητας Κλειτορίας, Γορτυνία. Πιθανή αιτία κεραυνός (έντονη κεραυνική δραστηριότητα στην περιοχή). | Δασική έκταση δημοτικής ενότητας Κλείτορος· έντονη κεραυνική δραστηριότητα στην ευρύτερη περιοχή | Δημοτική Ενότητα Κλειτορίας· κινητοποιήθηκε Ανακριτικό Κλιμάκιο Εμπρησμών Τρίπολης | Οριοθετήθηκε σε ~30 λεπτά· έντονη κεραυνική δραστηριότητα στην ευρύτερη περιοχή</t>
  </si>
  <si>
    <t>Προφήτης Ηλίας Μήλου</t>
  </si>
  <si>
    <t>Μήλος</t>
  </si>
  <si>
    <t>υπό διερεύνηση (Ανακριτική Υπηρεσία Εμπρησμού Κυκλάδων)</t>
  </si>
  <si>
    <t>https://www.kykladiki.gr/milos-oriothetithike-i-fotia-ston-profiti-ilia-ischyri-kinitopoiisi-apos-aeros/ ; https://www.newsit.gr/ellada/fotia-sti-milo-stin-perioxi-profitis-ilias/4753270/ ; https://www.emakedonia.gr/milos-fotia-ston-profiti-ilia-pente-enaeria-syndramoyn-apo-aeros ; https://www.tanea.gr/2026/08/18/greece/pyrkagia-ksespase-se-xamili-vlastisi-sti-milo-enaeries-kai-epigeies-dynameis-tis-pyrosvestikis-sto-simeio/ ; https://www.in.gr/2026/08/18/greece/fotia-se-xamili-vlastisi-sti-milo/ ; https://athina984.gr/2026/08/18/mainontai-pyrkagies-se-didymoteicho-kai-kilkis-ypo-meriko-elegcho-stin-karysto-eyvoias/ ; https://www.protothema.gr/greece/article/1866460/fotia-tora-ston-profiti-ilia-stin-milo-sikothikan-5-enaeria/ ; https://cyclades24.gr/2026/08/milos-oriothetithike-i-fotia-ston-profiti-ilia-ischyri-kinitopoiisi-apo-aeros/</t>
  </si>
  <si>
    <t>Χαμηλή βλάστηση. 5 εναέρια συνολικά (4 αεροσκάφη + 1 ελικόπτερο). Οριοθετήθηκε λίγο μετά τις 19:30. Δεν απειλήθηκαν κατοικίες. | Χαμηλή βλάστηση· 5 εναέρια μέσα συνολικά (4 α/φ + 1 ε/π) | Μεγάλη εναέρια υποστήριξη σχετικά με μικρή επίγεια δύναμη — νησιωτική δυσκολία πρόσβασης</t>
  </si>
  <si>
    <t>Ρωγοί, Καλάβρυτα</t>
  </si>
  <si>
    <t>Καλάβρυτα</t>
  </si>
  <si>
    <t>https://www.protothema.gr/greece/article/1866465/fotia-se-dasiki-ektasi-stous-rogous-kalavruton-sikothike-ena-elikoptero/ ; https://www.tanea.gr/2026/08/18/greece/pyrkagia-se-dasiki-ektasi-sta-kalavryta-en-meso-keraynon/ ; https://www.naftemporiki.gr/society/2151239/fotia-tora-stoys-rogoys-kalavryton/ ; https://www.emakedonia.gr/kalavryta-fotia-apo-kerayno-se-dasiki-ektasi-stoys-rogoys-822296 ; https://www.newsbomb.gr/ellada/story/1757295/pyrkagia-sta-kalavryta-kaiei-se-dasiki-ektasi-provlima-oi-keravnoi ; https://www.in.gr/2026/08/18/greece/foties-apo-keraynous-se-kalavryta-kai-arkadia/ ; https://www.madata.gr/epikairotita/social/972949-fotia-se-dasiki-ektasi-stoys-rogoys-kalavryton-kinitopoiisi-epigeion-kai-enaerion-dynameon.html ; https://www.thetoc.gr/koinwnia/article/foties-se-kalabruta-kai-arkadia---entoni-kerauniki-drastiriotita-stin-perioxi/ ; https://www.skai.gr/news/greece/kalavryta-pyrkagia-stous-rogous-epixeiroun-pyrosvestes-kai-elikoptero ; https://athina984.gr/2026/08/18/mainontai-pyrkagies-se-didymoteicho-kai-kilkis-ypo-meriko-elegcho-stin-karysto-eyvoias/ ; https://www.zougla.gr/greece/fotia-apo-keravno-stous-rogous-kalavryton/ ; https://www.kalavrytanews.com/2026/08/blog-post_412.html ; https://dytikanea.gr/epiasan-ti-fotia-sta-kalavryta/</t>
  </si>
  <si>
    <t>Έντονη κεραυνική δραστηριότητα στην περιοχή με κίνδυνο νέων εστιών. | Πρόκληση από κεραυνό. Έντονη κεραυνική δραστηριότητα στην περιοχή αύξανε κίνδυνο νέων εστιών. | Ιδιαίτερη προσοχή λόγω έντονης κεραυνικής δραστηριότητας στην περιοχή | Εκδηλώθηκε εν μέσω κεραυνικής δραστηριότητας στην περιοχή | Κεραυνική δραστηριότητα στην περιοχή</t>
  </si>
  <si>
    <t>Αϊβαλιώτικα Βόλου</t>
  </si>
  <si>
    <t>Βόλος</t>
  </si>
  <si>
    <t>υπό διερεύνηση (Κλιμάκιο Εμπρησμού Μαγνησίας)</t>
  </si>
  <si>
    <t>112 18:11: ετοιμότητα — «Πυρκαγιά στην περιοχή Νέες Παγασές, ΠΕ Μαγνησίας. Παραμείνετε σε ετοιμότητα και ακολουθείτε τις οδηγίες των αρχών»</t>
  </si>
  <si>
    <t>https://www.lifevolos.gr/2026/08/18/pyrkagia-se-dasiki-ektasi-sta-aivaliotika-ichise-to-112/ ; https://www.newsit.gr/ellada/fotia-ston-volo-stin-perioxi-aivaliotika-ixise-to-112-parameinete-se-etoimotita/4753210/ ; https://www.thetoc.gr/koinwnia/article/fotia-sta-aibaliotika-bolou-epixeiroun-duo-elikoptera/ ; https://www.cnn.gr/ellada/story/548400/fotia-sta-aivaliotika-volou-ixise-to-112-gia-etoimotita ; https://www.skai.gr/news/greece/pyrkagia-se-dasiki-ektasi-sta-aivaliotika-volou-epixeiroun-2-elikoptera</t>
  </si>
  <si>
    <t>Ταυτόχρονες φωτιές και στις περιοχές Σωρός (~18:30) και Κεραίες Αλυκές (~20:00) της ίδιας ΠΕ· συνολικά 50 πυροσβ και 15 οχ στη Μαγνησία | Χωρίς ενεργό μέτωπο. Ταυτόχρονα ξέσπασαν πυρκαγιές σε Σωρό και Κερία Αλυκές Βόλου — συνολικά 3 μέτωπα στη Μαγνησία ίδια μέρα.</t>
  </si>
  <si>
    <t>Αϊβαλιώτικα — Σωρός — Κεραίες Αλυκές, Βόλος</t>
  </si>
  <si>
    <t>υπό διερεύνηση (ενεργοποιήθηκε Τμήμα Εγκληματολογικής Διερεύνησης Εμπρησμών Μαγνησίας)</t>
  </si>
  <si>
    <t>112 18:11: προειδοποίηση ετοιμότητας — «Πυρκαγιά στις Νέες Παγασές ΠΕ Μαγνησίας. Παραμείνετε σε ετοιμότητα και ακολουθείτε τις οδηγίες των Αρχών» | 18:11 προειδοποίηση ετοιμότητας για κατοίκους Νέων Παγασών Μαγνησίας | 112 18:11: μήνυμα ετοιμότητας για ευρύτερη περιοχή πυρκαγιάς | 18:11 ενημέρωση κατοίκων ευρύτερης περιοχής Αϊβαλιώτικων | 112 18:01 προειδοποίηση ετοιμότητας· 112 18:11 ενημέρωση κατοίκων Νέων Παγασών</t>
  </si>
  <si>
    <t>https://www.in.gr/2026/08/18/greece/fotia-se-dasiki-ektasi-sta-aivakiotika-ston-volo-minyma-apo-to-112/ ; https://www.cnn.gr/ellada/story/548400/fotia-sta-aivaliotika-volou-ixise-to-112-gia-etoimotita ; https://www.enikos.gr/society/volos-fotia-sta-aivaliotika-kaiei-dasiki-ektasi/2630681/ ; https://www.pineiosnews.gr/2026/08/18/dyo-ta-pyrina-metopa-ston-volo-foties-se-aivaliotika-kai-soro-112-gia-etoimotita-epicheiroun-5-enaeria/ ; https://www.protothema.gr/greece/article/1866431/fotia-tora-sta-aivaliotika-volou-sikothikan-2-elikoptera/ ; https://athina984.gr/2026/08/18/mainontai-pyrkagies-se-didymoteicho-kai-kilkis-ypo-meriko-elegcho-stin-karysto-eyvoias/ ; https://www.kontranews.gr/koinonia/fotia-ston-volo-enischythikan-oi-dynameis-stin-pyrkagia-sta-aivaliotika/ ; https://www.newsbomb.gr/ellada/story/1757279/volos-fotia-se-dasiki-ektasi-sta-aivaliotika-epixeiroyn-dyo-elikoptera ; https://www.tovima.gr/2026/08/18/society/fotia-tora-sta-aivakiotika-ston-volo-minyma-apo-to-112/ ; https://www.newsit.gr/ellada/fotia-ston-volo-stin-perioxi-aivaliotika-ixise-to-112-parameinete-se-etoimotita/4753210/ ; https://www.lifevolos.gr/2026/08/18/pyrkagia-se-dasiki-ektasi-sta-aivaliotika-ichise-to-112/ ; https://www.skai.gr/news/greece/pyrkagia-se-dasiki-ektasi-sta-aivaliotika-volou-epixeiroun-2-elikoptera ; https://www.lykavitos.gr/news/greece/pyrkagia-sta-aivaliotika-volou ; https://www.newsit.gr/ellada/fotia-ston-volo-tria-metopa-se-aivaliotika-nees-pagases-kai-kairies-alykes-minyma-tou-112-gia-etoimotita/4753210/ ; https://www.naftemporiki.gr/society/2151235/magnisia-kai-deyteri-pyrkagia/ ; https://www.documentonews.gr/article/megales-diastaseis-pairnei-i-fotia-ston-volo-defteri-estia-stin-periochi-tou-sorou/ ; https://www.thetoc.gr/koinwnia/article/fotia-sta-aibaliotika-bolou-epixeiroun-duo-elikoptera/ ; https://www.thetoc.gr/diethni/article/fotia-sta-aibaliotika-bolou-epixeiroun-duo-elikoptera/</t>
  </si>
  <si>
    <t>Τρία διαδοχικά μέτωπα: 1ο Αϊβαλιώτικα ~18:00, 2ο Σωρός ~18:30, 3ο Κεραίες Αλυκές ~20:00. Χωρίς ενεργό μέτωπο σύμφωνα με μεταγενέστερες αναφορές. | 3 ταυτόχρονα μέτωπα: Αϊβαλιώτικα (18:00), Σωρός (~18:30), Κεραίες Αλυκές (~20:00). Χωρίς ενεργό μέτωπο μετά τα μεσάνυχτα. | 2 επιπλέον ταυτόχρονα μέτωπα στη Μαγνησία: Σωρός/Νέες Παγασές και Καίριες Αλύκες· συνολικά 54 πυρσβέστες &amp; 16 οχήματα για τα 3 μέτωπα Βόλου | 3 μέτωπα στη Μαγνησία: Αϊβαλιώτικα (~18:00), Σωρός (λίγο αργότερα), Κεραίες Αλυκές (~20:00)· δυνάμεις αθροιστικά | 2ο μέτωπο (Σωρός) ~18:30· 3η εστία Κεράιες Αλυκές· καπνοί ορατοί από Βόλο</t>
  </si>
  <si>
    <t>18:15</t>
  </si>
  <si>
    <t>Προφήτης Ηλίας Σαλαμίνας</t>
  </si>
  <si>
    <t>υπό διερεύνηση (εμπρησμός — Ανακριτικό Κλιμάκιο Πειραιά)</t>
  </si>
  <si>
    <t>https://www.tanea.gr/2026/08/18/greece/oriothetithike-mesa-se-30-lepta-i-pyrkagia-ston-profiti-ilia-sti-salamina/ ; https://www.tanea.gr/2026/08/18/greece/nea-pyrkagia-sti-salamina-synagermos-stin-pyrosvestiki/ ; https://www.cnn.gr/ellada/story/548399/fotia-konta-ston-profiti-ilia-sti-salamina-sikothikan-dyo-elikoptera ; https://www.madata.gr/epikairotita/social/972938-pyrkagia-sti-salamina-ischyres-dynameis-epicheiroyn-konta-ston-profiti-ilia.html ; https://athina984.gr/2026/08/18/mainontai-pyrkagies-se-didymoteicho-kai-kilkis-ypo-meriko-elegcho-stin-karysto-eyvoias/ ; https://www.newsit.gr/ellada/fotia-stin-salamina-pragmatopoiountai-ripseis-nerou-apo-2-elikoptera/4753207/</t>
  </si>
  <si>
    <t>Νέα (ξεχωριστή) πυρκαγιά στη Σαλαμίνα, άσχετη με το συμβάν 16/8. Οριοθετήθηκε εντός 30 λεπτών. | Οριοθετήθηκε περίπου 30 λεπτά μετά την έναρξη (tanea.gr). Κυκλοφοριακές ρυθμίσεις στην οδό Ασκληπιού. Διόρθωση: αρχικά είχε καταγραφεί aircraft=2/helicopters=0 — ορθό aircraft=0/helicopters=2 σύμφωνα με CNN/todaypress. | Νέα ξεχωριστή πυρκαγιά, διακριτή από την κρίσιμη της 16/8. Οριοθετήθηκε σε ~30 λεπτά. | Νέο ξεχωριστό συμβάν στη Σαλαμίνα (2 ημέρες μετά την καταστροφική πυρκαγιά 16/8)· κατασβέστηκε εντός ~30 λεπτών | Νέα ξεχωριστή πυρκαγιά από εκείνη της 16/8· οριοθετήθηκε σε ~30 λεπτά | Διαφορετική εστία από την κρίσιμη πυρκαγιά 16/8· κατασβέστηκε εντός ~30 λεπτών</t>
  </si>
  <si>
    <t>Αγροτοδασική έκταση Θήβας</t>
  </si>
  <si>
    <t>Θήβα</t>
  </si>
  <si>
    <t>Δήμος Θηβαίων (υδροφόρες)</t>
  </si>
  <si>
    <t>υπό διερεύνηση (ανακριτικό κλιμάκιο εμπρησμού Φθιώτιδας)</t>
  </si>
  <si>
    <t>https://www.naftemporiki.gr/society/2151195/fotia-tora-sti-thiva/ ; https://www.eleftherostypos.gr/ellada/fotia-tora-se-agrotodasiki-ektasi-sti-thiva-epicheiroun-tria-enaeria-mesa ; https://www.dnews.gr/eidhseis/ellada/605283/fotia-tora-sti-thiva-se-ekseliksi-i-pyrkagia-stin-kerkyra ; https://athina984.gr/2026/08/18/mainontai-pyrkagies-se-didymoteicho-kai-kilkis-ypo-meriko-elegcho-stin-karysto-eyvoias/ ; https://www.topontiki.gr/2026/08/18/fotia-sti-thiva-sikothikan-enaeria-mesa/ ; https://www.newsit.gr/ellada/fotia-sti-thiva-sikothikan-2-aeroskafi-kai-1-elikoptero-vinteo/4753173/ ; https://www.in.gr/2026/08/18/greece/fotia-sti-thiva-sikothikan-2-aeroskafi-kai-1-elikoptero/ ; https://www.enikos.gr/society/fotia-se-agrotodasiki-ektasi-sti-thiva-sikothikan-enaeria/2630647/ ; https://www.tanea.gr/2026/08/18/greece/fotia-tora-sti-thiva-epixeiroun-epigeies-kai-enaeries-dynameis/ ; https://www.skai.gr/news/greece/pyrkagia-se-agrotodasiki-ektasi-sti-thiva-isxyri-kinitopoiisi-tis-pyrosvestikis</t>
  </si>
  <si>
    <t>Αγροτοδασική έκταση· αρχικά υπό μερικό έλεγχο, τελικά οριοθετήθηκε | Ανακριτικό Κλιμάκιο Αντιμετώπισης Εγκλημάτων Εμπρησμού Φθιώτιδας κινητοποιήθηκε για διερεύνηση αιτίας</t>
  </si>
  <si>
    <t>Θήβα, Βοιωτία</t>
  </si>
  <si>
    <t>υδροφόρες Δήμου Θηβαίων</t>
  </si>
  <si>
    <t>https://www.in.gr/2026/08/18/greece/fotia-sti-thiva-sikothikan-2-aeroskafi-kai-1-elikoptero/ ; https://www.enikos.gr/society/fotia-se-agrotodasiki-ektasi-sti-thiva-sikothikan-3-enaeria/2630647/ ; https://www.topontiki.gr/2026/08/18/fotia-sti-thiva-sikothikan-enaeria-mesa/ ; https://www.naftemporiki.gr/society/2151195/fotia-tora-sti-thiva/ ; https://www.tanea.gr/2026/08/18/greece/fotia-tora-sti-thiva-epixeiroun-epigeies-kai-enaeries-dynameis/ ; https://www.newsit.gr/ellada/fotia-sti-thiva-sikothikan-2-aeroskafi-kai-1-elikoptero-vinteo/4753173/ ; https://www.skai.gr/news/greece/pyrkagia-se-agrotodasiki-ektasi-sti-thiva-isxyri-kinitopoiisi-tis-pyrosvestikis</t>
  </si>
  <si>
    <t>Αγροτοδασική έκταση. | Νέο περιστατικό — δεν περιλαμβανόταν στο batch. Πυρκαγιά σε αγροτοδασική έκταση.</t>
  </si>
  <si>
    <t>Τεμπλόνι – Άγιος Γεώργιος</t>
  </si>
  <si>
    <t>Κεντρική Κέρκυρα</t>
  </si>
  <si>
    <t>1 ομάδα πεζοπόρων (15η ΕΜΟΔΕ)</t>
  </si>
  <si>
    <t>Υδροφόρες &amp; μηχανήματα Δήμου Κεντρικής Κέρκυρας</t>
  </si>
  <si>
    <t>Υπό διερεύνηση – Ανακριτικό Κλιμάκιο Εμπρησμών Κέρκυρας</t>
  </si>
  <si>
    <t>112 ~15:44: ενημέρωση κατοίκων ευρύτερης περιοχής</t>
  </si>
  <si>
    <t>https://www.ertnews.gr/eidiseis/ellada/pyrkagia-se-agrotodasiki-ektasi-sto-temploni-kerkyras/ ; https://www.tovima.gr/2026/08/18/society/fotia-tora-stin-kerkyra-epixeiroun-7-enaeria-mesa ; https://www.protothema.gr/greece/article/1862726/fotia-tora-se-dasos-ston-agio-georgio-kerkuras-kinitopoiisi-tis-purosvestikis/ ; https://www.in.gr/2026/08/18/greece/fotia-sto-temploni-stin-kerkyra-minyma-112/ ; https://www.ertnews.gr/perifereiakoi-stathmoi/kerkira/kerkyra-15-stremmata-ekapse-i-fotia-sto-temploni-megali-kinitopoiisi-tis-pyrosvestikis/</t>
  </si>
  <si>
    <t>7 εναέρια μέσα συνολικά</t>
  </si>
  <si>
    <t>Τεμπλόνι Κέρκυρας</t>
  </si>
  <si>
    <t>Κερκύρας</t>
  </si>
  <si>
    <t>1 ομάδα πεζοπόρων 15ης ΕΜΟΔΕ</t>
  </si>
  <si>
    <t>υδροφόρες και μηχανήματα Πολιτικής Προστασίας Δήμου Κεντρικής Κέρκυρας</t>
  </si>
  <si>
    <t>υπό διερεύνηση (Κλιμάκιο Εμπρησμού Κέρκυρας)</t>
  </si>
  <si>
    <t>112: προειδοποίηση ετοιμότητας για κατοίκους περιοχής (ακριβής ώρα άγνωστη) | ~16:00 προειδοποίηση ετοιμότητας για κατοίκους ευρύτερης περιοχής Τεμπλονίου Κέρκυρας | 112: μήνυμα ετοιμότητας για ευρύτερη περιοχή Τεμπλονίου | 112 ~15:44: ετοιμότητα για φωτιά στο Τεμπλόνι Κέρκυρας</t>
  </si>
  <si>
    <t>https://www.ertnews.gr/eidiseis/ellada/pyrkagia-se-agrotodasiki-ektasi-sto-temploni-kerkyras/ ; https://athina984.gr/2026/08/18/mainontai-pyrkagies-se-didymoteicho-kai-kilkis-ypo-meriko-elegcho-stin-karysto-eyvoias/ ; https://www.naftemporiki.gr/society/2151168/kerkyra-fotia-tora-sto-temploni/ ; https://www.newsbomb.gr/ellada/story/1757243/kerkyra-fotia-tora-sto-temploni-kaiei-se-agrotodasiki-ektasi ; https://www.newsit.gr/ellada/fotia-sto-temploni-kerkyras-minyma-112-sikothikan-7-enaeria-mesa/4753142/ ; https://www.vradini.gr/ellada/kerkyra-fotia-stin-perioxi-temploni-sikothikan-epta-enaeria-mesa-simane-to-112/1640414/ ; https://www.dnews.gr/eidhseis/ellada/605283/fotia-tora-sti-thiva-se-ekseliksi-i-pyrkagia-stin-kerkyra ; https://www.in.gr/2026/08/18/greece/fotia-sto-temploni-stin-kerkyra-minyma-112/ ; https://www.lifo.gr/now/greece/fotia-tora-stin-kerkyra-ihise-112-kinitopoiithikan-7-enaeria-mesa ; https://www.newsit.gr/ellada/fotia-stin-kerkyra-ypo-meriko-elegxo-i-pyrkagia-sto-temploni/4753142/ ; https://www.tanea.gr/2026/08/18/greece/ypo-elegxo-tethike-i-fotia-sto-temploni-tis-kerkyras/ ; https://www.ertnews.gr/eidiseis/ellada/oriothetithike-i-pyrkagia-se-agrotodasiki-ektasi-sto-temploni-kerkyras/ ; https://www.ertnews.gr/perifereiakoi-stathmoi/kerkira/kerkyra-15-stremmata-ekapse-i-fotia-sto-temploni-megali-kinitopoiisi-tis-pyrosvestikis/ ; https://www.news247.gr/ellada/fotia-sto-temploni-kerkiras-sti-maxi-kai-enaeria-mesa/</t>
  </si>
  <si>
    <t>Αγροτοδασική έκταση. Δήλωση επικεφαλής πυροσβεστικής Κέρκυρας Ν. Θεοδωράκη: «Περιορίσαμε τη φωτιά με εναέρια μέσα». | 7 εναέρια μέσα συνολικά (5 αεροσκάφη + 2 ελικόπτερα). Χαρακτηρίστηκε «υπό έλεγχο» πυρόσβεσης ~17:50. | 7 εναέρια μέσα (breakdown α/φ vs ε/π άγνωστο)· δασική έκταση | 15 στρέμματα αγροτοδασικής έκτασης· κοντά σε εγκατάσταση διαχείρισης αποβλήτων | 7 εναέρια μέσα συνολικά· οριοθέτηση επιβεβαιώθηκε στις 17:50</t>
  </si>
  <si>
    <t>Βαπτιστής, Κιλκίς</t>
  </si>
  <si>
    <t>υπό διερεύνηση (Τμήμα Εγκληματολογικής Διερεύνησης Εμπρησμών)</t>
  </si>
  <si>
    <t>https://www.ertnews.gr/ert3/oriothetithike-i-fotia-pou-ksespase-ston-vaptisti-kilkis/ ; https://athina984.gr/2026/08/18/mainontai-pyrkagies-se-didymoteicho-kai-kilkis-ypo-meriko-elegcho-stin-karysto-eyvoias/ ; https://www.naftemporiki.gr/society/2151185/kilkis-oriothetithike-i-pyrkagia-stin-periochi-vaptistis/ ; https://www.emakedonia.gr/kilkis-fotia-se-exelixi-sti-machi-me-tis-floges-kai-15-moldavoi-pyrosvestes ; https://pelop.gr/kilkis-fotia-epicheiroun-tria-aeroskafi-28-pyrosvestes-ethelontes-kai-9-ochimata/ ; https://www.eidisis.gr/topika-nea-toy-n-kilkis/fotia-ekso-apo-ton-baptisti-kilkis-tethike-amesa-ypo-elegxo.html</t>
  </si>
  <si>
    <t>Χορτολιβαδική έκταση. Άμεση αντιμετώπιση. | Χορτολιβαδική έκταση. Γρήγορη οριοθέτηση. | 15 Μολδαβοί πυροσβέστες συμμετείχαν | Εθελοντές συμμετείχαν επιπλέον των 28 πυροσβεστών. Τέθηκε άμεσα υπό έλεγχο σε χαμηλή βλάστηση 14 χλμ δυτικά της πόλης Κιλκίς.</t>
  </si>
  <si>
    <t>Κόμαρα Διδυμοτείχου</t>
  </si>
  <si>
    <t>Διδυμότειχο</t>
  </si>
  <si>
    <t>1 (7η ΕΜΟΔΕ)</t>
  </si>
  <si>
    <t>Δημοτικά μηχανήματα</t>
  </si>
  <si>
    <t>υπό διερεύνηση (Κλιμάκιο Εμπρησμού Έβρου)</t>
  </si>
  <si>
    <t>https://www.tanea.gr/2026/08/18/greece/fotia-se-agrotodasiki-ektasi-sta-komara-evrou/ ; https://www.madata.gr/epikairotita/social/972919-pyrkagia-sta-komara-didymoteichoy-kai-ypo-meriko-elegcho-ekeini-sto-komito-karystoy.html ; https://www.ertnews.gr/perifereiakoi-stathmoi/orestiada/pyrkagia-sto-didymoteixo-sto-simeio-i-pyrosvestiki/ ; https://www.policenet.gr/article/ebros-pyrkagia-se-agrotodasiki-ektasi-sta-komara-didymoteihoy ; https://www.zougla.gr/greece/fotia-sta-komara-didymoteichou/ ; https://www.enikos.gr/society/fotia-ston-evro-kaiei-se-agrotodasiki-ektasi/2630563/ ; https://www.in.gr/2026/08/18/greece/pyrkagia-sta-komara-evrou-kaiei-agrotodasiki-ektasi/ ; https://www.madata.gr/epikairotita/social/972908-fotia-sta-komara-evroy-kinitopoiisi-dynameon-me-enaeria-kai-epigeia-mesa.html ; https://www.ereportaz.gr/evros-fotia-se-agrotodasiki-ektasi-sta-komara-sikothike-elikoptero/ ; https://www.capital.gr/epikairotita/4011249/ebros-purkagia-se-agrotodasiki-ektasi/ ; https://www.evros24.gr/fotia-ston-evro-se-exelixi-epicheirisi/ ; https://www.topontiki.gr/2026/08/18/fotia-tora-sta-komara-evrou-sikothike-elikoptero/ ; https://www.thestival.gr/eidiseis/astynomika/evros-choris-energo-metopo-i-fotia-sta-k/</t>
  </si>
  <si>
    <t>~4 στρέμματα (~0,4 ha) αγροτοδασικής έκτασης. Σε εξέλιξη κατά τη στιγμή δημοσίευσης. | ~4 ha καμένη αγροτοδασική έκταση (βελανιδιές και καλλιέργειες) | ΝΕΑΕΓΓΡΑΦΗ. Αγροτοδασική έκταση ανάμεσα σε Κόμαρα και Πεντάλοφο Διδυμοτείχου. Εκτιμώμενη καμένη έκταση ~4 ha κατά προσέγγιση (δεν επαληθεύτηκε από άρθρο). | Αναφέρεται ως «χωρίς ενεργό μέτωπο» (topontiki.gr). 1 ομάδα πεζοπόρων 7ης ΕΜΟΔΕ. Ώρα κατάσβεσης δεν εντοπίστηκε σε πηγές. | ΔΙΟΡΘΩΣΗ: 4 στρέμματα = 0.4 ha (αρχική καταγραφή 4 ha ήταν λανθασμένη — δεν έγινε μετατροπή). Χωρίς ενεργό μέτωπο βραχύ χρόνο μετά την εκδήλωση.</t>
  </si>
  <si>
    <t>υπό διερεύνηση (Ανακριτικό Κλιμάκιο Εύβοιας)</t>
  </si>
  <si>
    <t>https://www.in.gr/2026/08/18/greece/pyrkagia-se-dasiki-ektasi-ston-komito-karystou-epixeiroun-pente-enaeria/ ; https://athina984.gr/2026/08/18/mainontai-pyrkagies-se-didymoteicho-kai-kilkis-ypo-meriko-elegcho-stin-karysto-eyvoias/ ; https://www.newsit.gr/ellada/fotia-sto-komito-karystou-enisxythikan-oi-dynameis-tis-pyrosvestikis/4753058/amp/ ; https://www.cnn.gr/ellada/story/548347/fotia-sto-komito-karystou-sikothikan-kai-tessera-aeroskafi ; https://www.newsbomb.gr/ellada/story/1757224/karystos-fotia-tora-sto-komito---sikothikan-5-enaeria-mesa ; https://www.ertnews.gr/eidiseis/ellada/pyrkagia-se-dasiki-ektasi-sto-komito-karystou/ ; https://www.madata.gr/epikairotita/social/972919-pyrkagia-sta-komara-didymoteichoy-kai-ypo-meriko-elegcho-ekeini-sto-komito-karystoy.html ; https://www.lamiareport.gr/topika/topikanea/item/fotia-tora-sto-komito-eyvoias/ ; https://www.tovima.gr/2026/08/18/society/fotia-stin-karysto-ypo-meriko-elegxo-to-metopo-sto-komito/</t>
  </si>
  <si>
    <t>5 εναέρια μέσα συνολικά (4 αεροσκάφη + 1 ελικόπτερο). | 5 εναέρια μέσα συνολικά (4 α/φ + 1 ε/π) | 5 εναέρια μέσα (4 α/φ + 1 ελικ.) | Δασική έκταση· 5 εναέρια μέσα συνολικά | 1 ομάδα πεζοπόρων 20ης ΕΜΟΔΕ. Χρησιμοποιήθηκαν και υδροφόρες ΟΤΑ. Δεν απειλήθηκαν κατοικίες. | Εκδηλώθηκε σε δασική έκταση Κόμιτο Καρύστου · αρχικά επιχείρησαν 5 εναέρια (Newsbomb), ενισχύθηκαν στη συνέχεια · υπό μερικό έλεγχο σύμφωνα με πηγές</t>
  </si>
  <si>
    <t>Παλαιοχώρι</t>
  </si>
  <si>
    <t>εθελοντές Δήμου Αριστοτέλη</t>
  </si>
  <si>
    <t>υπό διερεύνηση (εμπρησμός — ενεργοποιήθηκε Ανακριτικό Κλιμάκιο)</t>
  </si>
  <si>
    <t>https://www.emakedonia.gr/chalkidiki-oriothetithike-i-pirkaghia-sto-palaiochori ; https://www.rthess.gr/ellada/synagermos-gia-fotia-sto-palaiochori-chalkidikis-sti-machi-41-pyrosvestes/ ; https://www.newsbomb.gr/ellada/story/1757011/fotia-tora-sti-xalkidiki---isxyres-pyrosvestikes-dynameis-sto-simeio ; https://www.thestival.gr/eidiseis/astynomika/chalkidiki-oriothetithike-i-pyrkagia-se/ ; https://www.documentonews.gr/article/chalkidiki-oriothetithike-i-fotia-sto-palaiochori/ ; https://www.iefimerida.gr/ellada/halkidiki-fotia-se-agrotodasiki-ektasi-sto-palaiohori ; https://www.inewsgr.com/362/chalkidiki-oriothetithike-i-pyrkagia-se-agrotodasiki-ektasi-sto-palaiochori.htm ; https://www.googlareis.gr/taxis-kai-ithiki/ypo-elegcho-i-fotia-sti-chalkidiki-vid/</t>
  </si>
  <si>
    <t>Αγροτοδασική έκταση. Δεν απειλεί κατοικημένη περιοχή. Ερευνητική ομάδα για αίτιο. | Αγροτοδασική (όχι αμιγώς δασική) έκταση. Συμμετείχαν εθελοντές και υδροφόρες Δήμου Αριστοτέλη. Ανακριτικό Κλιμάκιο Εμπρησμού Χαλκιδικής.</t>
  </si>
  <si>
    <t>Βαπτιστής – Κυριακαίϊκη</t>
  </si>
  <si>
    <t>2 ομάδες πεζοπόρων (10η ΕΜΟΔΕ)</t>
  </si>
  <si>
    <t>https://athina984.gr/2026/08/18/mainontai-pyrkagies-se-didymoteicho-kai-kilkis-ypo-meriko-elegcho-stin-karysto-eyvoias/ ; https://www.ertnews.gr/perifereiakoi-stathmoi/orestiada/pyrkagia-sto-didymoteixo-sto-simeio-i-pyrosvestiki/</t>
  </si>
  <si>
    <t>Χαμηλή ξερή βλάστηση</t>
  </si>
  <si>
    <t>Πυρκαγιά Ξηρόβρυσσας Κιλκίς</t>
  </si>
  <si>
    <t>αμέλεια (συνελήφθη 42χρονος — πρόκληση πυρκαγιάς κατά τη διαδικασία θεριστικών εργασιών)</t>
  </si>
  <si>
    <t>https://www.skai.gr/news/greece/kilkis-mia-syllipsi-gia-proklisi-pyrkagias-apo-ameleia ; https://www.thestival.gr/eidiseis/astynomika/kilkis-fotia-stin-xirovrysi-megali-ki/ ; https://newpost.gr/eidiseis/kilkis-ypo-elegcho-i-fotia-stin-xirovrysi-epicheirisan-epigeies-kai-enaeries-dynameis/</t>
  </si>
  <si>
    <t>120 στρ. συνολικά: 10 στρ. αγροτικής + 110 στρ. δασικής έκτασης. Σύλληψη με αυτόφωρη διαδικασία κατ' εντολή εισαγγελέα. Διαφορετική πυρκαγιά από το γειτονικό Βαπτιστής της ίδιας ημέρας. | Μεταξύ των 45 πυροσβεστών, 15 Μολδαβοί πυροσβέστες με 3 οχήματα. Συνδρομή δεξαμενοφόρων Δήμου Κιλκίς.</t>
  </si>
  <si>
    <t>Πυρκαγιά δασικής έκτασης Αρκαδίας</t>
  </si>
  <si>
    <t>https://www.tanea.gr/2026/08/18/greece/pyrkagia-se-dasiki-ektasi-stin-arkadia/</t>
  </si>
  <si>
    <t>21:30</t>
  </si>
  <si>
    <t>Καρπενήσι, Ευρυτανία</t>
  </si>
  <si>
    <t>Καρπενησίου</t>
  </si>
  <si>
    <t>1 ομάδα πεζοπόρων (4η ΕΜΟΔΕ)</t>
  </si>
  <si>
    <t>https://www.naftemporiki.gr/society/2150990/fotia-tora-se-dasiki-ektasi-sto-karpenisi/ ; https://www.lamiakos-typos.gr/ellada-eidiseis/oriothetithike-i-pyrkagia-se-dasiki-ektasi-sto-karpenisi-0 ; https://www.ilamia.gr/2026/08/18/karpenisi-oriothetithike-i-pyrkagia-se-dasiki-ektasi/ ; https://workenter.gr/karpenisi-oriothetithike-i-fotia-se-dasiki-ektasi-sto-lagoxylo-988021 ; https://www.newsbomb.gr/ellada/story/1757128/nyxterini-pyrkagia-se-dasos-tou-karpenisiou ; https://www.dikastiko.gr/eidhsh/oriothetithike-i-pyrkagia-se-dasiki-ektasi-sto-karpenisi/</t>
  </si>
  <si>
    <t>Δασική πυρκαγιά 17/8 στην ευρύτερη περιοχή Καρπενησίου | Δασική έκταση. Ελάχιστες λεπτομέρειες διαθέσιμες. | Ίδιο συμβάν με Λαγόξυδο Δήμου Καρπενησίου Προυσού (17/8, 21:30). Ανακριτικό Κλιμάκιο Εμπρησμού Φθιώτιδας κινητοποιήθηκε. | θέση έναρξης: Λαγόξυλο | Ακριβής τοποθεσία: θέση Λαγόξυλο (workenter.gr/ilamia.gr). Εντοπίστηκε από κατοίκους. Οριοθετήθηκε πρωί 18/8 (ώρα αδιευκρίνιστη).</t>
  </si>
  <si>
    <t>Λαγόξυδο</t>
  </si>
  <si>
    <t>Καρπενήσι — Δήμος Καρπενησίου Προυσός</t>
  </si>
  <si>
    <t>https://www.tanea.gr/2026/08/17/greece/pyrkagia-se-dasiki-ektasi-sto-lagoksydo-tou-dimou-karpenisiou-prousou ; https://www.lamiakos-typos.gr/ellada-eidiseis/oriothetithike-i-pyrkagia-se-dasiki-ektasi-sto-karpenisi-0 ; https://www.news24world.com/fotia-sto-karpenisi-stis-floges-dasiki-ektasi-sto-lagoxylo-sto-simeio-kai-klimakio-gia-ta-aitia/ ; https://www.newsit.gr/ellada/fotia-sto-karpenisi-se-dasiki-ektasi-isxyres-dynameis-sto-simeio/4752800/</t>
  </si>
  <si>
    <t>Δασική έκταση στην κοινότητα Λαγόξυδου του Δήμου Καρπενησίου Προυσού. Λιγοστές διαθέσιμες λεπτομέρειες. | Ανακριτικό Κλιμάκιο Αντιμετώπισης Εγκλημάτων Εμπρησμού Φθιώτιδας κινητοποιήθηκε για διερεύνηση αιτίας</t>
  </si>
  <si>
    <t>Πάστρα</t>
  </si>
  <si>
    <t>Κεφαλλονιάς</t>
  </si>
  <si>
    <t>Κεφαλονιά</t>
  </si>
  <si>
    <t>2 ομάδες πεζοπόρων 16ης ΕΜΟΔΕ</t>
  </si>
  <si>
    <t>https://www.tanea.gr/2026/08/17/greece/kefalonia-pyrkagia-se-dasiki-ektasi-stin-pastra-megali-kinitopoiisi-tis-pyrosvestikis/ ; https://www.in.gr/2026/08/17/greece/fotia-se-dasiki-ektasi-stin-pastra-kefalonias-sikothikan-4-enaeria-mesa/ ; https://www.newsit.gr/ellada/fotia-stin-pastra-kefalonias-sikothikan-4-enaeria-mesa/4752609/ ; https://www.news247.gr/ellada/kefalonia-fotia-stin-pastra-isxires-pirosvestikes-dinameis-sto-simeio/ ; https://www.news.gr/ellada/article/4196733/xespase-fotia-stin-periochi-pastra-tis-kefalonias.html</t>
  </si>
  <si>
    <t>4 εναέρια μέσα συνολικά (2 αεροσκάφη + 2 ελικόπτερα)· δασική έκταση | Δύο ομάδες πεζοπόρων τμημάτων 16ης ΕΜΟΔΕ. Υδροφόρες τοπικής αυτοδιοίκησης συμμετείχαν. Η ίδια περιοχή είχε καεί στις αρχές Αυγούστου 2026 (νέα εστία στον ίδιο τόπο).</t>
  </si>
  <si>
    <t>2026-08-17</t>
  </si>
  <si>
    <t>Πάστρα, Κεφαλονιά</t>
  </si>
  <si>
    <t>Κεφαλληνίας</t>
  </si>
  <si>
    <t>Κεφαλονιάς</t>
  </si>
  <si>
    <t>2 ομάδες πεζοπόρων (16η ΕΜΟΔΕ)</t>
  </si>
  <si>
    <t>Υδροφόρες τοπικής αυτοδιοίκησης</t>
  </si>
  <si>
    <t>υπό διερεύνηση (Ανακριτικό Κλιμάκιο Κέρκυρας)</t>
  </si>
  <si>
    <t>112 ετοιμότητα (ώρα μη διαθέσιμη) | εκκένωση οικισμών (επιβεβαιωμένο· ώρα/ακριβείς περιοχές μη διευκρινισμένες από τις πηγές)</t>
  </si>
  <si>
    <t>https://www.naftemporiki.gr/society/2150936/fotia-tora-stin-kefalonia-2/ ; https://www.in.gr/2026/08/17/greece/fotia-se-dasiki-ektasi-stin-pastra-kefalonias-sikothikan-4-enaeria-mesa/ ; https://www.skai.gr/news/greece/kefalonia-pyrkagia-se-dasiki-ektasi-stin-pastra-megali-kinitopoiisi-tis-pyrosvestikis ; https://www.enikos.gr/society/kefalonia-choris-energo-metopo-i-fotia-stin-periochi-pastra/2623845/ ; https://www.thetoc.gr/koinwnia/article/fotia-stin-pastra-kefalonias-minuma-tou-112-gia-etoimotita/ ; https://www.tanea.gr/2026/08/17/greece/kefalonia-pyrkagia-se-dasiki-ektasi-stin-pastra-megali-kinitopoiisi-tis-pyrosvestikis/ ; https://www.news247.gr/ellada/kefalonia-fotia-stin-pastra-isxires-pirosvestikes-dinameis-sto-simeio/ ; https://www.newsbomb.gr/ellada/story/1757074/pyrkagia-stin-kefalonia-kaiei-se-dasiki-ektasi-epixeiroyn-4-enaeria ; https://www.thetoc.gr/koinwnia/article/fotia-stin-kefalonia-olonuxtia-maxi-me-tis-floges-stin-pastra---ixise-to-112-gia-ekkenoseis/ ; https://www.topontiki.gr/2026/08/17/kefalonia-fotia-stin-periochi-pastra-epichiroun-ke-enaeria-mesa/ ; https://www.documentonews.gr/article/fotia-tora-stin-pastra-kefalonias-sikothikan-enaeria-mesa/ ; https://www.thetoc.gr/koinwnia/article/fotia-stin-kefalonia-nea-estia-stin-pastra---i-perioxi-eixe-kaei-stis-arxes-augoustou/</t>
  </si>
  <si>
    <t>Νέα εστία στην Πάστρα που είχε καεί σε αρχές Αυγούστου 2026 (μεγάλη πυρκαγιά 1-2/8)· χωρίς ενεργό μέτωπο στις 18/8 | Η περιοχή είχε καεί στις αρχές Αυγούστου 2026. Νέα εστία στο ίδιο τόξο. | Ολονύχτια μάχη με φλόγες. Ζημιές σε υποδομές ΔΕΗ. Χωρίς ενεργό μέτωπο το βράδυ. | Μεγάλη κινητοποίηση Πυροσβεστικής· αρχικά 4 εναέρια αναφέρθηκαν, τελικά 2 α/φ + 2 ε/π | Νέα εστία σε δάσος που είχε καεί 1-2/8/2026· danger_level κενό (χάρτης 17/8 δεν αναλύθηκε) | Κορύφωση επιχείρησης: 70 πυροσβέστες με 3 ομάδες πεζοπόρων 19ης ΕΜΟΔΕ και εθελοντές. ~300 κάτοικοι εκκενώθηκαν μέσω 112 (Κρεμμύδι, Μαρκόπουλο, Κατελειό, Μαυράτα). Κατεστράφησαν 18 κολώνες ΔΕΗ — εκτεταμένες διακοπές ρεύματος. Κατοικίες στα Μαυράτα σώθηκαν την τελευταία στιγμή.</t>
  </si>
  <si>
    <t>19:57</t>
  </si>
  <si>
    <t>Πηγαδάκια, Αρκαδία</t>
  </si>
  <si>
    <t>Τρίπολη</t>
  </si>
  <si>
    <t>υδροφόρες Δήμου Τρίπολης</t>
  </si>
  <si>
    <t>υπό διερεύνηση (Ανακριτικό Κλιμάκιο Τρίπολης)</t>
  </si>
  <si>
    <t>https://www.tanea.gr/2026/08/17/greece/arkadia-fotia-sta-pigadakia-sti-maxi-25-pyrosvestes-kai-dyo-aeroskafi/ ; https://www.inewsgr.com/93/fotia-sta-pigadakia-arkadias-megali-epicheirisi-tis-pyrosvestikis.htm ; https://www.protothema.gr/greece/article/1866009/oriothetithike-purkagia-sta-pigadakia-tis-arkadias-se-exelixi-i-katasvesi/ ; https://www.newsbomb.gr/ellada/story/1757092/fotia-stin-arkadia-sikothikan-enaeria-mesa ; https://www.skai.gr/news/greece/pyrkagia-se-xamili-vlastisi-sta-pigadakia-arkadias ; https://www.cnn.gr/ellada/story/548284/oriothetithike-i-pyrkagia-se-xamili-vlastisi-sta-pigadakia-arkadias ; https://www.naftemporiki.gr/society/2150946/fotia-tora-sta-pigadakia-arkadias/</t>
  </si>
  <si>
    <t>Χαμηλή βλάστηση | Χαμηλή βλάστηση μεταξύ Πηγαδακίων και Βούρβουρας, δύσβατη περιοχή. Ομάδα πεζοπόρων 9ης ΕΜΟΔΕ. Υδροφόρες Δήμου Τρίπολης. Παρακολούθηση drone ΕΣΚΕΔΙΚ (θερμική+οπτική). Ανακριτικό Κλιμάκιο Τρίπολης. Ταυτόχρονη φωτιά σε αγροτική έκταση Τεγέας αντιμετωπίστηκε άμεσα. | Πυρκαγιά σε χαμηλή βλάστηση. | 1 ομάδα πεζοπόρων 9ης ΕΜΟΔΕ. Πυρκαγιά σε χαμηλή βλάστηση. Καμένη έκταση δεν εντοπίστηκε σε πηγές.</t>
  </si>
  <si>
    <t>Δαλαμανάρα, Αργολίδα</t>
  </si>
  <si>
    <t>Αργολίδας</t>
  </si>
  <si>
    <t>http://www.argonafplia.gr/2026/08/blog-post_94.html ; https://argolika.gr/2026/08/17/fotia-sthn-perioxh-dalamanaras-argolidas/</t>
  </si>
  <si>
    <t>Χορτολιβαδική έκταση δίπλα σε αγροτεμάχιο με εσπεριδοειδή. ~2 στρέμματα καμένα. Άμεση επέμβαση Πυροσβεστικής Αργους.</t>
  </si>
  <si>
    <t>2026-08-18</t>
  </si>
  <si>
    <t>Άγραφα, Ευρυτανία</t>
  </si>
  <si>
    <t>υπό διερεύνηση (Ανακριτικό Κλιμάκιο Εμπρησμού)</t>
  </si>
  <si>
    <t>https://www.naftemporiki.gr/society/2150870/fotia-tora-sta-agrafa-eyrytanias/ ; https://www.skai.gr/news/greece/pyrkagia-se-dasiki-ektasi-sta-agrafa-eyrytanias ; https://www.iefimerida.gr/ellada/fotia-se-dasiki-ektasi-sta-agrafa-eyrytanias ; https://messolonghivoice.gr/fotia-se-dasiki-ektasi-sta-agrafa-epicheiroun-26-pyrosvestes-kai-dyo-aeroskafi ; https://www.enikos.gr/society/fotia-sta-agrafa-evrytanias-sikothikan-dyo-aeroskafi/2630129/ ; https://www.thetoc.gr/koinwnia/article/fotia-tora-se-dasiki-ektasi-sta-agrafa---epixeiroun-duo-aeroskafi/ ; https://www.tovima.gr/2026/08/17/society/fotia-tora-sta-agrafa-sikothikan-dyo-aeroskafi ; https://evrytanika.gr/%CF%84%CF%89%CF%81%CE%B1-%CF%86%CF%89%CF%84%CE%B9%CE%AC-%CF%83%CF%84%CE%B1-%CE%AC%CE%B3%CF%81%CE%B1%CF%86%CE%B1-%CE%B5%CF%80%CE%B9%CF%87%CE%B5%CE%B9%CF%81%CE%BF%CF%8D%CE%BD-26-%CF%80%CF%85%CF%81/</t>
  </si>
  <si>
    <t>Δασική έκταση· καμένη έκταση δεν ανακοινώθηκε | Αρχική κινητοποίηση ~15:00 (26 πυροσβέστες, 6 οχήματα, 2 αεροσκάφη, ομάδα 4ης ΕΜΟΔΕ). Σε νεότερη ανακοίνωση Πυροσβεστικής (18:03): μετά από αεροπορική και επίγεια έρευνα δεν εντοπίστηκε ενεργό περιστατικό πυρκαγιάς. Κινητοποιήθηκε Ανακριτικό Κλιμάκιο Αιτωλοακαρνανίας. | Δασική πυρκαγιά απόγευμα 17/8· αεροπυρόσβεση με 2 αεροσκάφη | Έρευνα επί τόπου δεν εντόπισε ενεργό μέτωπο μετά την κινητοποίηση (evrytanika.gr). Δεν χαρακτηρίστηκε ανησυχητικό.</t>
  </si>
  <si>
    <t>Αργιθέα, Σπάτα (μεταξύ Σπάτων-Αρτέμιδος και Κρωπίας)</t>
  </si>
  <si>
    <t>Σπάτων-Αρτέμιδος</t>
  </si>
  <si>
    <t>υπό διερεύνηση (Δ/νση Εγκληματολογικών Εφαρμογών Ανατολικής Αττικής)</t>
  </si>
  <si>
    <t>112 ετοιμότητα (ώρα μη διαθέσιμη) | ναι (12:12)</t>
  </si>
  <si>
    <t>https://www.neolaia.gr/2026/08/17/fotia-tora-sta-spata-ischyri-dynami-kai-pente-enaeria-sti-machi-me-tis-floges-112-gia-etoimotita/ ; https://www.thetoc.gr/koinwnia/article/fotia-stin-argithea-koropiou-ixise-to-112-gia-etoimotita---epixeiroun-pente-enaeria-mesa/ ; https://www.theguardian.com/world/live/2026/aug/17/europe-wildfires-france-greece-belgium-germany-climate-crisis-drought-extreme-heat-latest-news-updates ; https://www.cnn.gr/ellada/story/548202/synagermos-gia-fotia-se-xamili-vlastisi-stin-argithea-sta-spata-epixeiroyn-isxyres-dynameis ; https://www.documentonews.gr/article/koropi-choris-energo-metopo-i-fotia-stin-argithea/ ; https://www.skai.gr/news/greece/pyrkagia-se-xamili-vlastisi-stin-argithea-koropiou ; https://www.emakedonia.gr/attiki-choris-energho-metopo-mesa-se-30-lepta-i-fotia-sta-spata ; https://www.ertnews.gr/eidiseis/xoris-energo-metopo-i-fotia-stin-argithea-spaton/ ; https://www.vradini.gr/ellada/fotia-tora-stin-argithea-koropioy-ixise-to-112/1638754/</t>
  </si>
  <si>
    <t>Γρήγορα περιορίστηκε χωρίς σημαντική διάδοση· αναφέρεται και ως «Κορωπί Αργιθέα» από ορισμένες πηγές (ίδιο συμβάν) | Γρήγορα περιορίστηκε, αποτράπηκε σημαντική εξάπλωση· αναφέρθηκε μαζί με πυρκαγιά Αργιθέας Κορωπίου την ίδια ημέρα | 3 ομάδες πεζοπόρων 1ης ΕΜΟΔΕ. Χωρίς ενεργό μέτωπο εντός ~30 λεπτών από έναρξη. Πυρκαγιά σε χαμηλή βλάστηση. Καμένη έκταση δεν επιβεβαιώθηκε από πηγές. | Αντιμετωπίστηκε ταχέως· χωρίς περαιτέρω λεπτομέρειες στην πηγή | Χωρίς ενεργό μέτωπο εντός ~30 λεπτών από έναρξη (πηγή: Βραδυνή). Η αεροπυρόσβεση ήταν αποφασιστική: αεροσκάφη σε περιπολία έριξαν νερό ~15' μετά τον συναγερμό, πριν φτάσουν οι επίγειες δυνάμεις.</t>
  </si>
  <si>
    <t>14:05</t>
  </si>
  <si>
    <t>Παλαιοχώρι, Χαλκιδική</t>
  </si>
  <si>
    <t>Σιθωνίας</t>
  </si>
  <si>
    <t>υπό διερεύνηση (Ανακριτικό Κλιμάκιο Αντιμετώπισης Εγκλημάτων Εμπρησμού Χαλκιδικής)</t>
  </si>
  <si>
    <t>https://www.naftemporiki.gr/society/2150822/fotia-tora-sto-palaiochori-chalkidikis/ ; https://www.newsbomb.gr/ellada/story/1757011/fotia-tora-sti-xalkidiki---isxyres-pyrosvestikes-dynameis-sto-simeio ; https://www.iefimerida.gr/ellada/halkidiki-fotia-se-agrotodasiki-ektasi-sto-palaiohori ; https://www.halkidikipost.gr/2026/08/ypo-elegcho-i-pyrkagia-sto-palaiochori-chalkidikis-amesi-i-kinitopoiisi-tis-pyrosvestikis/ ; https://www.real.gr/koinonia/arthro/chalkidiki-pyrkagia-se-agrotodasiki-ektasi-sto-palaiochori-dimou-aristoteli-904240/ ; https://www.newsit.gr/ellada/fotia-sti-xalkidiki-kaiei-se-agrotodasiki-ektasi-sto-palaioxori/4752438/ ; https://www.skai.gr/news/greece/nea-fotia-sti-xalkidiki-se-agrotodasiki-ektasi-sto-palaioxori ; https://www.rthess.gr/ellada/synagermos-gia-fotia-sto-palaiochori-chalkidikis-sti-machi-41-pyrosvestes/</t>
  </si>
  <si>
    <t>Πύρινο μέτωπο οριοθετήθηκε στις 14:05 κατά την επίσημη ενημέρωση Πυροσβεστικής | Ανακριτικό Κλιμάκιο Αντιμετώπισης Εγκλημάτων Εμπρησμού κινητοποιήθηκε για τα αίτια· καμένη έκταση δεν επιβεβαιώθηκε αριθμητικά | Πυρκαγιά σε αγροτοδασική έκταση. Δεν αποτέλεσε απειλή για κατοικημένη περιοχή. Άνεμοι 2-3 μποφόρ κατά τη διάρκεια. Πηγή (real.gr) αναφέρει Δήμο Αριστοτέλη (διαφέρει από καταγεγραμμένο Σιθωνίας — προς επαλήθευση). Καμένη έκταση δεν επιβεβαιώθηκε. | Διόρθωση δήμου: Αριστοτέλη (όχι Σιθωνίας). 2 ομάδες πεζοπόρων 2ης ΕΜΟΔΕ. Εθελοντές συμμετείχαν. Καμένη έκταση δεν εντοπίστηκε σε πηγές.</t>
  </si>
  <si>
    <t>Σπάτα &amp; Αργιθέα Κορωπίου, Ανατολική Αττική</t>
  </si>
  <si>
    <t>Σπάτα-Αρτέμιδα / Κορωπί</t>
  </si>
  <si>
    <t>Υπό διερεύνηση — Ανακριτικό Κλιμάκιο Ανατολικής Αττικής.</t>
  </si>
  <si>
    <t>https://www.theguardian.com/world/live/2026/aug/17/europe-wildfires-france-greece-belgium-germany-climate-crisis-drought-extreme-heat-latest-news-updates ; https://www.protothema.gr/greece/article/1865820/fotia-stin-argithea-koropiou-ihise-to-112-gia-etoimotita-epiheiroun-pede-enaeria-mesa/ ; https://www.ertnews.gr/eidiseis/xoris-energo-metopo-i-fotia-stin-argithea-spaton/ ; https://www.in.gr/2026/08/17/greece/fotia-sto-koropi-petoun-5-enaeria-estali-minyma-apo-to-112/ ; https://www.skai.gr/news/greece/pyrkagia-se-xamili-vlastisi-stin-argithea-koropiou ; https://www.mononews.gr/society/pyrkagia-se-chamili-vlastisi-stin-argithea-koropiou-enimerotiko-minyma-tou-112 ; https://www.ertnews.gr/eidiseis/ellada/pyrkagia-stin-perioxi-argithea-koropiou/ ; https://www.cnn.gr/ellada/story/548202/synagermos-gia-fotia-se-xamili-vlastisi-stin-argithea-sta-spata-epixeiroyn-isxyres-dynameis</t>
  </si>
  <si>
    <t>Δύο νέες εστίες στην Ανατολική Αττική· αντιμετωπίστηκαν ταχέως χωρίς σημαντική διάδοση | Χαμηλή βλάστηση Αργιθέας, σύνορα Παιανίας-Σπάτων. Μήνυμα 112 στις 12:12 για ετοιμότητα. 5 εναέρια επιχείρησαν. Διακοπή κυκλοφορίας Λ. Σπάτων / οδός Παπαγγελάκη. Εθελοντές, βυτιοφόρα Δήμου Σπάτων-Αρτέμιδας και υδροφόρες Δήμου Κρωπίας. Χωρίς ενεργό μέτωπο σε ~30 λεπτά. | Δύο ξεχωριστές εστίες στην Ανατολική Αττική. Αντιμετωπίστηκαν ταχέως αποτρέποντας σημαντική εξάπλωση. | Δύο εστίες στην Ανατολική Αττική αντιμετωπίστηκαν ταχύτατα, αποτρέποντας σημαντική εξάπλωση. | Γρήγορα περιορίστηκε, αποτράπηκε σημαντική εξάπλωση· αναφέρθηκε μαζί με πυρκαγιά Σπάτων την ίδια ημέρα | Αντιμετωπίστηκε ταχέως· χωρίς περαιτέρω λεπτομέρειες στην πηγή | Δύο ξεχωριστές εστίες Ανατολικής Αττικής· αντιμετωπίστηκαν ταχέως χωρίς σημαντική διάδοση</t>
  </si>
  <si>
    <t>υπό διερεύνηση (Ανακριτικό Κλιμάκιο Αιτωλοακαρνανίας)</t>
  </si>
  <si>
    <t>https://www.naftemporiki.gr/society/2150872/aitoloakarnania-pyrkagia-sto-xiromero/ ; https://www.protothema.gr/greece/article/1865901/fotia-sto-xiromero-aitoloakarnanias-epiheiroun-tria-enaeria-mesa/ ; https://www.newsit.gr/ellada/fotia-sto-ksiromero-aitoloakarnanias-sikothikan-dyo-aeroplana-kai-ena-elikoptero/4752500/ ; https://voicenews.gr/ektakto-pyrkagia-torase-dasiki-ektasi-sto-xiromero-aitoloakarnanias-megali-kinitopoiisi-tis-pyrosvestikis/ ; https://www.enikos.gr/society/fotia-sto-xiromero-aitoloakarnanias-epicheiroun-aeroskafi-kai-elikoptero/2630128/</t>
  </si>
  <si>
    <t>Δασική έκταση σε χαμηλή βλάστηση· κατασβέστηκε ~16:00 | 1 ομάδα πεζοπόρων 6ης ΕΜΟΔΕ. Υδροφόρες ΟΤΑ συνέδραμαν. Καμένη έκταση δεν εντοπίστηκε σε πηγές.</t>
  </si>
  <si>
    <t>22:10</t>
  </si>
  <si>
    <t>22:50</t>
  </si>
  <si>
    <t>Πυρκαγιά Κριτσάς Λασιθίου</t>
  </si>
  <si>
    <t>Αγίου Νικολάου</t>
  </si>
  <si>
    <t>2 ομάδες πεζοπόρων (3η ΕΜΟΔΕ)</t>
  </si>
  <si>
    <t>υπό διερεύνηση (Ανακριτικό Κλιμάκιο Εμπρησμού Λασιθίου)</t>
  </si>
  <si>
    <t>112 (~22:10): ετοιμότητα κατοίκων περιοχής Κριτσά Λασιθίου | ναι</t>
  </si>
  <si>
    <t>https://www.ertnews.gr/eidiseis/ellada/pyrkagia-kai-stin-kritsa-lasithiou-112-gia-etoimotita/ ; https://www.ertnews.gr/perifereiakoi-stathmoi/chania/lasithi-oriothetithike-i-pyrkagia-stin-kritsa/ ; https://www.tanea.gr/2026/08/17/epikairotita/lasithi-oriothetithike-i-pyrkagia-stin-kritsa-paramenoun-kai-epixeiroun-isxyres-dynameis-tis-pyrosvestikis/ ; https://www.tanea.gr/2026/08/16/greece/svistike-i-fotia-pou-ekdilothike-stin-kritsa-lasithiou/ ; https://www.in.gr/2026/08/17/greece/kriti-oriothetithike-i-pyrkagia-stin-kritsa-lasithiou/ ; https://www.mononews.gr/society/lasithi-pyrkagia-stin-kritsa-epicheiroun-pano-apo-30-pyrosvestes ; https://www.enikos.gr/society/lasithi-oriothetithike-i-pyrkagia-stin-kritsa-paramenoun-ischyres-pyrosvestikes-dynameis/2629854/ ; https://www.iefimerida.gr/ellada/fotia-sta-kritsa-lasithioy-112-gia-etoimotita ; https://www.cnn.gr/ellada/story/548150/fotia-sta-kritsa-lasithiou-minyma-apo-to-112-stous-katoikous-na-einai-se-etoimotita ; https://www.neakriti.gr/kriti/lasithi/2194825_synagermos-stin-kritsa-megali-fotia-se-dasiki-ektasi-ihise-112-ishyres ; https://www.newsit.gr/ellada/fotia-sto-lasithi-stin-perioxi-kritsa-minyma-tou-112-gia-etoimotita/4752094/ ; https://www.zougla.gr/greece/lasithi-oriothetithike-i-pyrkagia-stin-kritsa/</t>
  </si>
  <si>
    <t>Δασική έκταση κοντά στην Κριτσά, Δήμος Αγίου Νικολάου. Οριοθετήθηκε 17/8, παραμένουν ισχυρές δυνάμεις ΠΣ. | Έναρξη λίγο μετά 21:00 Κυριακής 16/8. Χορτολιβαδική έκταση δίπλα στον οικισμό Κριτσάς, Δήμος Αγίου Νικολάου. Οριοθετήθηκε 17/8. Mononews αναφέρει αρχικά &gt;30 πυρ/στες (τελικός αριθμός 48). | Πυρκαγιά σε δασική έκταση στην Κριτσά (Δήμος Αγίου Νικολάου). Εκδηλώθηκε μετά τις 21:00 Κυριακή 16/8. Ήχησε 112 για ετοιμότητα. Δεν απειλήθηκε κατοικημένη περιοχή. Οριοθετήθηκε, παρέμειναν δυνάμεις για αναζωπυρώσεις. | σβήστηκε σε ~40 λεπτά από έναρξη</t>
  </si>
  <si>
    <t>Πυρκαγιά Λεύκας Μεσολογγίου</t>
  </si>
  <si>
    <t>Μεσολογγίου</t>
  </si>
  <si>
    <t>https://www.protothema.gr/greece/article/1865591/fotia-se-agrotiki-ektasi-sti-leuka-mesologgiou-kinitopoiithikan-kai-enaeria-mesa/ ; https://www.newsit.gr/ellada/fotia-sto-mesologgi-se-agrotiki-ektasi-stin-perioxi-leyka-sikothikan-kai-enaeria/4752046/ ; https://www.tanea.gr/2026/08/16/greece/fotia-sti-leyka-mesologgiou-sti-maxi-kai-enaeria-mesa ; https://www.skai.gr/news/greece/mesologgi-pyrkagia-stin-perioxi-leyka</t>
  </si>
  <si>
    <t>Αγροτική έκταση. Δεν επιβεβαιώθηκε κατάσταση κατάσβεσης/οριοθέτησης από διαθέσιμες πηγές. | Πυρκαγιά σε αγροτική έκταση, κυρίως καλάμια. Μία ομάδα πεζοπόρων 6ης ΕΜΟΔΕ. Δεν υπήρχε άμεση απειλή για κατοικημένες περιοχές.</t>
  </si>
  <si>
    <t>14:43</t>
  </si>
  <si>
    <t>Δίδυμες Πυρκαγιές Σαλαμίνας — Περιστέρεια &amp; Σελήνια/Κακή Βίγλα</t>
  </si>
  <si>
    <t>15 ομάδες πεζοπόρων</t>
  </si>
  <si>
    <t>Δήμος Σαλαμίνας (μηχανήματα), πλωτά πυροσβεστικής 2, Λ.Σ. 4 σκάφη</t>
  </si>
  <si>
    <t>εθελοντικές δυνάμεις</t>
  </si>
  <si>
    <t>Από οικόπεδο με συσσωρευμένα σκουπίδια στην οδό Ανδρομάχης Περιστέρειας (πρώτη εστία 14:43)· δεύτερη εστία Κακή Βίγλα 15:03· έρευνα για αμέλεια ή εμπρησμό</t>
  </si>
  <si>
    <t>6 μηνύματα 112 (Tovima/ΣΚΑΪ)· 14:55 προειδοποίηση· 15:05 εκκένωση Περιστέρειας και Κλαμπ Αίαντα προς Αίαντιο· 15:18 εκκένωση Κολώνων προς παραλία Σατερλί· εκκενώσεις Κακής Βίγλας και Σεληνίων δια θαλάσσης | 14:55 ετοιμότητα γενική περιοχή· 15:05 εκκένωση Περιστέρεια+Αιάς→Αιάντειο· 15:18 εκκένωση Κολόνες→Σατερλί· 15:22 προειδοποίηση Σελίνια· 15:32 εκκένωση ΔΕΗ Χαλιώτη+Περανί→Αιάντειο· 15:35 εκκένωση Κακή Βίγλα→Αιάντειο· ~16:00 εκκένωση Κολόνες→Σατερλί | 112 14:55: πρώτη προειδοποίηση· 15:05: εκκένωση Περιστερίων &amp; Αίας Κλαμπ προς Αιάντειο· συνολικά 4 μηνύματα 112 για εκκένωση οικισμών | 14:55 προειδοποίηση ευρύτερης περιοχής· 15:05 εκκένωση Περιστέρεια/Αίας Κλαμπ Σαλαμίνας προς Αιάντειο (Λεωφ. Περιστερίων)· 15:18 εκκένωση ΔΕΗ Χαλιότη-Περανή· 15:22 εκκένωση Κακής Βίγλας· 15:32 εκκένωση Σελινίων· 15:35 εκκένωση θαλάσσης Σατερλί· μετά τις 16:00 εκκένωση Κολωνών προς Σατερλί — σύνολο 6+ μηνύματα 112 | 6 μηνύματα 112· 14:55 προειδοποίηση ευρύτερης περιοχής· 15:05 εκκένωση Περιστερείων &amp; Αίας Κλαμπ προς Αιάντειο· 15:18 Κολώνες προς Σαντερλί· 15:22 Σελήνια· 15:32 ΔΕΗ Χαλιωτίου &amp; Περάνη προς Αιάντειο· 15:35 Κακή Βίγλα | 15:05 εκκένωση Περιστέρεια &amp; Aias Klamp → Αιάντιο· 15:18 εκκένωση Κολώνες → Σατέρλι· 15:22 ενημέρωση Σελίνια· συνολικά 6 σήματα 112 για εκκενώσεις περιοχών | 112 ~15:05 16/8: εκκένωση Περιστέρεια &amp; Αίας προς Αιάντειο· εκκένωση ΔΕΗ Χαλιωτίς &amp; Περάνη προς Αιάντειο· εκκένωση Κακή Βίγλα προς Αιάντειο· εκκένωση Κολώνες προς Σατέρλι· ~15:20 16/8 προειδοποίηση Σελήνια ετοιμότητα | 112 από 14:55: σειρά 6 μηνυμάτων εκκένωσης — Περιστέρια, Κολώνες, ΔΕΗ Χαλιώτη, Περάνη, Κακή Βίγλα· 571 άτομα απεγκλωβίστηκαν διά θαλάσσης (4 επιβατηγά-οχηματαγωγά) από Σελήνια και Κακή Βίγλα | 112 14:55 ετοιμότητα· 15:05 εκκένωση Περιστερίων-Αίας Κλάμπ→Αιάντειο· 15:18 εκκένωση Κολώνων→παρ. Σατερλή· 15:22 ενημέρωση Σελήνια· 15:32 εκκένωση Δει Χαλιώτη-Περάνης· 15:35 εκκένωση Κακής Βίγλας (6 σήματα 112 συνολικά) | 112 14:55 ετοιμότητα Περιστέρια· 15:05 εκκένωση Περιστέρια/Αίας Κλαμπ → Αιάντειο· 15:18 εκκένωση Κολώνες → Σατερλή· 15:32 εκκένωση ΔΕΙ Χαλιώτη/Περάνι → Αιάντειο· 15:35 εκκένωση Κακή Βίγλα → Αιάντειο (σύνολο 6 μηνύματα 14:55–~16:00) | 112 15:05: εκκένωση Περιστέρεια &amp; Αίας Κλαμπ → Αιάντειο· 15:18 Κολώνες → Σατερλί· 15:32 ΔΕΗ Χαλιώτι &amp; Περάνι → Αιάντειο· 15:35 Κακή Βίγλα → Αιάντειο (Λεωφ. Περιστέρειας)· συνολικά 6 περιοχές, εκκένωση δια θαλάσσης Σελήνια &amp; Κακή Βίγλα | 16/8 14:55 ετοιμότητα Περιστέρεια· 15:05 εκκένωση Περιστέρεια/Αίας Κλαμπ προς Αιάντιο· 15:18 εκκένωση Κολόνες προς παραλία Σατερλί· συνολικά 6 μηνύματα 112 για εκκένωση περιοχών | 16/8 15:05 εκκένωση Περιστέρεια/Αίας Club → Αιάντειο· 15:05 εκκένωση Δεχή Χαλιώτη, Περάνη· 15:20 ετοιμότητα Σελήνια· μεταγενέστερα μηνύματα εκκένωσης Κακής Βίγλας Σελινίων· θαλάσσια εκκένωση με ΛΣ | 14:55 ετοιμότητα Περιστέρεια · 15:05 εκκένωση Περιστέρεια &amp; Αίας Κλαμπ · 15:18 απομάκρυνση Κολώνες→παραλία Σατερλή · 15:22 ενημέρωση Σελήνια · 15:32 απομάκρυνση ΔΕΗ Χαλιώτη &amp; Περάνη→Αιάντειο · 15:35 εκκένωση Κακή Βίγλα→Αιάντειο | 112 14:55 ετοιμότητα Σαλαμίνα· 15:05 εκκένωση Περιστέρεια+Αίας Κλαμπ → Αιάντειο· 15:18 εκκένωση Κολώνες· 15:20 ετοιμότητα Σελήνια· 15:32 εκκένωση ΔΕΗ Χαλιώτη+Περάνι → Αιάντειο· 15:35 εκκένωση Κακή Βίγλα → Αιάντειο (6 μηνύματα συνολικά) | 112 ~15:05: εκκένωση Περιστέρεια &amp; Αίας Club προς Αίαντιο· εκκένωση Κολώνες προς Σαντέρλι· 112 ~15:22: προειδοποίηση Σελινιά &amp; Κακή Βίγλα· 6 συνολικά σήματα 112 (Περιστέρεια, Αίας Club, Κολώνες, ΔΕΗ Χαλιότη, Περάνι, Κακή Βίγλα)</t>
  </si>
  <si>
    <t>https://gr.euronews.com/my-europe/2026/08/17/pyrkagies-sthn-ellada-ypoxwroyn-oi-floges-apokalyptetai-h-katastrofh ; https://www.theguardian.com/world/2026/aug/16/greek-island-salamis-belgium-high-fens-helicopters-wildfire ; https://www.pbs.org/newshour/world/firefighters-battle-massive-wildfires-in-belgium-and-greece-as-2-die-on-an-island-near-athens ; https://www.newsit.gr/ellada/tragodia-sti-salamina-2-nekroi-apo-ti-fotia-se-peristeria-kai-selinia-kaikan-spitia-pano-apo-570-atoma-apegklovistikan-dia-thalassis/4751916/ ; https://www.ertnews.gr/eidiseis/ellada/fotia-sti-salamina-apegklovistikan-dia-thalassis-593-atoma-apo-saterli-kai-kolones/ ; https://www.ertnews.gr/eidiseis/ellada/foties-sti-salamina-dyo-nekroi-kai-deka-atoma-me-egkaymata-sta-peristeria-xoris-eniaio-metopo-i-pyrkagia/ ; https://www.naftemporiki.gr/society/2150615/fotia-sti-salamina-plirofories-oti-entopistikan-dyo-nekroi/ ; https://www.skai.gr/news/greece/fotia-tora-sti-salamina-epixeiroun-enaeria ; https://www.cnn.gr/ellada/story/548105/pyrkagia-sti-salamina-tessera-112-gia-ekkenoses-perioxon ; https://www.enikos.gr/society/salamina-apo-oikopedo-me-skoupidia-xekinise-i-pyrkagia-sta-peristeria-salamina/2629720/ ; https://www.ertnews.gr/eidiseis/salamina-ksekina-ayrio-i-katagrafi-ton-zimion-meta-ti-foniki-pyrkagia-me-dyo-nekrous-kai-deka-traymaties/ ; https://www.tovima.gr/2026/08/17/society/fotia-salamina-olonyktia-maxi-me-anazopyroseis-2-nekroi-9-egkaymaties ; https://www.newsbomb.gr/ellada/story/1757077/salamina-dierevnoyn-emprismo-gia-ti-foniki-fotia ; https://www.megatv.com/2026/08/17/salamina-dyo-nekroi-kai-anypologistes-katastrofes-apo-ti-megali-fotia-kaikan-ola-itan-emprismos/ ; https://www.mononews.gr/society/salamina-se-exelixi-dyo-megales-foties-sto-nisi-ischyroi-anemoi-sto-nisi-epicheiroun-146-pyrosvestes-kai-10-enaeria-mesa ; https://www.newsit.gr/ellada/fotia-sti-salamina-diplo-pyrino-metopo-konta-se-spitia-oi-floges-mparaz-minymaton-112-kai-ekkenosi-dia-thalassis-apo-selinia-kai-kaki-vigla/4751865/ ; https://www.in.gr/2026/08/18/greece/salamina-ksekinoun-oi-aytopsies-gia-ta-kamena-prosagogi-ypoptis-gia-emprismo/ ; https://www.enikos.gr/society/salamina-diplo-metopo-fotias-se-peristeria-kai-selinia-epicheiroun-146-pyrosvestes-minyma-tou-112-gia-ekkenosi/2629675/ ; https://x.com/112Greece/status/2088965300821590168 ; https://x.com/pyrosvestiki/status/2088958812338241783 ; https://x.com/pyrosvestiki/status/2088969924773318711 ; https://www.ertnews.gr/eidiseis/ellada/fotia-sti-salamina-dyo-nekroi-kai-okto-atoma-me-egkaymata-sta-peristeria-xoris-eniaio-metopo-i-pyrkagia/ ; https://www.ertnews.gr/eidiseis/ellada/fotia-sti-salamina-apegklovistikan-502-atoma-apo-saterli-kai-kolones/ ; https://www.keeptalkinggreece.com/2026/08/16/two-dead-nine-injured-from-the-wildfire-in-salamina-island-near-athens/ ; https://www.skai.gr/news/greece/pyrgkagies-sti-salamina-240-apegklovismoi-dia-thalassis ; https://www.tovima.gr/2026/08/16/society/megali-fotia-tora-kai-sti-salamina-kateythynetai-se-spitia-ixise-to-112/ ; https://www.in.gr/2026/08/16/greece/fotia-sti-salamina-ixise-to-112-sikothikan-epta-enaeria/ ; https://greekreporter.com/2026/08/16/salamina-wildfire-two-dead/ ; https://www.trtworld.com/article/65cf29db7233 ; https://www.madata.gr/epikairotita/social/972663-fotia-sti-salamina-diplo-metopo-kai-minymata-ekkenosis-apo-to.html ; https://www.naftemporiki.gr/society/2150597/fotia-tora-sti-salamina-minyma-toy-112-2/ ; https://www.lykavitos.gr/news/greece/i-enimerosi-tou-pyrosvestikou-somatos-gia-tin-fotia-sti-salamina ; https://www.ekriti.gr/ellada/tragodia-sti-salamina-dyo-apanthrakomenoi-sta-peristeria-apo-tin-megali-pyrkagia ; https://www.bbc.com/news/articles/c87nnwlpe5no ; https://www.in.gr/2026/08/16/greece/dyo-pyrkagies-sti-salamina-mparaz-minymaton-apo-to-112-oi-floges-dipla-sta-spitia/ ; https://www.stagonnews.gr/tragodia-sti-salamina-2-nekri-apo-ti-fotia-se-peristeria-ke-selinia-kaikan-spitia-pano-apo-570-atoma-apegklovistikan-dia-thalassis/ ; https://thetoc.gr/koinwnia/613603/fotia-tora-sti-salamina-konta-se-oikismo---minuma-tou-112-gia-etoimotita ; https://www.athensvoice.gr/epikairotita/ellada/980826/baraz-minumaton-apo-to-112-gia-ti-megali-fotia-sti-salamina-ekkenonodai-periohes/ ; https://www.ertnews.gr/eidiseis/ellada/fotia-sti-salamina-dyo-nekroi-kai-okto-atoma-me-egkaymata-sta-peristeria-xoris-energo-metopo-i-pyrkagia/ ; https://newsit.gr/ellada/tragodia-sti-salamina-2-nekroi-apo-ti-fotia-se-peristeria-kai-selinia-kaikan-spitia-502-atoma-apegklovistikan-dia-thalassis/4751916 ; https://www.lifo.gr/now/greece/fotia-sti-salamina-pos-synebi-i-tragodia-me-toys-dyo-nekroys-i-enimerosi-tis ; https://www.cnn.gr/ellada/story/548100/fotia-sti-salamina-sikothikan-epta-enaeria-mesa-kaiei-konta-se-spitia ; https://www.zougla.gr/greece/fotia-sti-salamina-2/ ; https://www.tanea.gr/2026/08/16/greece/fotia-ksespase-sti-salamina-stin-perioxi-peristeria/ ; https://www.eleftherostypos.gr/ellada/fotia-sti-salamina-to-simeio-pou-vrethike-nekro-to-zevgari-i-ekklisi-tis-pyrosvestikis ; https://www.lifo.gr/now/greece/fotia-tora-sti-salamina-1 ; https://www.tanea.gr/2026/08/17/greece/fotia-sti-salamina-maxi-me-tis-anazopyroseis-sovara-treis-apo-tous-egkaymaties-megales-katastrofes/ ; https://www.documentonews.gr/article/fotia-sti-salamina-me-dyo-nekrous-olonychtia-machi-me-diaspartes-esties-oloklirothikan-oi-apegklovismoi-varys-o-apologismos/ ; https://www.ertnews.gr/eidiseis/fotia-sti-salamina-oriothetithike-dixos-energo-metopo-pleon/ ; https://www.iefimerida.gr/ellada/salamina-i-epomeni-mera-meta-ti-foniki-pyrkagia ; https://www.cnn.gr/ellada/story/548136/fotia-sti-salamina-dyo-nekroi-travmaties-kamena-spitia-kai-ekatontades-apegklovismoi-dia-thalassis ; https://www.ertnews.gr/eidiseis/ellada/fotia-se-dasiki-ektasi-sta-selinia-salaminas-minyma-112-gia-etoimotita-ton-katoikon/ ; https://www.in.gr/2026/08/17/greece/fotia-maxi-me-diaspartes-esties-sti-salamina-pou-thrinei-dyo-nekrous-kai-metra-tis-pliges-tis-dyskoli-i-epomeni-mera/ ; https://www.ertnews.gr/eidiseis/ypo-elegxo-i-pyrkagia-sta-ampelakia-salaminas/ ; https://www.tanea.gr/2026/08/16/greece/fotia-sti-salamina-olonyxtia-maxi-me-tis-diaspartes-esties-se-epifylaki-i-pyrosvestiki-gia-tyxon-anazopyroseis/ ; https://www.newsit.gr/ellada/fotia-sti-salamina-olonyxtia-maxi-me-tis-anazopyroseis-sta-peristeria-sovara-2-apo-tous-traymaties-polla-kamena-spitia/4752210/ ; https://www.capital.gr/epikairotita/4011231/salamina-apo-ameleia-pithanotata-i-purkagia-sta-peristeria-endeixeis-emprismou-gia-ti-deuteri-estia-sta-selinia/ ; https://www.thetoc.gr/koinwnia/article/fotia-tora-sti-salamina-konta-se-oikismo---minuma-tou-112-gia-etoimotita/ ; https://www.real.gr/koinonia/arthro/fotia-sti-salamina-diadochika-minymata-tou-112-903782/ ; https://neoskosmos.com/el/2026/08/19/news/greece/dyo-nekroi-kai-10-travmaties-o-tragikos-apologismos-sti-salamina/ ; https://www.skai.gr/news/greece/foties-sti-salamina-dyo-nekroi-10-traymaties-kai-terasties-katastrofes ; https://www.megatv.com/2026/08/17/xoris-energo-metopo-i-fotia-sti-salamina-dyo-nekroi-o-tragikos-apologismos/ ; https://www.thetoc.gr/koinwnia/613603/fotia-tora-sti-salamina-konta-se-oikismo---minuma-tou-112-gia-etoimotita ; https://thetoc.gr/koinwnia/613813/fotia-sti-salamina-apo-ameleia-ilikiomenis-pithanotata-i-purkagia-sta-peristeria---sto-mikroskopio-emprismos-gia-ti-deuteri-estia ; https://www.tovima.gr/2026/08/16/society/nekroi-dyo-ilikiomenoi-apo-ti-fotia-sti-salamina-veltiomeni-i-eikona-sta-dyo-metopa ; https://www.newsbomb.gr/ellada/story/1756868/fotia-sti-salamina-pos-exase-ti-zoi-tou-to-ilikiomeno-zevgari ; https://www.ertnews.gr/eidiseis/salamina-apo-ameleia-pithanotata-i-pyrkagia-sta-peristeria-endeikseis-emprismou-gia-ti-deyteri-estia-sta-selinia/ ; https://en.protothema.gr/2026/08/16/two-major-fires-in-salamina-flames-very-close-to-homes-evacuations-by-sea-being-prepared-from-selinia-and-kaki-vigla/ ; https://en.parapolitika.gr/greece/272867/salamina-wildfire-2-dead-burn-victims-homes-destroyed-90-rescued-by-sea/ ; https://www.in.gr/2026/08/16/greece/dyo-pyrkagies-sti-salamina-mbaraz-minymaton-apo-to-112-oi-floges-dipla-sta-spitia/ ; https://news.gtp.gr/2026/08/17/greece-wildfires-damage-assessments-begin-in-salamina-and-skyros/ ; https://tvxs.gr/news/ellada/fotia-sti-salamina-olonychtia-machi-me-tis-anazopyroseis-dyo-nekroi-egkaymaties-katastrofes-kai-apegklovismoi</t>
  </si>
  <si>
    <t>2 νεκροί (ηλικιωμένο ζευγάρι, οδός Ανδρομάχης)· 10 τραυματίες (2 νοσηλεύθηκαν στο Θριάσιο)· 593 άτομα απεγκλωβίστηκαν δια θαλάσσης από Σατερλί και Κολώνες· άνεμοι έως 61 km/h (7 Bf)· &gt;3.600 στρέμματα (~360 ha)· ολονύκτια επαγρύπνηση για αναζωπυρώσεις | Δύο ταυτόχρονα μέτωπα: Περιστέρια 14:43 και Κακή Βίγλα Σεληνίων 15:03. 2 νεκροί (απανθρακωμένοι, 91 και 72 ετών), 9-10 τραυματίες εγκαύματα. 593 απεγκλωβισμοί δια θαλάσσης. 6 μηνύματα 112 για εκκενώσεις. Καμένα σπίτια. Ακραίες ανεμολογικές συνθήκες. | 2 νεκροί ηλικιωμένοι εντοπίστηκαν στην καμένη ζώνη· 9 εγκαυματίες. 593 απεγκλωβισμοί δια θαλάσσης. Αναζωπυρώσεις καθ' όλη τη νύχτα 16-17/08. Κατά την επιχείρηση επιχειρούσαν έως 192 πυροσβέστες και 14 εναέρια μέσα. | 2 νεκροί (ηλικιωμένο ζευγάρι, Περιστέρεια)· 9 τραυματίες· 593 απεγκλωβισμοί δια θαλάσσης· δύο ταυτόχρονα πύρινα μέτωπα (Περιστέρεια 14:43 + Κακή Βίγλα Σεληνίων 15:03)· άνεμοι ΒΒΑ 4-6μπ. τοπικά 7μπ.· δεκάδες σπίτια κάηκαν· ολονύχτια μάχη με αναζωπυρώσεις | 2 νεκροί (ηλικιωμένο ζευγάρι στα Περιστέρια). 10 τραυματίες με εγκαύματα. 593 πολίτες απεγκλωβίστηκαν διά θαλάσσης (Σατερλί &amp; Κολώνες). Δύο ταυτόχρονα μέτωπα (2ο στις 15:03 Κακή Βίγλα). Άνεμοι έως 61 km/h. Σε εξέλιξη έρευνα Τμήματος Εγκληματολογικής Διερεύνησης Εμπρησμών. | 2 νεκροί (εντοπίστηκαν πριν άφιξη πυρ/κής, καταγράφηκαν στα Περιστέρεια). 9 εγκαυματίες (παρελήφθησαν στο ΚΥ Σαλαμίνας). 571 απεγκλωβισμοί δια θαλάσσης (Σελήνια–Κακή Βίγλα). Ολονύκτια μάχη με αναζωπυρώσεις. | 2 νεκροί (ηλικιωμένο ζευγάρι, Περιστέρεια, πριν φτάσει η πυροσβεστική). 9 τραυματίες με εγκαύματα. 593 απεγκλωβισμοί διά θαλάσσης. Διπλό μέτωπο (Περιστέρεια + Κακή Βίγλα/Σελήνια). Άνεμοι Β-ΒΑ 4–6 Μπ., τοπικά 7. Καμένα σπίτια. Κρατική έρευνα για εμπρησμό/αμέλεια. | 2 νεκροί (ηλικιωμένο ζεύγος, Ανδρομάχης οδός)· 9 τραυματίες/εγκαυματίες νοσηλεύτηκαν· 593 απεγκλωβισθέντες δια θαλάσσης (Σαντερλί &amp; Κολώνες)· κατοικίες κάηκαν· άνεμοι 7 Μποφόρ (61 km/h)· 2ο μέτωπο ξεκίνησε ~20 λεπτά μετά το 1ο (15:03 Σελήνια)· ολονύκτια μάχη με αναζωπυρώσεις | 2 νεκροί (ηλικιωμένο ζευγάρι εντοπίστηκε στην περιοχή Περιστέρεια πριν την άφιξη πυροσβεστικών). 4 τραυματίες με εγκαύματα. 593 απεγκλωβισμοί δια θαλάσσης. | 2 νεκροί (ηλικιωμένο ζευγάρι), 9 τραυματίες, 570+ εκκενώσεις διά θαλάσσης· 2 μέτωπα (14:43 Περιστέρεια + 15:03 Κακή Βίγλα Σελινίων) με διαφορά ~20 λεπτών· άνεμοι έως 61 km/h | Δύο νεκροί (απανθρακωμένοι) εντοπίστηκαν κατά τη διάρκεια της κατάσβεσης — βρίσκονταν εντός της καμένης ζώνης πριν την άφιξη πυροσβεστικών δυνάμεων. Τέσσερις τραυματίες με εγκαύματα και ένας ηλικιωμένος μεταφέρθηκαν στο Κέντρο Υγείας Σαλαμίνας. Ακραίος κίνδυνος πυρκαγιάς (κατηγορία 4), άνεμοι 7 Bf. | 2 νεκροί (ηλικιωμένο ζευγάρι), τουλάχιστον 10 τραυματίες (9 εγκαυματίες). ~570 απεγκλωβισμοί δια θαλάσσης (2 πλοία, 1 ταχύπλοο). Δύο ξεχωριστά μέτωπα: 1ο Περιστέρεια 14:40, 2ο Σελήνια/Κακή Βίγλα ~15:00–15:03. Yutori email 20/8 αναφέρει λανθασμένα ημερομηνία 23/8 — η πραγματική ημερομηνία κατ. από πολλαπλές web πηγές: 16/8/2026. Danger level 4 κατ. από ertnews.gr δελτίο (κατηγορία 4 για Κυριακή 16/8). Yutori αναφέρει αιχμή 200 πυροσβέστες/50 οχήματα. | 2 ΝΕΚΡΟΙ (ζευγάρι ηλικιωμένων, Περιστέρια)· 8 εγκαυματίες· β΄ εστία 15:03 στα Σελήνια-Κακή Βίγλα (ύποπτο εμπρησμός)· κάηκαν σπίτια· χάρτης ΓΓΠΠ 16/8: Αττικής ΠΟΛΥ ΥΨΗΛΗ (4) | 2 νεκροί (ηλικιωμένο ζευγάρι εντοπίστηκε στην οδό Ανδρομάχης, Περιστέρια). 593 άτομα απεγκλωβίστηκαν δια θαλάσσης. Δεύτερη εστία Σελήνια ξεκίνησε 15:03. Αφετηρία πρώτης εστίας: οικόπεδο με σκουπίδια στην οδό Ανδρομάχης. Ισχυροί άνεμοι Bf7. Καμένη έκταση και ακριβής ώρα ελέγχου δεν τεκμηριώθηκαν από διαθέσιμες πηγές. | 2η εστία (Σελήνια/Κακή Βίγλα): 15:03. 2 νεκροί (ηλικιωμένοι εγκλωβίστηκαν στα Περιστέρια)· 9-10 εγκαυματίες (3 σοβαρά)· 593 απεγκλωβίστηκαν δια θαλάσσης· δεκάδες καμένα σπίτια/αυτοκίνητα. 16/8 βράδυ: χωρίς ενεργό μέτωπο. Αναζωπυρώσεις πρωί 17/8. Οριοθετήθηκε 17/8. | Δύο ξεχωριστά μέτωπα: Περιστέρια 14:43 και Κακή Βίγλα Σεληνίων 15:03. 2 νεκροί (ηλικιωμένοι που δεν πρόλαβαν να εκκενωθούν), 10 τραυματίες με εγκαύματα (1 με 25% εγκαύματα). 593 απεγκλωβισμοί δια θαλάσσης (ΛΣ + ιδιωτικά σκάφη) από Σατερλή/Κολώνες. Ολονύχτια μάχη 16-17/8. | Η πυρκαγιά Περιστερίων ξεκίνησε από οικόπεδο με σκουπίδια. Δεύτερη εστία (Κακή Βίγλα Σεληνίων) στις 15:03. 2 νεκροί (ηλικιωμένοι εγκλωβισμένοι σε σπίτι), 9 τραυματίες με εγκαύματα. Συνολικά 593 άτομα απεγκλωβίστηκαν δια θαλάσσης. Ολονύχτια μάχη με αναζωπυρώσεις (17/8). | 2 νεκροί (ηλικιωμένοι), 9 εγκαυματίες· 593 εκκενωθέντες δια θαλάσσης· δεύτερο μέτωπο εκδηλώθηκε στις 15:03 Κακή Βίγλα (Σελήνια)· καμένη έκταση δεν ποσοτικοποιήθηκε στις πηγές | 2 νεκροί (ηλικιωμένο ζευγάρι, οδ. Ανδρομάχης, Περιστέρια). 10 τραυματίες νοσηλεύθηκαν στο Θριάσιο (2 σε σοβαρή κατάσταση). 593 πολίτες απεγκλωβίστηκαν δια θαλάσσης (Σατερλί &amp; Κολώνες, 4 πλοία). 2η εστία Σελήνια (Κακή Βίγλα): εκκίνηση ~15:03, πιθανώς από βλάβη οχήματος. Εστία Περιστέρια: πιθανώς από οικόπεδο με σκουπίδια (οδ. Ανδρομάχης). Ολονύχτια μάχη με αναζωπυρώσεις. Χωρίς ενεργό μέτωπο στα 20:48. Καμένη έκταση δεν επιβεβαιώθηκε από πηγές. | 2 νεκροί (ηλικιωμένο ζευγάρι, οδός Ανδρομάχης), 9–10 εγκαυματίες (1 με 25% εγκαύματα)· ~570 απεγκλωβίστηκαν δια θαλάσσης· Yutori Scout εσφαλμένα ανέφερε ημερομηνία 23/08/2026 (πραγματική έναρξη 16/08 — follow-up στο email 20/08) | 2 νεκροί (ηλικιωμένο ζευγάρι παγιδεύτηκε στις φλόγες), ≥10 τραυματίες (9 εγκαυματίες + 1 με 25% εγκαύματα). 570–593 άτομα απεγκλωβίστηκαν δια θαλάσσης. Καμένα σπίτια στα Περιστέρεια. Ολονύκτια μάχη με αναζωπυρώσεις. Δεύτερη πυρκαγιά εκδηλώθηκε ~15:03 στα Σελήνια (Κακή Βίγλα). Yutori report 20/8 (thread 1a01fde891cb08ed) αναφέρει ως follow-up «Αυγ 20–23»: πρώτη «περιορισμένη», δεύτερη «χωρίς ενεργό μέτωπο». | 2 νεκροί (ηλικιωμένοι που δεν πρόλαβαν να απομακρυνθούν εγκαίρως). 9 εγκαυματίες. 593 απεγκλωβισμοί δια θαλάσσης. Ολονύκτια μάχη (16→17/8) με επανειλημμένες αναζωπυρώσεις — το μέτωπο τέθηκε υπό έλεγχο την πρωία της 17/8. | Δύο ταυτόχρονα μέτωπα: Περιστέρεια 14:43 και Σελινιά/Κακή Βίγλα ~15:00. 2 νεκροί (ζευγάρι 72+91 ετών εντοπίστηκαν σε κατοικία), ~10 τραυματίες/εγκαυματίες. 500-570 άτομα απεγκλωβίστηκαν δια θαλάσσης. Στην αιχμή 10 εναέρια, 146→200 πυροσβέστες. Χωρίς ενιαίο μέτωπο από 17/8. Εκτός παραθύρου 3 ημερών (αρχή 16/8) — αναφέρεται στο Yutori email 20/8 (το Yutori αναγράφει λανθασμένα ημερομηνία 23/8). | 2 νεκροί ηλικιωμένο ζευγάρι · 9 εγκαυματίες (3 σοβαρά) · ~570 εκκενώθηκαν δια θαλάσσης · ισχυροί άνεμοι 7 μποφόρ · 2 πυροσβεστικά πλοία + 4 σκάφη ΛΣ-ΕΛΑΚΤ. Yutori email αναφέρει εσφαλμένα ημ. 23/8 — πολλαπλές ελληνικές πηγές επιβεβαιώνουν 16/8. Δεύτερο μέτωπο εκκίνησε 15:03 (Κακή Βίγλα/Σελήνια). | 2 νεκροί (ηλικιωμένο ζευγάρι, οδός Ανδρομάχης Περιστέρειας). 9 εγκαυματίες νοσηλεύτηκαν στο ΚΥ Σαλαμίνας. 593 απεγκλωβισμοί από θάλασσα. Χωρίς ενεργό μέτωπο από 17/08/2026 (ακριβής ώρα αδιευκρίνιστη). | 2 νεκροί (ηλικιωμένο ζεύγος, οδός Ανδρομάχης Περιστέρεια)· 10 τραυματίες/εγκαυματίες· 570–593 άτομα απεγκλωβίστηκαν δια θαλάσσης (Σατερλί, Κολώνες)· δεύτερη εστία Σελήνια/Κακή Βίγλα ξεκίνησε 15:03· ολονύχτια μάχη με αναζωπυρώσεις· Yutori ανέφερε λανθασμένα ημερομηνία 23/8 — πραγματική ημερομηνία 16/8 επιβεβαιωμένη από πολλαπλές πηγές·  ~3.600 στρέμματα (360 ha) | 2 νεκροί (ηλικιωμένο ζευγάρι), 8–10 εγκαυματίες, 593 απεγκλωβισμοί δια θαλάσσης (Σαντέρλι &amp; Κολώνες). Δύο ξεχωριστά μέτωπα. Yutori Scout αναφέρει εσφαλμένα ημερομηνία 23/8 — ιστοτόποι τεκμηριώνουν 16/8. | Δύο ταυτόχρονες πυρκαγιές: Περιστέρια (14:43) και Κακή Βίγλα Σεληνίων (15:03). 2 νεκροί (ηλικιωμένο ζευγάρι, οδός Ανδρομάχης). 9 εγκαυματίες. 571 απεγκλωβισμοί δια θαλάσσης. 7 εθελοντές ΕΟΔΑ Αττικής (2 οχήματα). Εκτεταμένες καταστροφές σε σπίτια.</t>
  </si>
  <si>
    <t>Περιστέρεια – Παραλία Σελινίων</t>
  </si>
  <si>
    <t>Από οικόπεδο με σκουπίδια οδ. Ανδρομάχης· έρευνα για αμέλεια ή εμπρησμό</t>
  </si>
  <si>
    <t>112: εκκένωση Περιστέρεια &amp; Αίας Κλαμπ, Κολώνες→Σατερλί, ΔΕΙ Χαλιώτη, Περάνι, Κακή Βίγλα &amp; Σελήνια – 570+ κάτοικοι απομακρύνθηκαν διά θαλάσσης (ΛΧ + ΠΛΣ)</t>
  </si>
  <si>
    <t>https://www.naftemporiki.gr/society/2150615/fotia-sti-salamina-plirofories-oti-entopistikan-dyo-nekroi/ ; https://www.newsit.gr/ellada/fotia-sti-salamina-diplo-pyrino-metopo-konta-se-spitia-oi-floges-mparaz-minymaton-112-kai-ekkenosi-dia-thalassis-apo-selinia-kai-kaki-vigla/4751865/ ; https://www.documentonews.gr/article/fotia-sti-salamina-me-dyo-nekrous-to-simeio-opou-kaikan-eikones-katastrofis-apo-to-perasma-tis-pyrkagias/ ; https://www.enikos.gr/society/salamina-apo-oikopedo-me-skoupidia-xekinise-i-pyrkagia-sta-peristeria-salamina/2629720/ ; https://gr.euronews.com/my-europe/2026/08/17/pyrkagies-sthn-ellada-ypoxwroyn-oi-floges-apokalyptetai-h-katastrofh ; https://www.theguardian.com/world/2026/aug/16/greek-island-salamis-belgium-high-fens-helicopters-wildfire ; https://www.pbs.org/newshour/world/firefighters-battle-massive-wildfires-in-belgium-and-greece-as-2-die-on-an-island-near-athens ; https://www.enikos.gr/society/salamina-apo-karvounakia-thymiatou-ilikiomenis-xekinise-pithanotata-i-fotia-sta-peristeria-ebrismo-deichnoun-ta-stoicheia-sta-selinia/2630549/ ; https://www.newsit.gr/ellada/tragodia-sti-salamina-2-nekroi-apo-ti-fotia-se-peristeria-kai-selinia-kaikan-spitia-pano-apo-570-atoma-apegklovistikan-dia-thalassis/4751916/ ; https://www.pontosnews.gr/858152/ellada/pyrkagia-sti-salamina-ameleia-kai-emprismos-me-diafora-ligon-lepton/ ; https://www.newsit.gr/ellada/fotia-sti-salamina-olonyxtia-maxi-me-tis-anazopyroseis-sta-peristeria-sovara-2-apo-tous-traymaties-polla-kamena-spitia/4752210/ ; https://www.megatv.com/2026/08/17/xoris-energo-metopo-i-fotia-sti-salamina-dyo-nekroi-o-tragikos-apologismos/ ; https://www.tanea.gr/2026/08/18/greece/fotia-stin-salamina-apo-ameleia-proklithike-pithanotata-to-metopo-sta-peristeria/ ; https://www.thetoc.gr/koinwnia/article/fotia-sti-salamina-itan-kathara-emprismos---olonuxtia-maxi-me-ton-purino-efialti-me-tragiko-apologismo-duo-nekrous/</t>
  </si>
  <si>
    <t>2 νεκροί (ηλικιωμένο ζευγάρι, Περιστέρεια), 9 τραυματίες, άνεμοι έως 61 km/h, 2 ταυτόχρονα μέτωπα (2ο εκδηλώθηκε 15:03) | 2 νεκροί (ηλικιωμένο ζευγάρι, οδ. Ανδρομάχης)· 8–9 τραυματίες· &gt;570 απεγκλωβισθέντες δια θαλάσσης· ~15 κατοικίες ζημιώθηκαν | 2 νεκροί (ζευγάρι ηλικιωμένων, οδ. Ανδρομάχης), 9 εγκαυματίες (εκ των οποίων 3 σοβαρά), 593 απεγκλωβισμένοι δια θαλάσσης (Σατερλί, Κολώνιες). Δύο ταυτόχρονα μέτωπα: Περιστέρεια (14:43) &amp; Σελίνια/Κακή Βίγλα (~15:03). Εξάπλωση σε 7 λεπτά λόγω ανέμων 7 Bf. Ολονύχτια μάχη με αναζωπυρώσεις. Κάηκαν σπίτια, εκτεταμένες ζημιές σε ακίνητα.</t>
  </si>
  <si>
    <t>Πυρκαγιά Σολωμού Κορινθίας</t>
  </si>
  <si>
    <t>Κορίνθου</t>
  </si>
  <si>
    <t>1</t>
  </si>
  <si>
    <t>Υπό διερεύνηση — Ανακριτικό Κλιμάκιο Εμπρησμού Κορινθίας.</t>
  </si>
  <si>
    <t>https://www.skai.gr/news/greece/korinthia-fotia-tora ; https://www.tanea.gr/2026/08/16/greece/fotia-ston-solomo-korinthias-anafores-gia-kykloforiaka-provlimata-stin-ethniki-odo/ ; https://www.newsbomb.gr/ellada/story/1756821/fotia-ston-solomo-korinthias-epixeiroyn-kai-enaeria-kykloforiaka-provlimata-stin-e-o ; https://www.newsit.gr/ellada/oriothetithike-i-fotia-ston-solomo-korinthias-sikothikan-2-aeroskafi-provlimata-stin-kykloforia-ton-oximaton/4751817/ ; https://www.documentonews.gr/article/ypo-elegcho-i-fotia-ston-solomo-korinthias/</t>
  </si>
  <si>
    <t>Χαμηλή βλάστηση/αγρωστώδη, Σολωμός. Κυκλοφοριακά προβλήματα στην Εθνική Οδό. Οριοθετήθηκε εντός 16/8. | Ξερά χόρτα / απορρίμματα κοντά στον αυτοκινητόδρομο Κορίνθου-Τριπόλεως (87ο χλμ.). Κυκλοφοριακά προβλήματα λόγω πυκνών καπνών (ρεύμα προς Αθήνα, ουρές χλμ.). Ομάδα πεζοπόρων 6ης ΕΜΟΔΕ, εθελοντές, υδροφόρες Δήμου Κορινθίων.</t>
  </si>
  <si>
    <t>08:00</t>
  </si>
  <si>
    <t>Κάτω Απροβάτου</t>
  </si>
  <si>
    <t>1 ομάδα πεζοπόρου τμήματος</t>
  </si>
  <si>
    <t>δημοτικά βυτιοφόρα</t>
  </si>
  <si>
    <t>εθελοντές πυροσβέστες</t>
  </si>
  <si>
    <t>υπό διερεύνηση (Ανακριτικό Κλιμάκιο Εμπρησμού Κυκλάδων)</t>
  </si>
  <si>
    <t>112: προληπτική ενημέρωση κατοίκων και επισκεπτών (εκκένωση δεν εκδόθηκε) | 112 ενημέρωση κατοίκων και επισκεπτών· οχήματα προληπτικά κοντά σε γύρω οικισμούς | ναι</t>
  </si>
  <si>
    <t>https://www.ertnews.gr/eidiseis/pyrkagia-tora-se-agrotodasiki-ektasi-stin-andro-megali-kinitopoiisi-tis-pyrosvestikis/ ; https://www.cretalive.gr/ellada/pyrkagia-se-agrotodasiki-ektasi-stin-andro-estali-112-gia-enimerosi ; https://www.tanea.gr/2026/08/16/greece/fotia-stin-andro-ixise-proliptika-to-112/ ; https://www.ertnews.gr/eidiseis/maxi-me-tis-floges-kai-ta-mpofor-se-skyro-kai-andro-epicheiroun-enaeria-mesa-ixisan-112/ ; https://www.topontiki.gr/2026/08/16/andros-oriothetithike-i-fotia-stalthike-minima-tou-112-gia-etimotita/ ; https://www.newsit.gr/ellada/oriothetithike-i-fotia-stin-andro-stalthike-minyma-tou-112-gia-etoimotita/4751685/ ; https://www.reportaznet.gr/2026/08/blog-post_48.html</t>
  </si>
  <si>
    <t>Χαμηλή βλάστηση και πουρνάρια — χωρίς παρακείμενα δάση (θετικό). Άνεμοι ~7 μποφόρ. | Χαμηλή βλάστηση και πουρνάρια· άνεμοι ~7 μποφόρ· χάρτης ΓΓΠΠ 16/8: Κυκλάδων ΠΟΛΥ ΥΨΗΛΗ (4) | Μήνυμα 112 για ετοιμότητα (όχι εκκένωση). Πυρκαγιά σε αγροτοδασική έκταση — χαμηλή βλάστηση και πουρνάρι. Χωρίς ενεργό μέτωπο.</t>
  </si>
  <si>
    <t>Ξηροπόταμος Σαμοθράκης</t>
  </si>
  <si>
    <t>Σαμοθράκη</t>
  </si>
  <si>
    <t>εθελοντές, στρατός (41η ΤΑΞ), τεχνική υπηρεσία δήμου</t>
  </si>
  <si>
    <t>αγνώστου αιτίας</t>
  </si>
  <si>
    <t>https://www.newsbeast.gr/greece/arthro/13296169/fotia-sti-samothraki-stin-periochi-xiropotamos-epicheiroun-3-aeroskafi-kai-1-elikoptero-ichise-to-112-gia-etoimotita ; https://www.tovima.gr/2026/08/15/society/fotia-sti-samothraki-112-gia-proeidopoiisi-kinitopoiithikan-1-elikoptero-3-aeroskafi ; https://kavalanews.gr/61359-oriothetithike-i-pyrkagia-xiropotamo-samothrakis-ekklisi-lelogismeni-katanalosi-neroy ; https://www.thrakinea.gr/archives/202330 ; https://www.evros-news.gr/2026/08/15/samothraki-tora-pyrkagia-ston-xiropotamo-oi-floges-se-elaiones-amesi-epemvasi-tis-pyrosvestikis/ ; https://www.skai.gr/news/greece/fotia-ston-ksiropotamo-samothrakis-minyma-112</t>
  </si>
  <si>
    <t>112 εστάλη στις 18:27 για ετοιμότητα. Φωτιά σε ελαιώνες κοντά στον παλαιό μύλο Ξηροποτάμου. Βοήθεια από υδροφόρες Δήμου Σαμοθράκης. Κινητοποιήθηκε αρσονοαρχηγός για διερεύνηση αιτίας. | φλόγες σε ελαιώνες· χαμηλή βλάστηση· ισχυροί άνεμοι· έκκληση για λελογισμένη κατανάλωση νερού λόγω πυρόσβεσης</t>
  </si>
  <si>
    <t>Αγροτοδασική έκταση Νέας Μηχανιώνας</t>
  </si>
  <si>
    <t>Νέα Μηχανιώνα</t>
  </si>
  <si>
    <t>υπό διερεύνηση (Ανακριτικό Κλιμάκιο Εμπρησμού Θεσσαλονίκης)</t>
  </si>
  <si>
    <t>https://www.newsit.gr/ellada/ypo-elegxo-i-fotia-se-agrotodasiki-ektasi-sti-mixaniona-thessalonikis-sikothikan-kai-2-elikoptera/4751514/ ; https://www.cnn.gr/ellada/story/548022/fotia-sti-n-mixaniona-thessalonikis-sikothikan-dyo-elikoptera ; https://www.voria.gr/article/fotia-sti-nea-mihaniona-thessalonikis-epiheiroyn-17-pyrosbestes-kai-dyo-elikoptera ; https://www.makedonikanea.gr/ellada/thessaloniki-pyrkagia-se-xira-horta-sti-nea-mihaniona-sti-mahi-2-elikoptera</t>
  </si>
  <si>
    <t>Χωρίς ενεργό μέτωπο. Βοήθεια από υδροφόρες Δήμου Νέας Μηχανιώνας. Ισχυροί άνεμοι.</t>
  </si>
  <si>
    <t>Ατσίτσα</t>
  </si>
  <si>
    <t>Σποράδων</t>
  </si>
  <si>
    <t>Σκύρος</t>
  </si>
  <si>
    <t>6 ομάδες πεζοπόρου (1η, 4η, 18η ΕΜΟΔΕ)</t>
  </si>
  <si>
    <t>υδροφόρα Δήμου Σκύρου</t>
  </si>
  <si>
    <t>εθελοντές Δήμου Σκύρου</t>
  </si>
  <si>
    <t>112 16:31: εκκένωση Αγίου Φωκά προς Αχερούνες (κεντρική περιμετρική οδός)· 112 18:15: εκκένωση Πεύκου προς Χώρα Σκύρου (κεντρική περιμετρική οδός) | ναι – Πεύκος, Άγιος Φωκάς | 112 16:31: εκκένωση Αγίου Φωκά προς Αχερούνες· ~18:15: εκκένωση Πεύκου προς Χώρα Σκύρου</t>
  </si>
  <si>
    <t>https://www.enikos.gr/society/fotia-sti-skyro-neo-minyma-apo-to-112-ekkenonetai-kai-i-periochi-pefko/2629465/ ; https://www.newsbeast.gr/greece/arthro/13296154/pyrkagia-stin-atsitsa-skyrou-epicheiroun-6-aeroskafi-kai-4-elikoptera-minyma-112-na-ekkenothoun-pefkos-kai-agios-fokas ; https://www.ertnews.gr/eidiseis/ellada/pyrkagia-stin-atsitsa-skyrou-112-gia-ekkenosi-tou-agiou-foka/ ; https://www.cnn.gr/ellada/story/548001/synagermos-gia-fotia-se-dasiki-ektasi-stin-skyro-epixeiroyn-enaeria-mesa ; https://www.newsit.gr/ellada/dekapentaygoustos-poly-ypsilos-kindynos-pyrkagias-se-21-perioxes-oriothetimeni-i-fotia-stin-ko-xoris-energo-metopo-sto-rethymno/4751207/ ; https://www.lifo.gr/now/greece/fotia-tora-sti-skyro-kinitopoiithikan-pente-enaeria-mesa ; https://www.tanea.gr/2026/08/15/greece/fotia-stin-skyro-ixise-kai-to-112/ ; https://www.ertnews.gr/eidiseis/ellada/pyrkagia-stin-atsitsa-skyrou-minyma-112-na-ekkenothoun-peyko-kai-agios-fokas/ ; https://www.madata.gr/epikairotita/social/972534-fotia-sti-skyro-ekdothikan-minymata-112-gia-ekkenosi-oikismon-enischyontai-oi-dynameis.html ; https://www.ertnews.gr/eidiseis/pyrkagia-sti-skyro-enisxyseis-apo-attiki-eyvoia-kai-thessalia-eftasan-sto-nisi-dyskoli-maxi-sto-metopo-pros-to-peyko/ ; https://www.ertnews.gr/eidiseis/ellada/olonyxtia-maxi-me-tis-floges-sti-skyro-enisxyontai-oi-dynameis/ ; https://www.flash.gr/fotia-tora-se-dasiki-ektasi-stin-atsitsa-skyroy-1076863 ; https://www.tanea.gr/2026/08/15/greece/skyros-olonlyxtia-maxi-me-tis-floges-enisxysi-epigeion-dynameon-gia-tin-katasvesi/ ; https://www.madata.gr/epikairotita/social/972521-fotia-sti-skyro-synagermos-112-gia-ekkenosi-toy-agioy-foka.html</t>
  </si>
  <si>
    <t>Σε εξέλιξη ως 18:48 15/8. Άνεμοι 7+ μποφόρ. +8 πυροσβέστες από Εύβοια δια θαλάσσης, +28 με C-27 από Ελευσίνα. Εορτή Δεκαπενταύγουστου. | Ισχυροί άνεμοι &gt;7 μποφόρ. 112 εκκένωση: Πεύκος, Άγιος Φωκάς. Ενισχύθηκαν δυνάμεις (6 α/φ + 4 ελικόπτερα επιβεβαιωμένα). | Πυκνό πευκοδάσος. Άνεμοι 7-8 μποφόρ. Ενισχύσεις από Αττική/Εύβοια/Θεσσαλία δια θαλάσσης. Ολονύχτια μάχη. Πυρκαγιά προελαύνει προς Πεύκο.</t>
  </si>
  <si>
    <t>2026-08-16</t>
  </si>
  <si>
    <t>Ατσίτσα Σκύρου</t>
  </si>
  <si>
    <t>Σκύρου</t>
  </si>
  <si>
    <t>5 ομάδες πεζοπόρων τμημάτων (1ης, 4ης, 18ης ΕΜΟΔΕ)</t>
  </si>
  <si>
    <t>υπό διερεύνηση (υποψία εμπρησμού – δήμαρχος Σκύρου)</t>
  </si>
  <si>
    <t>112 ~16:30 15/8: εκκένωση Αγίου Φωκά μέσω κεντρικής περιφερειακής οδού προς Αχερώνες· 112 ~18:00 15/8: εκκένωση Πεύκου μέσω κεντρικής περιφερειακής οδού προς Χώρα Σκύρου | 112 16:31: εκκένωση Αγίου Φωκά προς Αχερούνες· 112 18:15: εκκένωση Πεύκου προς Χώρα Σκύρου | 112 ~16:31 εκκένωση Αγίου Φωκά → Αχερούντες· μεταγενέστερο 112 εκκένωση Πεύκου → κεντρικός περιμετρικός δρόμος προς πόλη Σκύρου | 112 16:31: εκκένωση Αγίου Φωκά προς Αχερούνες· 112 ~18:30: εκκένωση Πεύκο μέσω κεντρικής περιμετρικής οδού προς Χώρα Σκύρου | 15/8 ~18:15 εκκένωση Αγίου Φωκά προς Αχερούντες· 15/8 ~18:31 εκκένωση Πεύκου προς Χώρα Σκύρου | 112: εκκένωση Αγίου Φωκά→Αχερούνες· εκκένωση Πεύκου μέσω κεντρικής περιφερειακής→Χώρα Σκύρου</t>
  </si>
  <si>
    <t>https://www.ertnews.gr/eidiseis/ellada/pyrkagia-stin-atsitsa-skyrou-minyma-112-na-ekkenothoun-peyko-kai-agios-fokas/ ; https://www.ertnews.gr/eidiseis/ellada/olonyxtia-maxi-me-tis-floges-sti-skyro-enisxyontai-oi-dynameis/ ; https://www.newsbeast.gr/greece/arthro/13296154/pyrkagia-stin-atsitsa-skyrou-epicheiroun-6-aeroskafi-kai-4-elikoptera-minyma-112-na-ekkenothoun-pefkos-kai-agios-fokas ; https://www.in.gr/2026/08/16/greece/mainetai-i-megali-fotia-sti-skyro-enisxythikan-oi-pyrosvestikes-dynameis-sikothikan-eksi-enaeria/ ; https://www.dnews.gr/eidhseis/ellada/604977/fotia-sti-skyro-ektos-elegxou-simera-me-anemous-eos-7-bofor-agonia-gia-ton-oikismo-peyko ; https://www.ertnews.gr/eidiseis/ellada/pyrkagia-stin-atsitsa-skyrou-112-gia-ekkenoseis-dyo-oikismon-enisxythikan-oi-dynameis/ ; https://www.ertnews.gr/eidiseis/pyrkagia-sti-skyro-enisxyseis-apo-attiki-eyvoia-kai-thessalia-eftasan-sto-nisi-dyskoli-maxi-sto-metopo-pros-to-peyko/ ; https://www.ertnews.gr/eidiseis/ellada/energopoiithike-i-ypiresia-copernicus-gia-tin-katagrafi-ton-kamenon-ektaseon-sti-skyro/ ; https://www.newsit.gr/ellada/fotia-sti-skyro-maxi-se-dyo-metopa-me-anemous-ano-ton-7-mpofor-veltiomeni-i-eikona/4751749/ ; https://www.protothema.gr/greece/article/1865272/fotia-tora-sti-skuro-sikothikan-kai-enaeria-mesa/ ; https://www.france24.com/en/live-news/20260816/firefighters-battle-second-day-of-blaze-on-greek-island ; https://www.ertnews.gr/eidiseis/ellada/ολονύχτια-μάχη-με-τις-φλόγες-στη-σκύρο-ενισχύσεις-από-αττική-εύβοια-και-θεσσαλία-eftasan-sto-nisi/ ; https://www.cretalive.gr/ellada/pyrkagia-sti-skyro-3636-stremmata-i-perimetros-tis-kamenis-ektasis-apo-tin-katagrafi-tis ; https://www.euronews.com/my-europe/2026/08/16/europe-continues-to-battle-wildfires-as-belgium-sees-biggest-blaze-in-recorded-history ; https://gr.euronews.com/my-europe/2026/08/17/pyrkagies-sthn-ellada-ypoxwroyn-oi-floges-apokalyptetai-h-katastrofh ; https://www.ertnews.gr/eidiseis/ellada/veltiomeni-i-eikona-tis-fotias-sti-skyro-staxti-pano-apo-3-600-stremmata/ ; https://www.newsit.gr/ellada/fotia-sti-skyro-sikothikan-6-aeroskafi-kai-4-elikoptera-minyma-tou-112-gia-ekkenosi-tou-oikismou-agios-fokas-kai-peyko/4751467/ ; https://www.tanea.gr/2026/08/16/greece/skyros-pano-apo-3-600-stremmata-kaikan-apo-ti-megali-pyrkagia-veltiomeni-i-eikona-sto-meto/ ; https://www.emakedonia.gr/skyros-kaikan-perissotera-apo-3-600-stremmata-kata-ti-diarkeia-tis-nychtas-i-teliki-machi-822059 ; https://www.thestival.gr/eidiseis/perivallon/pyrkagia-sti-skyro-3-636-stremmata-i-perim/ ; https://www.skai.gr/news/environment/copernicus-gia-ti-fotia-sti-skyro-3636-stremmata-i-perimetros-ton-kamenon ; https://www.ertnews.gr/roi-idiseon/i-epomeni-imera-tis-megalis-pyrkagias-sti-skyro/ ; https://www.ertnews.gr/eidiseis/pyrkagia-stin-atsitsa-skyrou-112-gia-ekkenoseis-dyo-oikismon-enisxythikan-oi-dynameis/ ; https://www.documentonews.gr/article/nea-fotia-sti-skyro-estali-minyma-112-gia-ekkenosi/ ; https://www.newsbeast.gr/greece/arthro/13296154/pyrkagia-stin-atsitsa-skyrou-epixeiroun-6-aeroskafi-kai-4-elikoptera-minyma-112-na-ekkenothoun-pefkos-kai-agios-fokas ; https://www.ertnews.gr/eidiseis/ellada/olonyxtia-maxi-me-tis-floges-sti-skyro-eniskyontai-oi-dynameis/ ; https://www.capital.gr/epikairotita/4010951/purkagia-sti-skuro-3636-stremmata-i-perimetros-tis-kamenis-ektasis-apo-tin-katagrafi-tis-upiresias-copernicus/ ; https://www.documentonews.gr/article/fotia-sti-skyro-stachti-eginan-pano-apo-3-600-stremmata-choris-eniaio-metopo-i-pyrkagia/</t>
  </si>
  <si>
    <t>Ισχυροί άνεμοι 7-8 μποφόρ. Αεροπυρόσβεση ανεσταλμένη τμηματικά τη νύχτα. Ενισχύσεις δια πλοίου από Κύμη (Αττική, Εύβοια, Θεσσαλία). Copernicus ενεργοποιήθηκε. Εκτός ελέγχου 16/8 πρωί. | 2 μέτωπα: νότιο→Αγ. Φωκάς, ανατολικό→Πεύκος· άνεμοι 7–8 μποφόρ· Copernicus ενεργοποιήθηκε για καταγραφή καμένων εκτάσεων· 22 πυροσβέστες αρχικά (12+10 από Κύμη)· βελτιωμένη εικόνα 16/8 πρωί· χάρτης ΓΓΠΠ 15/8: Εύβοιας ΠΟΛΥ ΥΨΗΛΗ (4) | Copernicus (16/8 10:42): 3.636 στρ. = 363,6 ha. Πυκνό δάσος πεύκων που είχε αναγεννηθεί μετά πυρκαγιά 2008. Ενισχύσεις: 20 πυρ. + 5 οχ. Αττική, 6 πυρ. + 3 οχ. Εύβοια, 4 πυρ. + 2 οχ. Θεσσαλία (via Κύμη). Διάσπαρτες εστίες 16/8. | Πυκνό πευκοδάσος· ισχυροί άνεμοι 7-8 Bf σε α΄ φάση· 3.636 στρέμματα (364 ha) σύμφωνα με Copernicus 16/8· ολονύκτια μάχη· υπό έλεγχο 17/8 με παραμονή δυνάμεων για σκόρπιες εστίες | Πευκοδάσος 3.636 στρ. (363,6 ha) κατά Copernicus 16/8 10:42. Δύο ταυτόχρονα μέτωπα. Ισχυροί άνεμοι. 10 επιπλέον πυροσβέστες με 5 οχήματα από Κύμι Εύβοιας δια θαλάσσης. Σκόρπιες εστίες υπό παρακολούθηση 17/8. | Έναρξη 15/8· ενεργή 2η ημέρα 16/8· υπό έλεγχο 17/8, διάσπαρτες εστίες· 3.636 στρέμματα (363,6 ha) πυκνού πευκοδάσους κατεγράφησαν από Copernicus (δορυφορική λήψη 16/8, 10:42) | 3.636 στρέμματα πυκνού πευκοδάσους· σκόρπιες εστίες υπό παρακολούθηση 17/8· danger_level αφορά 16/8 | 3.636 στρέμ. (363,6 ha) πυκνού πευκοδάσους· άνεμοι 7–8 Bf· ενισχύσεις διά θαλάσσης από Αττική, Εύβοια, Θεσσαλία</t>
  </si>
  <si>
    <t>Υπό διερεύνηση — Ανακριτικό Κλιμάκιο Εμπρησμού Εύβοιας.</t>
  </si>
  <si>
    <t>https://www.cnn.gr/ellada/story/548146/copernicus-gia-fotia-sti-skyro-staxti-3-636-stremmata-maxi-se-diaspartes-esties ; https://www.tanea.gr/2026/08/16/greece/skyros-pano-apo-3-600-stremmata-kaikan-apo-ti-megali-pyrkagia-veltiomeni-i-eikona-sto-meto/ ; https://www.newsbeast.gr/greece/arthro/13296154/pyrkagia-stin-atsitsa-skyrou-epicheiroun-6-aeroskafi-kai-4-elikoptera-minyma-112-na-ekkenothoun-pefkos-kai-agios-fokas ; https://www.flash.gr/fotia-tora-se-dasiki-ektasi-stin-atsitsa-skyroy-1076863 ; https://www.newsit.gr/ellada/fotia-sti-skyro-maxi-se-dyo-metopa-me-anemous-ano-ton-7-mpofor-veltiomeni-i-eikona/4751749/ ; https://www.capital.gr/epikairotita/4010951/purkagia-sti-skuro-3636-stremmata-i-perimetros-tis-kamenis-ektasis-apo-tin-katagrafi-tis-upiresias-copernicus/ ; https://www.documentonews.gr/article/fotia-sti-skyro-stachti-eginan-pano-apo-3-600-stremmata-choris-eniaio-metopo-i-pyrkagia/</t>
  </si>
  <si>
    <t>Πυκνό πευκοδάσος, άνεμοι &gt;7 μποφόρ. Δύο μέτωπα: Άγιος Φωκάς και Πεύκος. Εκκένωση και των δύο οικισμών μέσω 112. 20 πυροσβέστες με 6 οχήματα μεταφέρθηκαν δια θαλάσσης από Κύμη Εύβοιας. Copernicus (δορυφορική εικόνα 16/8): 3.636 στρ. = 363,6 ha. Διάσπαρτες εστίες.</t>
  </si>
  <si>
    <t>Ατσίτσα, Σκύρος</t>
  </si>
  <si>
    <t>6</t>
  </si>
  <si>
    <t>υπό διερεύνηση (Εγκληματολογική Υπηρεσία Εύβοιας)</t>
  </si>
  <si>
    <t>15/8 16:31 εκκένωση Αγίου Φωκά→Αχερούνες· 15/8 18:30 εκκένωση Πεύκου→Χώρα Σκύρου (πολλαπλά 112) | 16:31 εκκένωση Αγ. Φωκά· 18:15 εκκένωση Πεύκου</t>
  </si>
  <si>
    <t>https://www.france24.com/en/live-news/20260816/firefighters-battle-second-day-of-blaze-on-greek-island ; https://gr.euronews.com/my-europe/2026/08/17/pyrkagies-sthn-ellada-ypoxwroyn-oi-floges-apokalyptetai-h-katastrofh ; https://www.tanea.gr/2026/08/16/greece/skyros-pano-apo-3-600-stremmata-kaikan-apo-ti-megali-pyrkagia-veltiomeni-i-eikona-sto-meto/ ; https://www.ertnews.gr/eidiseis/pyrkagia-sti-skyro-enisxyseis-apo-attiki-eyvoia-kai-thessalia-eftasan-sto-nisi-dyskoli-maxi-sto-metopo-pros-to-peyko/ ; https://www.flash.gr/fotia-tora-se-dasiki-ektasi-stin-atsitsa-skyroy-1076863 ; https://www.documentonews.gr/article/nea-fotia-sti-skyro-estali-minyma-112-gia-ekkenosi/ ; https://www.cretalive.gr/ellada/pyrkagia-sti-skyro-3636-stremmata-i-perimetros-tis-kamenis-ektasis-apo-tin-katagrafi-tis ; https://www.euronews.com/my-europe/2026/08/16/europe-continues-to-battle-wildfires-as-belgium-sees-biggest-blaze-in-recorded-history ; https://www.newsbeast.gr/greece/arthro/13296154/pyrkagia-stin-atsitsa-skyrou-epicheiroun-6-aeroskafi-kai-4-elikoptera-minyma-112-na-ekkenothoun-pefkos-kai-agios-fokas ; https://www.thetoc.gr/koinwnia/article/fotia-sti-skuro-pano-apo-3600-ta-kamena-stremmata-sumfona-me-to-copernicus---paramenoun-diaspartes-esties/ ; https://www.emakedonia.gr/skyros-kaikan-perissotera-apo-3-600-stremmata-kata-ti-diarkeia-tis-nychtas-i-teliki-machi-822059 ; https://www.tovima.gr/2026/08/15/society/fotia-sti-skyro-estali-minyma-ekkenosis-tou-agiou-foka-isxyres-dynameis-kai-enaeria-mesa ; https://www.thetoc.gr/koinwnia/article/fotia-skuros-enisxuseis-apo-attiki-euboia-kai-thessalia-sto-nisi---maxi-me-tis-floges---sikothikan-enaeria/ ; https://www.skai.gr/news/environment/copernicus-gia-ti-fotia-sti-skyro-3636-stremmata-i-perimetros-ton-kamenon ; https://www.protothema.gr/greece/article/1865607/fotia-sti-skuro-pano-apo-3600-ta-kamena-stremmata-sumfona-me-to-copernicus-paramenoun-diaspartes-esties/ ; https://radar.gr/article/mainetai-i-fotia-se-dasos-stin-skyro-enischythikan-oi-dynameis-epicheiroun-16-enaeria ; https://www.megatv.com/2026/08/16/maxi-me-tis-floges-kai-tous-thyellodeis-anemous-sti-skyro-tria-ta-kyria-metopa ; https://news.gtp.gr/2026/08/17/greece-wildfires-damage-assessments-begin-in-salamina-and-skyros/</t>
  </si>
  <si>
    <t>3.636 στρέμματα (363,6 ha) πυκνού πευκοδάσους κατά Copernicus· ολονύχτια μάχη 15-16/8· ενισχύσεις από Αττική, Εύβοια, Θεσσαλία· μέτωπο κινείτο νότια προς Πεύκο· σκόρπιες εστίες υπό παρακολούθηση 17/8 | 3.636 στρέμματα (364 ha) πυκνού πευκοδάσους. Επιχειρήσεις για 2η ημέρα στις 16/8. Σκόρπιες εστίες υπό παρακολούθηση στις 17/8. | Copernicus: 3.636 στρέμματα επιβεβαιωμένη έκταση (≈364 ha)· Ανακριτικό Κλιμάκιο Εμπρησμού Εύβοιας κινητοποιήθηκε· φλόγες υποχωρούσαν έως 17/8 | Copernicus (16/08 10:42): 3.636 στρέμματα = 363,6 ha. Ισχυροί άνεμοι &gt;7 Bf. Πυκνό πευκοδάσος αναγεννημένο μετά πυρκαγιά 2008 στο ίδιο σημείο. | Μεγάλη πυρκαγιά σε πευκοδάσος με τρία κύρια μέτωπα. Ενισχύσεις από Αττική, Εύβοια, Θεσσαλία· στο ζενίθ 16 εναέρια μέσα. Copernicus (16/8, 10:42): 3.636 στρέμματα = 363,6 ha καμένα. Μετά την καταγραφή παρέμεναν διάσπαρτες εστίες.</t>
  </si>
  <si>
    <t>15:50</t>
  </si>
  <si>
    <t>Κοινότητα Λύσου (Ποταμούδες &amp; Μερσίνια), Αττική</t>
  </si>
  <si>
    <t>Λύσος</t>
  </si>
  <si>
    <t>57 Τμήμα Δασών, 12 Πυροσβεστική, 10 Πολιτική Άμυνα, 2 Υπηρεσία Θήρας &amp; Πανίδας</t>
  </si>
  <si>
    <t>υπό διερεύνηση (δύο ξεχωριστές εστίες σε απόσταση ~500 μ.)</t>
  </si>
  <si>
    <t>https://www.facebook.com/DepartmentOfForests/videos/1294397859296624/ ; https://www.taxidromos24.com/2026/08/16/δασικές-πυρκαγιές-στη-λυσού-αντιμετώπ/ ; https://www.taxidromos24.com/2026/08/16/%CE%B4%CE%B1%CF%83%CE%B9%CE%BA%CE%AD%CF%82-%CF%80%CF%85%CF%81%CE%BA%CE%B1%CE%B3%CE%B9%CE%AD%CF%82-%CF%83%CF%84%CE%B7-%CE%BB%CF%85%CF%83%CE%BF%CF%8D-%CE%B1%CE%BD%CF%84%CE%B9%CE%BC%CE%B5%CF%84%CF%8E%CF%80/ ; https://www.taxidromos24.com/2026/08/15/%CF%85%CF%80%CF%8C-%CF%80%CE%BB%CE%AE%CF%81%CE%B7-%CE%AD%CE%BB%CE%B5%CE%B3%CF%87%CE%BF-%CE%B4%CE%B1%CF%83%CE%B9%CE%BA%CE%AD%CF%82-%CF%80%CF%85%CF%81%CE%BA%CE%B1%CE%B3%CE%B9%CE%AD%CF%82-%CF%83%CF%84/ ; https://www.facebook.com/DepartmentOfForests/videos/%CF%85%CF%80%CF%8C-%CF%80%CE%BB%CE%B7%CF%81%CE%B7-%CE%AD%CE%BB%CE%B5%CE%B3%CF%87%CE%BF-%CE%B4%CE%B1%CF%83%CE%B9%CE%BA%CE%AD%CF%82-%CF%80%CF%85%CF%81%CE%BA%CE%B1%CE%B3%CE%B9%CE%AD%CF%82-%CF%83%CF%84%CE%B7-%CE%BA%CE%BF%CE%B9%CE%BD%CF%8C%CF%84%CE%B7%CF%84%CE%B1-%CE%BB%CF%85%CF%83%CE%BF%CF%8D-%CF%83%CF%84%CE%B9%CF%82-%CF%80%CE%B5%CF%81%CE%B9%CE%BF%CF%87%CE%AD%CF%82-%CF%80%CE%BF%CF%84%CE%B1%CE%BC%CE%BF%CF%8D%CE%B4%CE%B5%CF%82-/1294397859296624/ ; https://www.france24.com/en/live-news/20260816/firefighters-battle-second-day-of-blaze-on-greek-island ; https://www.taxidromos24.com/2026/08/16/%CE%B4%CE%B1%CF%83%CE%B9%CE%BA%CE%AD%CF%82-%CF%80%CF%85%CF%81%CE%BA%CE%B1%CE%B3%CE%B9%CE%AD%CF%82-%CF%83%CF%84%CE%B7-%CE%BB%CF%85%CF%83%CE%BF%CF%8D-%CE%B1%CE%BD%CF%84%CE%B9%CE%BC%CE%B5%CF%84%CF%8E/ ; https://dialogos.com.cy/neotera-apo-ti-lyso-ypo-elegcho-i-megali-fotia-giati-exetazetai-kakovoyli-energeia/</t>
  </si>
  <si>
    <t>Πρώτη εστία «Ποταμούδες» 15:50 EEST, δεύτερη εστία «Μερσίνια» 17:45 EEST· αγροτοδασική βλάστηση ~7 ha· αιτία ύποπτη λόγω διπλής εστίας | Δυνάμεις ανά φορέα: 57 Τμήμα Δασών (11 οχήματα), 12 Πυροσβεστική (5 οχήματα), 10 Πολιτική Άμυνα (1 όχημα), 2 Τμήμα Θήρας &amp; Πανίδας (1 όχημα). Επιπλέον εξοπλισμός: 6 μπουλντόζες, 2 γεωρ. τρακτέρ, 1 βυτιοφόρο, 1 εκσκαφέας. 9 αεροσκάφη υπό επιχείρηση «Ίκαρος 2». Συντονισμός: Δρ. Σάββας Ιεζεκιήλ. | Δύο ξεχωριστές εστίες σε απόσταση ~500μ· πρώτη εστία 15:50 (Ποταμούδες), δεύτερη 17:45 (Μερσίνια)· υπό πλήρη έλεγχο από 17:45· αιτία υπό διερεύνηση | Δύο ξεχωριστές εστίες σε απόσταση ~500μ. Δεύτερη εστία εκδηλώθηκε στις 17:45 EEST. Αμφότερες υπό πλήρη έλεγχο από 17:45. | Δύο ξεχωριστές εστίες σε απόσταση ~500 μ. — πρώτη 15:50, δεύτερη 17:45 EEST. Υπό πλήρη έλεγχο από 17:45. Αίτιο υπό διερεύνηση. | Επιπλέον βαρύς εξοπλισμός: 6 προωθητές γαιών, 2 γεωργικοί ελκυστήρες, 1 βυτιοφόρο, 1 εκσκαφέας</t>
  </si>
  <si>
    <t>Καρελά-Φράττι Κορωπίου</t>
  </si>
  <si>
    <t>1 πεζοπόρο τμήμα 1ης ΕΜΟΔΕ</t>
  </si>
  <si>
    <t>112 για ετοιμότητα κατοίκων περιοχής</t>
  </si>
  <si>
    <t>https://www.skai.gr/news/greece/pyrkagia-tora-sto-koropi-sikothikan-enaeria ; https://www.reader.gr/ellada/fotia-tora-sto-koropi-amesi-kinitopoiisi-tis-pyrosbestikis/657814 ; https://www.topontiki.gr/2026/08/15/koropi-fotia-stin-periochi-karela-sti-machi-ke-enaeria-mesa/ ; https://www.tanea.gr/2026/08/15/greece/fotia-sto-koropi-isxyres-pyrosvestikes-dynameis-stin-perioxi-karela/ ; https://www.enikos.gr/society/fotia-sto-koropi-kaiei-se-ektasi-me-chamili-vlastisi/2629384/ ; https://www.dnews.gr/eidhseis/ellada/604163/fotia-tora-se-xamili-vlastisi-sto-koropi-attikis-ixise-to-112 ; https://www.zougla.gr/greece/ypo-elegcho-i-fotia-sto-koropi/ ; https://www.documentonews.gr/article/fotia-tora-sto-koropi-enaeria-mesa-epicheiroun-sto-simeio/ ; https://todaypress.gr/2026/08/15/fotia-sto-koropi-synagermos-stin-pyrosvestiki-stin-periochi-karela/</t>
  </si>
  <si>
    <t>Χαμηλή βλάστηση και απορρίμματα. Κατεσβέστηκε σε 15 λεπτά. | Χαμηλή βλάστηση στη συμβολή Πεισίστρατου–Δημοσθένους· εναέρια μέσα ανακλήθηκαν· χάρτης ΓΓΠΠ 15/8: Αττικής ΠΟΛΥ ΥΨΗΛΗ (4)</t>
  </si>
  <si>
    <t>19:15</t>
  </si>
  <si>
    <t>21:38</t>
  </si>
  <si>
    <t>Σελλιά Ρεθύμνου</t>
  </si>
  <si>
    <t>Αγίου Βασιλείου</t>
  </si>
  <si>
    <t>Εμπρησμός εξ αμελείας (χρήση ψησταριάς σε βίλα)</t>
  </si>
  <si>
    <t>112 ~19:30: εκκένωση Φωτεινάρι &amp; Σούδα → παραλία Κόρακα Ροδάκινου (οδός Αγίου Βασιλείου) | ναι</t>
  </si>
  <si>
    <t>https://thetoc.gr/koinwnia/613469/fotia-sto-notio-rethumno-ixise-to-112-gia-ekkenosi-ton-perioxon-foteinari-kai-souda---konta-se-katoikimeni-perioxi ; https://www.news247.gr/ellada/fotia-sti-sto-rethimno-minima-112-gia-ekkenosi-perioxon/ ; https://www.newsit.gr/ellada/xoris-energo-metopo-i-fotia-ston-foinika-rethymnou-ixise-112-gia-ekkenosi-ton-perioxon-foteinari-kai-souda/4751043/ ; https://flashnews.gr/post/1058399/fotia-xespase-sta-sellia-rethymnou-pyknoi-kapnoi-mechri-tin-paralia-tou-plakia-foto-vinteo/ ; https://www.huffingtonpost.gr/kinonia/fotia-sto-rethymno-minyma-112-gia-ekkenosi-dyo-periochon/ ; https://www.documentonews.gr/article/fotia-tora-ston-foinika-rethymnou-112-gia-ekkenosi-oikismon/ ; https://www.newsbeast.gr/greece/arthro/13294965/fotia-sta-sellia-rethymnou-choris-energo-metopo-i-pyrkagia-meta-ti-machi-me-tous-anemous ; https://maleviziotis.gr/2026/08/16/rethymno-ston-eisangelea-o-35chronos-gia-ti-fotia-sta-sellia-ola-xekinisan-apo-ena-barbekiou/ ; https://flashnews.gr/post/1058426/rethymno-oriothetimeni-kai-choris-energo-metopo-i-fotia-sta-sellia-paramenei-sto-simeio-i-pyrosvestiki-pros-apofygin-anazopyroseon/</t>
  </si>
  <si>
    <t>αγροτοδασική περιοχή· βόρειοι άνεμοι 6 Bf ριπές 7 Bf | 35χρονος αλλοδαπός (Ισραηλινός) συνελήφθη επ' αυτοφώρω και παραπέμφθηκε σε εισαγγελέα (16-08-2026). Ο ιδιοκτήτης της βίλας είχε απαγορεύσει χρήση ψησταριάς. Προληπτική εκκένωση Φωτεινάρι–Σούδα μέσω 112 (~19:30).</t>
  </si>
  <si>
    <t>Φοίνικας - Σελλιά</t>
  </si>
  <si>
    <t>3 ομάδες πεζοπόρων 3ης &amp; 19ης ΕΜΟΔΕ</t>
  </si>
  <si>
    <t>υδροφόρες Δήμου Αγίου Βασιλείου</t>
  </si>
  <si>
    <t>Εμπρησμός εξ αμελείας — χρήση ψησταριάς από 35χρονο Ισραηλινό (συνελήφθη αυτόφωρο)</t>
  </si>
  <si>
    <t>112 19:30: εκκένωση Φωτεινάρι και Σούδα προς παραλία Κόρακα Ροδακίνου (αγιοβασειλιάτικος παραλιακός δρόμος)</t>
  </si>
  <si>
    <t>https://www.thetoc.gr/koinwnia/613469/fotia-sto-notio-rethumno-ixise-to-112-gia-ekkenosi-ton-perioxon-foteinari-kai-souda---konta-se-katoikimeni-perioxi ; https://www.in.gr/2026/08/14/greece/kriti-fotia-ston-foinika-rethymnou-ixise-to-112-entoli-apomakrynsis-apo-foteinari-kai-souda/ ; https://www.news247.gr/ellada/fotia-sti-sto-rethimno-minima-112-gia-ekkenosi-perioxon/ ; https://flashnews.gr/post/1058407/rethymno-kalyteri-i-eikona-tis-fotias-den-yparchei-kindynos-epektasis-foto-viteno/ ; https://www.huffingtonpost.gr/kinonia/fotia-sto-rethymno-minyma-112-gia-ekkenosi-dyo-periochon/ ; https://www.skaikritis.gr/fotia-sta-sellia-rethymnou-i-erevna-edeixe-to-barbekiou-os-aitia-synelifthi-enas-35chronos/ ; https://www.newsit.gr/ellada/xoris-energo-metopo-i-fotia-ston-foinika-rethymnou-ixise-112-gia-ekkenosi-ton-perioxon-foteinari-kai-souda/4751043/ ; https://www.skai.gr/news/greece/rethymno-se-yfesi-i-fotia-sta-sellia-xoris-energo-metopo-paramenoun-isxyres-dynameis</t>
  </si>
  <si>
    <t>Αγροτοδασική έκταση. Ισχυροί βόρειοι άνεμοι 6-7 μποφόρ. Πλωτά ΛΣ-ΕΛΑΚΤ σε ετοιμότητα. Χωρίς ενεργό μέτωπο μετά 21:00. | Πρωί 15/08 χωρίς ενεργό μέτωπο. 35χρονος κατηγορείται για εμπρησμό εξ αμελείας. Εκκενώσεις Φωτεινάρι και Σούδα μέσω 112.</t>
  </si>
  <si>
    <t>Λαχανάς Θεσσαλονίκης</t>
  </si>
  <si>
    <t>Λαγκαδά</t>
  </si>
  <si>
    <t>υδροφόρες Δήμου Λαγκαδά</t>
  </si>
  <si>
    <t>https://www.tanea.gr/2026/08/14/greece/fotia-ston-laxana-thessalonikis-epixeiroun-kai-enaeria-mesa/ ; https://www.newsit.gr/ellada/fotia-ston-laxana-thessalonikis-sti-maxi-isxyres-pyrosvestikes-dynameis-kai-dyo-elikoptera/4751017/ ; https://www.ertnews.gr/roi-idiseon/thessaloniki-ypo-elegxo-i-fotia-ston-laxana/ ; https://www.documentonews.gr/article/fotia-tora-ston-lachana-thessalonikis-sikothikan-2-elikoptera/ ; https://www.newsit.gr/ellada/ypo-elegxo-i-fotia-ston-laxana-thessalonikis-sti-maxi-isxyres-pyrosvestikes-dynameis-kai-dyo-elikoptera/4751017/ ; https://www.in.gr/2026/08/14/greece/thessaloniki-fotia-ston-laxana-tou-dimou-lagkada-sti-maxi-kai-elikoptera/ ; https://lawandorder.gr/thessaloniki-xespase-fotia-ston-lachana-14-8/</t>
  </si>
  <si>
    <t>Χαμηλή βλάστηση. Δήμος Λαγκαδά. | χαμηλή βλάστηση· έρευνα Αρσοναδικής Υπηρεσίας Θεσσαλονίκης</t>
  </si>
  <si>
    <t>Λαχανάς Λαγκαδά</t>
  </si>
  <si>
    <t>1 πεζοπόρο τμήμα (2ης ΕΜΑΔΕ)</t>
  </si>
  <si>
    <t>https://www.in.gr/2026/08/14/greece/thessaloniki-fotia-ston-laxana-tou-dimou-lagkada-sti-maxi-kai-elikoptera/ ; https://www.ertnews.gr/roi-idiseon/thessaloniki-ypo-elegxo-i-fotia-ston-laxana/ ; https://www.newsit.gr/ellada/fotia-ston-laxana-thessalonikis-sti-maxi-isxyres-pyrosvestikes-dynameis-kai-dyo-elikoptera/4751017/</t>
  </si>
  <si>
    <t>Χαμηλή βλάστηση· χάρτης ΓΓΠΠ 14/8: Θεσσαλονίκης ΥΨΗΛΗ (3)</t>
  </si>
  <si>
    <t>Πυλί Κω</t>
  </si>
  <si>
    <t>Δωδεκανήσου</t>
  </si>
  <si>
    <t>Κω</t>
  </si>
  <si>
    <t>https://www.skai.gr/news/greece/fotia-stin-ko-2 ; https://www.thetoc.gr/koinwnia/article/fotia-stin-ko-epixeiroun-5-enaeria-sto-puli---isxures-dunameis-sto-simeio/ ; https://www.newsit.gr/ellada/fotia-stin-ko-stin-perioxi-pyli-sikothikan-enaeria-mesa/4751044/ ; https://www.dimokratiki.gr/14-08-2026/fotia-sto-pyli-tis-ko-epichiroun-pente-enaeria-mesa/ ; https://athina984.gr/2026/08/14/mainontai-pyrkagies-se-ko-varda-ileias-kai-lagkada-thessalonikis/ ; https://www.in.gr/2026/08/14/greece/fotia-stin-ko-epixeiroun-pente-enaeria/ ; https://www.newsit.gr/ellada/dekapentaygoustos-poly-ypsilos-kindynos-pyrkagias-se-21-perioxes-oriothetimeni-i-fotia-stin-ko-xoris-energo-metopo-sto-rethymno/4751207/ ; https://www.naftemporiki.gr/society/2150299/fotia-tora-sto-pyli-tis-ko-sikothikan-enaeria/ ; https://www.ethnos.gr/greece/article/417600/fotiastopylithskosedysbathperioxhmegalhkinhtopoihshenisxyseisapothrodo ; https://www.protothema.gr/greece/article/1865062/kaluteri-i-eikona-tis-fotias-stin-ko-mahi-me-tis-anazopuroseis-sto-rethumno/ ; https://www.dimokratiki.gr/15-08-2026/ypo-elegcho-i-fotia-pou-anapse-chthes-sto-pyli-stin-ko/ ; https://tomanifesto.gr/kos-kalyteri-i-eikona-tis-fotias-sto-pyli-olonychtia-machi-gia-anazopyroseis-249060</t>
  </si>
  <si>
    <t>5 εναέρια συνολικά (3 αεροσκάφη + 2 ελικόπτερα). Χαμηλή βλάστηση. | δασική έκταση· δύσβατο ανάγλυφο· ισχυρές ριπές ανέμου· ενισχύσεις από Ρόδο· μικρές αναζωπυρώσεις 15/8 | Οριοθετήθηκε ως 15/8. Ισχυρές ριπές ανέμου. Μικρές αναζωπυρώσεις αντιμετωπίζονταν 15/8. | Ολονύχτια μάχη με αναζωπυρώσεις μετά την αρχική οριοθέτηση. Τελικός έλεγχος ~22:30 της 15-08-2026. Ενισχύσεις 7 πυρ/στών από Ρόδο (σύνολο 22). Αρχικά εστία σε δυσπρόσιτη περιοχή.</t>
  </si>
  <si>
    <t>3 πεζοπόρες ομάδες</t>
  </si>
  <si>
    <t>Εμπρησμός — συνελήφθη 35χρονος Ισραηλινός υπήκοος.</t>
  </si>
  <si>
    <t>https://www.politica.gr/kriti/rethumno-prothesmia-gia-na-apologithei-ti-deutera-pire-o-35chronos-gia-ti-fotia-sta-sellia ; https://www.cretalive.gr/kriti/rethymno-fotia-sta-sellia-se-yfesi-pyrino-metopo-paramenoyn-ishyres-dynameis-tis ; https://www.tanea.gr/2026/08/14/greece/fotia-sto-rethymno-olonyxtia-maxi-me-tis-floges-sta-sellia-proliptikes-ekkenoseis-apo-to-112/ ; https://maleviziotis.gr/2026/08/16/rethymno-ston-eisangelea-o-35chronos-gia-ti-fotia-sta-sellia-ola-xekinisan-apo-ena-barbekiou/ ; https://www.neakriti.gr/kriti/rethymno/2194673_sellia-rethymnoy-apo-mparmpekioy-xespase-i-fotia-zitise-syggnomi-o ; https://cretaone.gr/rethymno-kalyteri-eikona-apo-ti-fotia-sta-sellia-rethymnoy-choris-energo-metopo-fovos-gia-anazopyroseis/</t>
  </si>
  <si>
    <t>Ισχυροί άνεμοι. Εκκένωση Φωτεινάρι και Σούδα μέσω 112. 5 ομάδες ΕΜΟΔΕ. Ελικόπτερα επιχείρησαν μέχρι τη δύση. Προθεσμία κατηγορουμένου Δευτέρα (επόμενη μετά σύλληψη). | Χωρίς ενεργό μέτωπο μετά τις ~21:00 της 14/8· &gt;60 πυροσβέστες + πεζοπόρα τμήματα 3ης &amp; 19ης ΕΜΟΔΕ | Αρχικά εξετάστηκαν 3 άτομα, η έρευνα κατέληξε στη σύλληψη του 35χρονου. Έλαβε προθεσμία να απολογηθεί τη Δευτέρα 17/08/2026.</t>
  </si>
  <si>
    <t>Βαθύκοιλο</t>
  </si>
  <si>
    <t>Πελασγία</t>
  </si>
  <si>
    <t>https://www.newsit.gr/ellada/fotia-sto-vathykoilo-fthiotidas-stin-maxi-tis-pyrosvesis-kai-5-aeroskafi/4750868/ ; https://newpost.gr/eidiseis/fotia-sto-vathykoilo-fthiotidas-epicheiroyn-5-aeroskafi/ ; https://messolonghivoice.gr/fotia-sto-vathykoilo-fthiotidas-epicheiroun-34-pyrosvestes-kai-5-aeroskafi/ ; https://tvstar.gr/2026/08/14/vathykoilo-fthiotidas-pyrkagia-se-fotovoltaiko-parko/ ; https://www.libre.gr/2026/08/14/fotia-stin-fthiotida/</t>
  </si>
  <si>
    <t>Έρευνα εμπρησμού (ΥΠΕΑ Φθιώτιδας). Ορισμένες πηγές αναφέρουν γειτνίαση με φωτοβολταϊκό πάρκο. Ακραίος κίνδυνος (κατηγορία 5) για Κεντρική Ελλάδα 14/8.</t>
  </si>
  <si>
    <t>2026-08-15</t>
  </si>
  <si>
    <t>Βαθύκοιλο Φθιώτιδας</t>
  </si>
  <si>
    <t>1 πεζοπόρο τμήμα 10ης ΕΜΟΔΕ</t>
  </si>
  <si>
    <t>https://www.newsit.gr/ellada/fotia-sto-vathykoilo-fthiotidas-stin-maxi-tis-pyrosvesis-kai-5-aeroskafi/4750868/</t>
  </si>
  <si>
    <t>αγροτοδασική έκταση κοντά στην Πελασγία· ισχυροί άνεμοι</t>
  </si>
  <si>
    <t>01:30</t>
  </si>
  <si>
    <t>Αλφειούσα Ηλείας</t>
  </si>
  <si>
    <t>3 ομάδες πεζοπόρων 18ης ΕΜΟΔΕ</t>
  </si>
  <si>
    <t>βαρέα μηχανήματα και υδροφόρες τοπικής αυτοδιοίκησης</t>
  </si>
  <si>
    <t>πιθανή πτώση πεύκου σε ηλεκτρικές γραμμές (υπό διερεύνηση)</t>
  </si>
  <si>
    <t>https://www.ertnews.gr/eidiseis/ellada/pyrkagia-se-agrotodasiki-ektasi-stin-alfeiousa-ileias-megali-kinitopoiisi-tis-pyrosvestikis/ ; https://www.newsit.gr/ellada/fotia-stin-ileia-stin-perioxi-stin-alfeiousa-olonyxtia-maxi-me-tis-floges-oi-anemoi-dyskoleyoun-to-ergo-katasvesis/4750564/ ; https://www.zougla.gr/greece/ileia-oriothetithike-i-fotia-stin-alfeiousa/ ; https://www.patrisnews.com/megali-fotia-stin-alfeioysa-kaiei-dasos/ ; https://www.in.gr/2026/08/14/greece/ileia-pyrkagia-ksespase-se-agrotodasiki-ektasi-stin-perioxi-alfeiousa/ ; https://www.news247.gr/ellada/ileia-megali-dasiki-pirkagia-ti-nixta-stin-alfeiousa/ ; https://pelop.gr/pyrgos-choris-energo-metopo-i-fotia-stin-alfeiousa-enischymenes-dynameis-sto-simeio/ ; https://www.tovima.gr/2026/08/14/society/fotia-stin-alfeiousa-ileias-sti-maxi-kai-enaeria-mesa</t>
  </si>
  <si>
    <t>Αγροτοδασική έκταση κοντά στον επαρχιακό δρόμο Αλφειούσα-Μακρισία. Βελτιωμένη εικόνα ~2 ώρες μετά εκδήλωση. | Ξέσπασε ~01:30 ξημερώματα 14/08 σε αγροτοδασική έκταση. Ολονύχτια μάχη. Δεν αναφέρεται καμένη έκταση. Αεροπορικά μέσα δεν αναφέρθηκαν στη νυχτερινή φάση. | Καίει παρθένο δάσος. Χωρίς ενεργό μέτωπο από τα ξημερώματα — πυροσβεστικές δυνάμεις παρέμειναν για πλήρη κατάσβεση. | Αγροτοδασική έκταση στην είσοδο χωριού. Εναέρια μέσα συνέδραμαν (αριθμός αγνώστος από διαθέσιμες πηγές). | Αγροτοδασική έκταση κοντά σε επαρχιακό Αλφειούσας–Μακρισίας· βελτιωμένη εικόνα εντός ~2 ωρών· ανακριτική υπηρεσία Ηλείας κινητοποιήθηκε· χάρτης ΓΓΠΠ 14/8: Ηλείας ΠΟΛΥ ΥΨΗΛΗ (4) | Χωρίς ενεργό μέτωπο μετά ολονύχτια επιχείρηση 14/08. Δυνάμεις παρέμειναν για πλήρη κατάσβεση. Καμένη έκταση δεν επιβεβαιώθηκε ποσοτικά. | 3 ομάδες πεζοπόρων 18ης ΕΜΟΔΕ. Οριοθετήθηκε κατά τη διάρκεια της νυχτερινής επιχείρησης (έως πρωί 14/8). Δύσκολες συνθήκες λόγω ανέμων. Καμένη έκταση δεν επιβεβαιώθηκε από πηγές.</t>
  </si>
  <si>
    <t>Πυρκαγιά Σίβηρης Χαλκιδικής</t>
  </si>
  <si>
    <t>Κασσάνδρας</t>
  </si>
  <si>
    <t>13</t>
  </si>
  <si>
    <t>Βραχυκύκλωμα σε αγωγούς ΔΕΔΔΗΕ από κλαδιά δέντρων λόγω ισχυρών ανέμων</t>
  </si>
  <si>
    <t>https://www.aljazeera.com/news/2026/8/14/wildfires-force-thousands-to-flee-as-blazes-spread-across-europe ; https://www.tanea.gr/2026/08/15/greece/xalkidiki-sta-2-480-stremmata-i-kameni-ektasi-apo-tin-pyrkagia-sti-siviri/ ; https://www.skai.gr/news/greece/fotia-sti-siviri-2480-kamena-stremmata-ta-1388-itan-dasiki-ektasi ; https://www.tanea.gr/2026/08/13/greece/xalkidiki-pos-xekinise-i-fotia-tis-siviris-auto-einai-to-simio-miden/ ; https://www.lifo.gr/now/greece/fotia-sti-halkidiki-den-yparhei-energo-metopo-sti-sibiri-polles-diaspartes-esties ; https://www.firefightingreece.gr/2026/08/14/vasileios-vathrakogiannis-veltiomeni-i-eikona-sti-chalkidiki-155-pyrosvestes-16-enaeria-mesa-kai-481-apomakrynseis-dia-thalassis/ ; https://www.zougla.gr/greece/choris-energo-metopo-i-pyrkagia-sti-siviri-chalkidikis/ ; https://www.skai.gr/news/greece/fotia-sti-xalkidiki-paramenoun-oi-pyrosvestikes-dynameis</t>
  </si>
  <si>
    <t>Copernicus 14/8 18:56: 2.480 στρ. συνολικά (248 ha), εκ των οποίων 1.388 στρ. (138,8 ha) δασική έκταση. Εκκένωση 300+ τουριστών δια θαλάσσης. Χωρίς ενεργό μέτωπο από μεσημέρι Παρασκευής 14/8. Μέρος έξαρσης 40+ πυρκαγιών 14/8. Ο ΥΠΕΝ χαρακτήρισε «υποδειγματική» την παρέμβαση ΠΣ. Χάρτης κινδύνου 14/8 μη διαθέσιμος — danger_level κενό. | Χωρίς ενεργό μέτωπο από το πρωί 14/8· διάσπαρτες εστίες σε δυσπρόσιτα ρεματιές. 1.388 από τα 2.480 καμένα στρέμματα ήταν δασική έκταση (Copernicus/SKAI). | 16 εναέρια μέσα συνολικά (αεροσκάφη+ελικόπτερα, χωρίς διαχωρισμό). 481 εκκενώσεις δια θαλάσσης. Ανακοίνωση Αρχηγού Β. Βαθρακογιάννη 14/8: βελτιωμένη εικόνα. [DISCOVERY — δεν ήταν στη λίστα του batch] | Χωρίς ενεργό μέτωπο από το μεσημέρι της Παρασκευής 15/8 (κατά προσέγγιση ~12:00). Διάσπαρτες εστίες-καπνογόνα σημεία παρακολουθούνταν από πυροσβεστικές δυνάμεις που παρέμειναν στην περιοχή. | Χωρίς ενεργό μέτωπο από το πρωί της 14/8/2026 — επιχειρήσεις συνεχίστηκαν σε διάσπαρτες εστίες.</t>
  </si>
  <si>
    <t>Φωτεινάρι</t>
  </si>
  <si>
    <t>Ρέθυμνο</t>
  </si>
  <si>
    <t>3 ομάδες πεζοπόρου</t>
  </si>
  <si>
    <t>112 14/8: εκκένωση Φωτεινάρι και Σούδα προς παραλία Κορακά</t>
  </si>
  <si>
    <t>https://www.newsit.gr/ellada/dekapentaygoustos-poly-ypsilos-kindynos-pyrkagias-se-21-perioxes-oriothetimeni-i-fotia-stin-ko-xoris-energo-metopo-sto-rethymno/4751207/ ; https://www.protothema.gr/greece/article/1865062/kaluteri-i-eikona-tis-fotias-stin-ko-mahi-me-tis-anazopuroseis-sto-rethumno/</t>
  </si>
  <si>
    <t>Χωρίς ενεργό μέτωπο ως 15/8. Ελικόπτερα σταμάτησαν νύχτα. Ακτοφυλακή + σκάφος Frontex + ιδιωτικά πλοία στην περιοχή.</t>
  </si>
  <si>
    <t>Αχαρνές Αττικής (Στρ. Καποτά)</t>
  </si>
  <si>
    <t>Αχαρνών</t>
  </si>
  <si>
    <t>υδροφόρες Δήμου Αχαρνών</t>
  </si>
  <si>
    <t>112 19:04: επαγρύπνηση κατοίκων ευρύτερης περιοχής πυρκαγιάς</t>
  </si>
  <si>
    <t>https://www.thetoc.gr/koinwnia/article/fotia-sto-menidi-konta-sto-stratopedo-kapota-ixise-to-112-sti-maxi-megali-dunami-kai-elikoptera/ ; https://www.skai.gr/news/greece/pyrkagia-dipla-sto-stratopedo-kapota-sto-menidi ; https://www.naftemporiki.gr/society/2149968/fotia-tora-stis-acharnes-attikis-sti-machi-katasvesis-kai-enaeria-mesa/ ; https://www.documentonews.gr/article/fotia-tora-sto-menidi-kaiei-konta-sto-stratopedo-kapota/ ; https://www.enikos.gr/society/fotia-stis-acharnes-konta-sto-stratopedo-kapota-ichise-to-112-gia-etoimotita/2628610/ ; https://www.pontosnews.gr/857492/ellada/fotia-stis-acharnes-amesi-i-katasvesi-konta-sto-stratopedo-kapota/</t>
  </si>
  <si>
    <t>Χαμηλή βλάστηση, Οδός Πάρνηθας κοντά στο Στρατόπεδο Καποτά. Αττική σε κατηγορία 5 (ΣΥΝΑΓΕΡΜΟΣ) την ημέρα εκείνη. | Πυρκαγιά κατασβέστηκε σύμφωνα με naftemporiki. Ακριβής ώρα κατάσβεσης και καμένη έκταση δεν εντοπίστηκαν. | 3 ομάδες πεζοπόρων 1ης ΕΜΟΔΕ. Κατάσβεση επιβεβαιώθηκε (naftemporiki.gr). Καμένη έκταση δεν επιβεβαιώθηκε.</t>
  </si>
  <si>
    <t>18:25</t>
  </si>
  <si>
    <t>18:49</t>
  </si>
  <si>
    <t>Μαμουλάδα Αιτωλοακαρνανίας</t>
  </si>
  <si>
    <t>Αγρίνιο</t>
  </si>
  <si>
    <t>Δεξαμενές τοπικής αυτοδιοίκησης</t>
  </si>
  <si>
    <t>112 κινητοποίηση (χωρίς λεπτομέρειες)</t>
  </si>
  <si>
    <t>https://www.ertnews.gr/eidiseis/fotia-se-dasiki-ektasi-sti-mamoulada-aitoloakarnanias-isxyres-dynameis-sto-metopo/ ; https://www.ertnews.gr/eidiseis/esvise-i-fotia-sti-mamoulada-aitoloakarnanias/ ; https://www.agriniosite.gr/fotia-sti-mamoylada-aitoloakarnanias-45-pyrosvestes-kai-elikoptero-sti-machi-me-tis-floges/ ; https://www.athensvoice.gr/epikairotita/ellada/980434/fotia-sti-mamoulada-aitoloakarnanias-epiheiroun-ishures-dunameis/ ; https://www.aixmi-news.gr/defteros-synagermos-stin-aitol-nia-fotia-sti-mamoulada-meta-ton-drymona/</t>
  </si>
  <si>
    <t>Δασική έκταση. Δεν απειλήθηκαν οικισμοί. Η φωτιά κατασβέστηκε το βράδυ της ίδιας ημέρας. | Δεύτερος συναγερμός στην Αιτωλ/νία 13/08 (μετά από χωριστή φωτιά στον Δρυμώνα). Φωτιά σε δασική έκταση. Δεν αναφέρθηκε απειλή οικισμών. Έσβησε. | Ώρα κατάσβεσης κατά προσέγγιση από timestamp δημοσίευσης άρθρου ERT «Έσβησε». Έναρξη 18:25 → κατάσβεση ~18:49 (~24 λεπτά). | Δασική έκταση. Κατοικημένες περιοχές δεν απειλήθηκαν. | δασική περιοχή | ΟΤΑ υδροφόρες συνέβαλαν στην κατάσβεση (αναφορά agriniosite.gr). | Αίτια υπό διερεύνηση (Διεύθυνση Εγκλημάτων Εμπρησμού). ΟΤΑ υδροφόρες συμμετείχαν στην κατάσβεση. Καμένη έκταση δεν εντοπίστηκε σε πηγές.</t>
  </si>
  <si>
    <t>Δρυμώνας-Κοσκινάς Αιτωλοακαρνανίας</t>
  </si>
  <si>
    <t>Θέρμου</t>
  </si>
  <si>
    <t>2 ομάδες πεζοπόρων 6ης ΕΜΟΔΕ</t>
  </si>
  <si>
    <t>υδροφόρες Δήμου Θέρμου</t>
  </si>
  <si>
    <t>υπό διερεύνηση (ανακριτικό κλιμάκιο)</t>
  </si>
  <si>
    <t>https://newpost.gr/eidiseis/pyrkagia-se-dasiki-ektasi-stin-aitoloakarnania/ ; https://www.eleftherostypos.gr/ellada/megali-fotia-se-thermo-aitoloakarnanias-anamesa-stous-oikismous-drymonas-kai-koskinas ; https://www.newsit.gr/ellada/fotia-stin-aitoloakarnania-megali-kinitopoiisi-tis-pyrosvestikis-sto-thermo/4750307/ ; https://pelop.gr/fotia-aitoloakarnania-drymonas-koskinas-thermo/ ; https://www.skai.gr/news/greece/pyrkagia-sto-thermo-aitoloakarnanias ; https://achaianews.gr/index.php/%CF%8C%CE%BB%CE%B1-%CF%84%CE%B1-%CE%BD%CE%AD%CE%B1-h/%CE%BA%CE%BF%CE%B9%CE%BD%CF%89%CE%BD%CE%B9%CE%B1/230614-df466561</t>
  </si>
  <si>
    <t>Δασική έκταση μεταξύ οικισμών Δρυμώνας και Κοσκινάς. | Ταυτόσημο γεγονός με εγγραφή 'Δρυμώνας Θέρμου' (start_time 16:30). Ανακριτικό κλιμάκιο εμπρησμών Αιτωλοακαρνανίας κινητοποιήθηκε. | πιθανώς ίδιο περιστατικό με «Δρυμώνας Θέρμου» — δύο διαφορετικές καταχωρήσεις της ίδιας πυρκαγιάς από διαφορετικές πηγές (start_time 16:30 vs 17:15)</t>
  </si>
  <si>
    <t>Δρυμώνας Θέρμου</t>
  </si>
  <si>
    <t>υδροφόρα Δήμου Θέρμου</t>
  </si>
  <si>
    <t>https://www.libre.gr/2026/08/13/fotia-se-dasos-ston-drymona-aitoloaka/ ; https://www.newsbomb.gr/ellada/story/1756269/megali-pyrkagia-stin-aitoloakarnania-epixeiroyn-6-enaeria-mesa ; https://www.eleftherostypos.gr/ellada/megali-fotia-se-thermo-aitoloakarnanias-anamesa-stous-oikismous-drymonas-kai-koskinas ; https://karvasaras.gr/megali-pyrkagia-drymona-thermoy-nerochori-foto-video/ ; https://www.agriniosite.gr/fotia-ston-drymona-aitoloakarnanias-megali-kinitopoiisi-tis-pyrosvestikis/ ; https://pelop.gr/fotia-aitoloakarnania-drymonas-koskinas-thermo/ ; https://www.tanea.gr/2026/08/13/greece/diplo-pyrino-metopo-stin-aitoloakarnania-sikothikan-enaeria-mesa-gia-tin-katasvesi/ ; https://www.newsit.gr/ellada/fotia-stin-aitoloakarnania-megali-kinitopoiisi-tis-pyrosvestikis-sto-thermo/4750307/ ; https://www.in.gr/2026/08/13/greece/fotia-se-agrotodasiki-ektasi-stin-perioxi-stratos-aitoloakarnanias-epixeiroun-pente-enaeria-mesa/ ; https://www.skai.gr/news/greece/pyrkagia-sto-thermo-aitoloakarnanias ; https://www.agrinionews.gr/fotia-ston-drymona-i-megali-kinitopoiisi-pou-apetrepse-ta-cheirotera/</t>
  </si>
  <si>
    <t>Μεγάλη πυρκαγιά σε δασική έκταση μεταξύ οικισμών Δρυμώνας και Κοσκινάς Δήμου Θέρμου. Ισχυροί άνεμοι. Πρώτος συναγερμός της ημέρας στην Αιτωλοακαρνανία (πριν τη Μαμουλάδα). Ώρα ειδοποίησης ΚΕΠΠ ~17:15. Τελική κατάσταση αγνώστη. | Νέο περιστατικό (δεν ήταν στη λίστα). Πυρκαγιά σε δασική έκταση μεταξύ Δρυμώνα και Κοσκινά, κατευθύνθηκε προς Νεροχώρι. Ισχυροί άνεμοι, κατηγορία 4 πυρκαγιάς. Συνδρομή υδροφόρων ΟΤΑ και μηχανημάτων έργου. Ταυτόχρονα εκδηλώθηκε 2ο πύρινο μέτωπο στην περιοχή Στράτου Αιτωλοακαρνανίας (χαμηλή βλάστηση, ~22 πυροσβέστες/5 οχήματα/5 αεροσκάφη). | Δασική έκταση μεταξύ Δρύμωνα και Κόσκινας. Εκδηλώθηκε μετά τη φωτιά στη Μακύνεια (η οποία είχε περιοριστεί). Έρευνα εμπρησμού ΥΠΔΑ. | Η πυρκαγιά στον Δρυμώνα (start_time 16:30) και η εγγραφή 'Δρυμώνας-Κοσκινάς' (start_time 17:15) αφορούν το ίδιο γεγονός μεταξύ οικισμών Δρυμώνα–Κοσκινά Δήμου Θέρμου.</t>
  </si>
  <si>
    <t>Ακόντιο</t>
  </si>
  <si>
    <t>Λεβάδεια</t>
  </si>
  <si>
    <t>Δεξαμενές δήμου Λεβάδειας</t>
  </si>
  <si>
    <t>https://www.ertnews.gr/eidiseis/ellada/pyrkagia-sto-akontio-voiotias-sti-maxi-kai-enaeria-mesa/ ; https://www.newsit.gr/ellada/fotia-sti-voiotia-stin-perioxi-akontio-kai-enaeria-sti-maxi-tis-katasvesis/4750224/ ; https://www.vradini.gr/ellada/fotia-sto-akontio-voiotias-epixeiroyn-6-enaeria-mesa/1633805/ ; https://www.naftemporiki.gr/society/2149875/fotia-tora-sto-akontio-voiotias/ ; https://www.newsbomb.gr/ellada/story/1756247/fotia-tora-se-agrotiki-ektasi-sto-akontio-voiotias ; https://www.tovima.gr/2026/08/13/society/fotia-tora-sto-akontio-voiotias-epixeiroun-kai-enaeria-mesa/ ; https://www.emakedonia.gr/choris-energo-metopo-i-pyrkagia-sto-akontio-voiotias ; https://www.efsyn.gr/ellada/1447426/pyrkagia-se-agrotodasiki-ektasi-sto-akontio-voiotias/</t>
  </si>
  <si>
    <t>Αγροτική έκταση. Βοιωτία σε κατηγορία 5 (κόκκινη) στον χάρτη ΓΓΠΠ 13/8. | Αγροτοδασική έκταση. Ομάδα ΥΔΔΑΠ Φθιώτιδας για έρευνα αιτίας. | Αγροτοδασική έκταση, Δήμος Λεβαδέων. Δύο ομάδες πεζοπόρων 4ης ΕΜΟΔΕ. Παρακολούθηση drone ΕΣΚΕΔΙΚ. Κινητοποιήθηκε Ανακριτικό Κλιμάκιο Φθιώτιδας. Κατηγορία κινδύνου 4 (πολύ υψηλός). Δεν απειλήθηκε οικισμός. Μία πηγή αναφέρει «χωρίς ενεργό μέτωπο» μετά τη νύχτα. Καμένη έκταση δεν επιβεβαιώθηκε. | Κινητοποιήθηκε Ανακριτικό Κλιμάκιο Αντιμετώπισης Εγκλημάτων Εμπρησμού Φθιώτιδας. Πυρκαγιά σε αγροτική έκταση. Ακριβής καμένη έκταση δεν εντοπίστηκε σε πηγές. | Εδαφικές ομάδες: 2 ομάδες πεζοπόρων 4ης ΕΜΟΔΕ.</t>
  </si>
  <si>
    <t>Σίβηρη, Κασσάνδρα, Χαλκιδική</t>
  </si>
  <si>
    <t>πεσμένο δέντρο σε γραμμή ρεύματος (ηλεκτροφόρα)</t>
  </si>
  <si>
    <t>https://www.in.gr/2026/08/15/greece/xalkidiki-perimetro-kamenis-ektasis-2-480-stremmaton-apo-ti-fotia-sti-siviri-kategrapse-i-ypiresia-copernicus/ ; https://www.tanea.gr/2026/08/15/greece/xalkidiki-sta-2-480-stremmata-i-kameni-ektasi-apo-tin-pyrkagia-sti-siviri/ ; https://www.larissanet.gr/2026/08/15/apologismos-pyrkagias-sti-siviri-chalkidikis-apo-to-evropaiko-systima-copernicus-sta-2480-stremmata-i-kameni-ektasi/ ; https://www.dnews.gr/eidhseis/ellada/604683/fotia-sti-xalkidiki-minymata-112-apomakryntheite-pros-kassandreia ; https://www.fortunegreece.com/article/fotia-sti-xalkidiki-enisxithikan-oi-dinameis-sti-siviri-maxi-me-tous-isxirous-anemous/ ; https://www.naftemporiki.gr/society/2149821/fotia-tora-sti-siviri-chalkidikis-sikothikan-kai-enaeria-mesa/ ; https://www.skai.gr/news/greece/fotia-stin-kassandra-xalkidikis-ixise-to-112-gia-etoimotita ; https://www.koutipandoras.gr/article/fotia-sti-chalkidiki-ekkenonontai-siviri-kai-fourka-sti-machi-enaeria-mesa/amp/ ; https://www.alfavita.gr/koinonia/556861_halkidiki-stis-floges-ekkenothikan-sibiri-kai-foyrka-katoikoi-efygan-apo-ti ; https://www.rodopipress.gr/fotia-xalkidiki-siviri-apegklovismoi-kassandra/ ; https://www.ertnews.gr/ert3/thessaloniki/siviri-xalkidikis-sta-2-480-stremmata-i-kameni-ektasi-apo-tin-pyrkagia/ ; https://www.capital.gr/epikairotita/4010815/sta-2480-stremmata-i-kameni-ektasi-apo-tin-purkagia-sti-sibiri-xalkidikis-sumfona-me-to-copernicus/ ; https://www.flash.gr/chalkidiki-2-480-stremmata-i-kameni-ektasi-sti-siviri-ti-kategrapse-to-copernicus-1076847 ; https://www.euronews.com/my-europe/2026/08/13/people-evacuated-from-beach-as-wildfire-tears-through-popular-greek-tourist-hotspot ; https://rodopipress.gr/fotia-xalkidiki-siviri-apegklovismoi-kassandra/ ; https://www.zougla.gr/greece/choris-energo-metopo-i-pyrkagia-sti-siviri-chalkidikis/ ; https://www.in.gr/2026/08/14/greece/fotia-sti-xalkidiki-maxi-me-diaspartes-esties-se-epifylaki-gia-anazopyroseis-kleistos-o-dromos-pros-fourka/ ; https://www.cnn.gr/ellada/story/547807/xalkidiki-maxi-me-tis-diaspartes-esties-staxti-kai-apokaidia-afise-to-sarotiko-perasma-tis-fotias</t>
  </si>
  <si>
    <t>Έναρξη 13/8 (εκτός 3ήμερου παραθύρου)· Copernicus δορυφ. εικόνα 14/8 18:56: 2.480 στρ. (248 ha) εκ των οποίων 1.388 στρ. δασική έκταση· οριοθετήθηκε 14/8 μεσημέρι· κρατική αρωγή για πληγείσες επιχειρήσεις (αίτ. έως 12/10/2026) | Αρχική κινητοποίηση: 142 πυρ/στες, 51 οχήματα, 9 εναέρια. Μέγιστη ανάπτυξη (κορύφωση): 227 πυρ/στες, 57 οχήματα, 13 πεζοπόρα τμήματα, 6 Α/Φ, 1 Ε/Π. Απεγκλωβισμοί κατοίκων δια θαλάσσης. Ζημιές σε σπίτια, κάηκαν ΙΧ. Αιτία μη επιβεβαιωμένη. | Εκκενώθηκαν Σίβηρη και Φούρκα· 2-3 σπίτια ολοκληρωτικά κατεστραμμένα, 6-7 με εξωτερικές ζημιές. | Μεγαλύτερη πυρκαγιά Χαλκιδικής 2026. Καμένη έκταση 2.480 στρέμματα (248 εκτ.) κατά Copernicus — εκ των οποίων 138,8 εκτ. δασική έκταση, υπόλοιπο χορτολιβαδικές/θαμνώδεις. Η περιοχή είχε καεί και το 2008. Οριοθετήθηκε μεσημέρι 14/8. Παρέμεναν διάσπαρτες εστίες και καπνογόνα (11 ενεργές περιπολίες). | ΝΕΑΣ ΑΝΑΚΑΛΥΨΗ. Έναρξη 13/8/2026 ~14:00. Copernicus (δορυφόρος 14/8): 2.480 στρέμματα = 248 ha. Απεγκλωβισμοί δια θαλάσσης. Ζημιές σε σπίτια. Δεν υπήρχε ενεργό μέτωπο ως 15/8 (διάσπαρτες εστίες). | Χωρίς ενεργό μέτωπο από πρωί 14 Αυγούστου 2026. Σκόρπια εστία/καπνογόνα σημεία αντιμετωπίστηκαν με αέριες και εδαφικές δυνάμεις. Άνω των 250 τουριστών εκκενώθηκαν δια θαλάσσης με 15 σκάφη. | [ΝΕΟ — ΑΝΑΚΑΛΥΨΗ] διάσπαρτες εστίες 14/8· κλειστός δρόμος προς Φούρκα· σημαντικές ζημιές (στάχτη, αποκαΐδια)· επιφυλακή αναζωπυρώσεων | Χωρίς ενεργό μέτωπο από το πρωί 14/08/2026 · παρέμειναν 110 πυροσβέστες &amp; 50 οχήματα για διάσπαρτες εστίες και καπνογόνα σημεία · ειδικός χρόνος ελέγχου δεν ανακοινώθηκε</t>
  </si>
  <si>
    <t>21:05</t>
  </si>
  <si>
    <t>Σιβήρη-Φούρκα Χαλκιδικής</t>
  </si>
  <si>
    <t>Κασσάνδρα</t>
  </si>
  <si>
    <t>Δεξαμενές δήμου Κασσάνδρας, βαρέα μηχανήματα</t>
  </si>
  <si>
    <t>12 Μολδαβοί πυροσβέστες (3 οχήματα)</t>
  </si>
  <si>
    <t>Βαράζ 112: εκκένωση Σιβήρης → Μόλα Καλύβα/Σκιώνη/Κασσάνδρεια· εκκένωση Φούρκας → Σκιώνη· 300+ άτομα απεγκλωβίστηκαν διά θαλάσσης (Λιμενικό, Πυροσβεστική, ιδιωτικά σκάφη) | 4 μηνύματα 112: ετοιμότητα Κασσάνδρας· ~15:48 εκκένωση Σιβήρης προς Κασσανδρεία· εκκένωση Φούρκας προς Σκιώνη· επικαιροποίηση εκκένωσης | 112: εκκένωση Σίβηρης προς Μόλα Καλύβα· εκκένωση Φούρκας προς Σκιώνη/Κασσάνδρεια· 481 άτομα απεγκλωβίστηκαν δια θαλάσσης | ~14:40: γενική προειδοποίηση ζώνης πυρκαγιάς· 15:09 εκκένωση Σιβήρης προς Μόλα Καλύβα· εκκένωση Σιβήρης προς Κασσάνδρεια· εκκένωση Φούρκας προς Σκιώνη | 112 14:40: ενημέρωση περιοχής· 15:09: εκκένωση Σίβηρης → Μόλα Καλύβα· 15:48: εκκένωση Φούρκας → Σκιώνη· 15:48: εκκένωση Σίβηρης → Κασσάνδρεια | 112: εκκένωση Σιβήρης → Κασσάνδρεια· εκκένωση Φούρκας → Σκιώνη· 481 άτομα απομακρύνθηκαν με πλωτά μέσα Πυροσβεστικής, Λιμενικού &amp; ιδιωτικά σκάφη | 112 13/8: εκκένωση Σιβήρης και Φούρκας προς Μόλα Καλύβα | 112 15:09 13/8: εκκένωση ευρύτερης Σίβηρης προς Μώλο Καλύβα· 112 15:48 13/8: εκκένωση Σίβηρης προς Κασσάνδρεια· 112 (ώρα αόριστη): εκκένωση Φούρκας | 112: εκκένωση Σίβηρης και Φούρκας προς Μόλα Καλύβα· 481 άτομα απεγκλωβίστηκαν διά θαλάσσης (285 στο Σάνι, 196 με Speed Runner Jet) | 112 εκκένωση κατοίκων Σιβήρης (χωρίς ώρα στις πηγές)</t>
  </si>
  <si>
    <t>https://www.ertnews.gr/ert3/siviri-xalkidikis-enisxythikan-oi-dynameis-entoli-apomakrynsis-ton-katoikon/ ; https://www.in.gr/2026/08/13/greece/fotia-sti-siviri-xalkidikis-ixise-to-112-stin-kassandra/ ; https://www.naftemporiki.gr/society/2149847/fotia-sti-chalkidiki-ekkenonetai-i-siviri-minyma-apo-to-112/ ; https://www.newsit.gr/ellada/megali-fotia-sti-siviri-xalkidikis-minymata-112-gia-ekkenoseis-2-perioxon-3-xiliometra-to-pyrino-metopo/4750156/ ; https://www.ekathimerini.com/news/1312419/wildfire-triggers-evacuation-access-restrictions-in-halkidiki/ ; https://www.cnn.gr/ellada/liveblog/547761/megali-fotia-sti-xalkidiki-plirofories-gia-kamena-spitia-sti-siviri-ekkenothike-kai-i-foyrka ; https://www.in.gr/2026/08/13/greece/fotia-sti-siviri-xalkidikis-ixise-to-112-stin-kassandra/amp/ ; https://www.ertnews.gr/eidiseis/fotia-sti-xalkidiki-maxi-gia-tin-katasvesi-diasparton-estion-synagermos-gia-anazopyroseis-kleistos-o-dromos-pros-fourka/ ; https://www.tanea.gr/2026/08/13/greece/fotia-stin-xalkidiki-se-epifylaki-227-pyrosvestes-oli-ti-nyxta-ti-fovountai-gia-ayrio/ ; https://www.fortunegreece.com/article/fotia-sti-xalkidiki-megali-epixeirisi-katasvesis-4-minimata-112-gia-ekkenoseis/ ; https://www.enikos.gr/society/fotia-sti-chalkidiki-nea-112-gia-ekkenosi-ton-periochon-fourka-kai-siviri/2628517/ ; https://www.zougla.gr/greece/fotia-xespase-sti-siviri-chalkidikis-sikothikan-7-enaeria-ichise-to-112/ ; https://x.com/112Greece ; https://www.cnn.gr/ellada/story/547737/pollapla-metopa-pyrkagias-en-meso-isxyron-anemon-baraz-112-kai-ekkenoseis-se-xalkidiki-naypakto ; https://www.naftemporiki.gr/society/2149821/fotia-tora-sti-siviri-chalkidikis-sikothikan-kai-enaeria-mesa/ ; https://www.newsit.gr/ellada/ypo-meriko-elegxo-i-fotia-sti-siviri-xalkidikis-ekkenoseis-zimies-se-spitia-kai-fovoi-gia-anazopyroseis/4750294/ ; https://www.news247.gr/ellada/eikones-katastrofes-apo-ti-fotia-sti-xalkidiki-nixta-agonias-gia-anazopiroseis/ ; https://www.e-radio.gr/post/330615/fwtia-megalis-ektasis-sti-siviri-xalkidikis-minymata-toy-112-gia-ekkenwsi-se-2-perioxes-to-metwpo-ftanei-ta-3-xiliometra ; https://www.dnews.gr/eidhseis/ellada/604683/fotia-sti-xalkidiki-minymata-112-apomakryntheite-pros-kassandreia ; https://www.newsit.gr/ellada/fotia-sti-siviri-xalkidikis-3-500-stremmata-i-kameni-ektasi-sti-siviri-zimies-se-spitia-kai-aytokinita-fovoi-gia-anazopyroseis/4750685/ ; https://thepressproject.gr/choris-energo-metopo-i-pyrkagia-sti-siviri-chalkidikis-diaspartes-esties-kaikan-3-500-stremmata-symfona-me-tis-protes-ektimiseis/ ; https://www.protothema.gr/greece/article/1864445/fotia-sti-siviri-halkidikis-epiheiroun-tessera-enaeria-mesa/ ; https://www.euronews.com/my-europe/2026/08/13/people-evacuated-from-beach-as-wildfire-tears-through-popular-greek-tourist-hotspot ; https://www.ertnews.gr/ert3/xalkidiki-pyrkagia-ekdilothike-se-xamili-vlastisi-sti-siviri-sti-maxi-tis-katasvesis-kai-enaeria-mesa-ixise-to-112/ ; https://www.aljazeera.com/news/2026/8/14/wildfires-force-thousands-to-flee-as-blazes-spread-across-europe ; https://neoskosmos.com/el/2026/08/14/news/greece/olonychtia-machi-tis-pyrosvestikis-sti-chalkidiki/ ; https://www.newsit.gr/ellada/fotia-sti-xalkidiki-3-500-stremmata-i-kameni-ektasi-sti-siviri-zimies-se-spitia-kai-aytokinita-fovoi-gia-nees-anazopyroseis/4750685/ ; https://www.zougla.gr/greece/choris-energo-metopo-i-pyrkagia-sti-siviri-chalkidikis/ ; https://www.ethnos.gr/greece/article/417457/ektoselegxoyhfotiasthxalkidikhkahkanspitiasthsibhrhtraymatisthkanpyrosbestes ; https://www.ieidiseis.gr/ellada/846230/fotia-sti-chalkidiki-ichise-112-stin-kassandra/ ; https://www.tanea.gr/2026/08/14/greece/fotia-sti-xalkidiki-3-500-kamena-stremmata-sti-siviri-megales-katastrofes-fovoi-gia-anazopyroseis/ ; https://www.eleftherostypos.gr/ellada/fotia-sti-chalkidiki-kaikan-spitia-aftokinita-kai-3-500-stremmata-sti-siviri ; https://www.documentonews.gr/article/mainetai-i-fotia-sti-siviri-chalkidikis-112-gia-ekkenosi-pros-mola-kalyva/ ; https://www.tanea.gr/2026/08/15/greece/xalkidiki-sta-2-480-stremmata-i-kameni-ektasi-apo-tin-pyrkagia-sti-siviri/ ; https://www.efsyn.gr/ellada/1448307/pyrkagia-sti-halkidiki-sta-2-480-stremmata-i-perimetros-tis-kamenis-ektasis/ ; https://www.thetoc.gr/koinwnia/article/sibiri-xalkidikis-sta-2480-stremmata-i-perimetros-tis-kamenis-ektasis-sumfona-me-to-copernicus/ ; https://www.flash.gr/chalkidiki-2-480-stremmata-i-kameni-ektasi-sti-siviri-ti-kategrapse-to-copernicus-1076847 ; https://www.pontosnews.gr/857664/ellada/fotia-sti-chalkidiki-227-pyrosvestes-oli-ti-nychta-sti-siviri/ ; https://www.ertnews.gr/ert3/thessaloniki/siviri-xalkidikis-sta-2-480-stremmata-i-kameni-ektasi-apo-tin-pyrkagia/ ; https://www.parapolitika.gr/ellada/article/1776258/fotia-sti-siviri-halkidikis-ishuri-kinitopoiisi-tis-purosvestikis-minuma-apo-to-112/ ; https://www.newsit.gr/ellada/fotia-sti-xalkidiki-maxi-ton-pyrosveston-me-diaspartes-esties-sti-siviri-veltiomeni-i-eikona-apomakrynthikan-481-katoikoi/4750576/ ; https://www.skai.gr/news/greece/fotia-sti-siviri-2480-kamena-stremmata-ta-1388-itan-dasiki-ektasi ; https://www.athensvoice.gr/epikairotita/ellada/980411/mahi-me-tis-floges-sti-siviri-halkidikis-minumata-tou-112-kai-ekkenoseis/ ; https://www.alfavita.gr/koinonia/556861_halkidiki-stis-floges-ekkenothikan-sibiri-kai-foyrka-katoikoi-efygan-apo-ti ; https://www.naftemporiki.gr/society/2150394/fotia-sti-siviri-chalkidikis-sta-2-480-stremmata-i-perimetros-tis-kamenis-ektasis/ ; https://www.in.gr/2026/08/15/greece/xalkidiki-perimetro-kamenis-ektasis-2-480-stremmaton-apo-ti-fotia-sti-siviri-kategrapse-i-ypiresia-copernicus/ ; https://www.tanea.gr/2026/08/14/greece/fotia-sti-xalkidiki-maxi-me-tis-diaspartes-esties-sti-siviri-apomakrynthikan-481-katoikoi/ ; https://www.newsit.gr/ellada/xalkidiki-2-480-ta-stremmata-pou-eginan-staxti-apo-tin-megali-pyrkagia-sti-siviri-ta-1-388-itan-dasiki-ektasi/4751421/ ; https://www.ertnews.gr/ert3/siviri-xalkidikis-enisthikan-oi-dynameis-entoli-apomakrynsis-ton-katoikon/ ; https://www.huffingtonpost.gr/kinonia/fotia-sti-chalkidiki-etsi-xekinise-o-efialtis-sti-siviri-eikones/ ; https://www.naftemporiki.gr/society/2150297/pyrkagia-sti-siviri-nees-endeixeis-gia-to-simeio-miden-sto-eisaggelea-dyo-ergolavoi-toy-deddie/ ; https://www.lifo.gr/now/greece/fotia-sti-halkidiki-den-yparhei-energo-metopo-sti-sibiri-polles-diaspartes-esties</t>
  </si>
  <si>
    <t>Μέτωπο ~3χλμ. Καίγονται σπίτια. Έκλεισε επαρχιακός Σιβήρη–Φούρκα. Ορατός καπνός από ΠΑΘΕ Θεσσαλονίκη–Ν.Μουδανιά. Εκκενώθηκε ξενοδοχείο με παιδιά. | Πύρινο μέτωπο ~3 km. 2 κατοικίες κατεστραμμένες. 1 τραυματίας πυροσβέστης (κάτω άκρο). Αναζωπυρώσεις τη νύχτα. Δρόμος Φούρκας κλειστός. Ημέρα peak: 142 πυροσβ., 51 οχ., 9 αεροσκ., 7 ελικ. Νύχτα: 227 πυροσβ., 57 οχ., 13 ομάδες, 6 αεροσκ., 1 ελικ. | Μέτωπο ~3 χλμ· άνεμοι Beaufort 11-12· ζημιές σε σπίτια και ΙΧ· δάσος και σπίτια κάηκαν· τη νύχτα σε επιφυλακή 227 πυροσβέστες για αναζωπυρώσεις· απεγκλωβισμός δια θαλάσσης 481 ατόμων. | Έναρξη μεσημέρι 13/08. Μέτωπο ~3 χλμ. Ζημιές σε σπίτια/αυτοκίνητα. 481 απεγκλωβισθέντες δια θαλάσσης. 14/08 πρωί: χωρίς ενεργό μέτωπο αλλά διάσπαρτες εστίες (upsert 14/08). Χαλκιδική σε πορτοκαλί (κατ. 4) 13/08 per ertnews· κίτρινο (κατ. 3) 14/08. Κατά Al Jazeera: μέρος εξάρσεως 40+ πυρκαγιών στην Ελλάδα. | Χωρίς ενεργό μέτωπο από 14/8 πρωί· εναέρια μέσα αποδεσμεύτηκαν, διάσπαρτες εστίες υπό επίγεια επιτήρηση. Αντιπεριφερειάρχης: «καταφέραμε να οριοθετήσουμε παρά τους ισχυρούς ανέμους της νύχτας». Ζημιές σε 7-8 κατοικίες (μη ολοσχερής καταστροφή) και οχήματα. Μονάδα βιολογικής επεξεργασίας ολοσχερώς κατεστραμμένη. Πυροσβέστες τραυματίστηκαν κατά τη διάρκεια. Εκκένωση οικισμών και δια θαλάσσης. Δρόμος προς Φούρκα παρέμεινε κλειστός. | 3.500–4.000 καμένα στρέμματα (=350–400 ha). Ζημιές σε 8 σπίτια και αυτοκίνητα. 300+ τουριστές εκκενώθηκαν δια θαλάσσης (14/8). Φόβοι αναζωπύρωσης λόγω ανέμων 14/8 μεσημέρι. Email 14/8 (thread 1a000f856806d6fe) αναφέρει 140+ πυροσβέστες/9 αεροσκάφη/7 ελικόπτερα. | πυρκαγιά σε δασική &amp; δομημένη περιοχή· ~8 κατοικίες &amp; αυτοκίνητα κατεστράφηκαν· 16 εναέρια σύνολο· ύφεση 14/8 πρωί· ~4.000 στρ. κατ. άλλες πηγές· update από email 1a000f856806d6fe (14/8) | Copernicus (δορυφ. εικόνα 2026-08-14T18:56): 248 ha / 2.480 στρ. ως τελική καμένη έκταση. Πρωί 14/8 σε ύφεση – δεν υφίσταται ενιαίο ενεργό μέτωπο, διαβροχές και διάσπαρτες εστίες. Αρχικές εκτιμήσεις τύπου ανέφεραν 3.500 στρ. (350 ha) – ελεύθερος τύπος. Δεν εντοπίστηκε ακριβής ώρα ελέγχου/κατάσβεσης. | 300+ τουρίστες εκκενώθηκαν δια θαλάσσης. Copernicus EMSR ενεργοποιήθηκε· δεδομένα 14/8 18:00 δείχνουν 248 ha (1.388 ha δάσος). 110 πυροσβέστες/50 οχήματα σε επιφυλακή για καπνογόνα σημεία. | Copernicus 14/8: 2.480 στρ.=248 ha καμένα (1.388 στρ. δάσος). ~481 άτομα εκκενώθηκαν δια θαλάσσης. Κορύφωση 140+ πυρ. Οριοθετήθηκε 14/8 απόγευμα· 110 πυρ.+50 οχ. έμειναν επιτήρηση (15/8). | 2 πυροσβέστες τραυματίστηκαν ελαφρά· 227 Έλληνες + 12 Μολδαβοί πυροσβέστες (σύνολο 239), 57+3 οχήματα (60)· Copernicus (14/8 18:00): 2.480 στρ. = 248 ha (εκ των οποίων 1.388 στρ. δασική έκταση)· Tanea: 3.500 στρ. (350 ha)· χάρτης ΓΓΠΠ 13/8: Χαλκιδικής ΥΨΗΛΗ (3) | Copernicus EMS (15/08/2026): 2.480 στρέμματα = 248 ha περίμετρος καμένης έκτασης (αναθεώρηση από 350 ha). Χωρίς ενεργό μέτωπο από 15/08. Παρέμειναν 110 πυροσβέστες / 50 οχήματα για φύλαξη έναντι αναζωπυρώσεων. | Εκκένωση 300+ τουριστών δια θαλάσσης + 481 κατοίκοι. Ζημιές σε σπίτια/αυτοκίνητα. Newsit: 3.500 στρ. (350 ha)· tanea δορυφορικό 14/8 18:56: 2.480 στρ. (248 ha). in.gr 13/8: 122 πυροσβέστες 12 εναέρια (αρχική κινητοποίηση). | Χερσόνησος Κασσάνδρας. Εκκένωση Σίβηρης και Φούρκας μέσω 112. 481 άτομα διασώθηκαν δια θαλάσσης. Copernicus (δορυφορική εικόνα 14/8): 2.480 στρ. συνολικά, εκ των οποίων 1.388 στρ. δασική έκταση (= 248 ha συνολικά, 138,8 ha δάσος). Ζημιές σε κατοικίες, οχήματα, βιολογικό, υπαίθριο θέατρο Σίβηρης. Δύο πυροσβέστες τραυματίστηκαν. | Χωρίς ενεργό μέτωπο από πρωί 14/8 (Zougla.gr, Pontosnews.gr). Copernicus δορυφ. εικ. 14/8-18:56: 2.480 στρ. (248 ha)· τελική εκτίμηση ΜΜΕ: 3.500 στρ. (350 ha). Απεγκλωβισμοί δια θαλάσσης, ζημιές σε οχήματα ΙΧ και τμήματα κατοικιών. Δεν αναφέρεται θύμα. | Ίδια πυρκαγιά με Σίβηρη (record αρχικής καταγραφής). Copernicus (14/8/2026): 2.480 στρέμματα = 248 ha οριστική έκταση (προηγούμενη εκτίμηση 350 ha διορθώνεται). | Εκ των 2.480 στρεμμάτων, τα 1.388 ήταν δασική έκταση (138,8 ha). Αρχική εκτίμηση 350 ha διορθώθηκε βάσει επίσημης αποτύπωσης. | Τελική καμένη έκταση 2.480 στρέμματα (248 ha) — διόρθωση αρχικής εκτίμησης 350 ha — επιβεβαιωμένη από Copernicus. Απεγκλωβισμός 481 ατόμων δια θαλάσσης. 2 πυροσβέστες τραυματίστηκαν ελαφρά. Ζημιές σε κατοικίες στον οικισμό Ναυτίλος.</t>
  </si>
  <si>
    <t>13:39</t>
  </si>
  <si>
    <t>Παραλία Οφρυνίου Καβάλας</t>
  </si>
  <si>
    <t>υπό διερεύνηση (κινητοποίηση Ανακριτικού Κλιμακίου Εμπρησμού Καβάλας)</t>
  </si>
  <si>
    <t>https://www.naftemporiki.gr/society/2149774/kavala-fotia-tora-stin-paralia-ofrynioy/ ; https://www.kavalanews.gr/61303-fotia-paralia-ofrynioy-kinitopoiise-pyrosvestiki-simeio-enaeria-mesa.html ; https://www.xronometro.com/kavala-pyrkagia-mikris-ektasis-stin-paralia-ofryniou-tethike-grigora-ypo-pliri-elegcho/ ; https://www.efsyn.gr/ellada/1447216/fotia-stin-paralia-ofrynioy-kavalas-megali-kinitopoiisi-tis-pyrosvestikis/ ; https://www.kavalanews.gr/61305-ypo-meriko-elegho-i-fotia-paralia-ofrynioy-i-opoia-ekaige-konta-se-spitia-vinteo-fotografies</t>
  </si>
  <si>
    <t>Μικρής έκτασης. Τέθηκε γρήγορα υπό πλήρη έλεγχο λόγω απουσίας ισχυρών ανέμων. | Η φωτιά έκαιγε πλησίον κατοικιών. Υπό μερικό έλεγχο ~14:37 (kavalanews), πλήρης έλεγχος 13:39 κατά Πυροσβεστική. | Εδαφικές ομάδες: 1 ομάδα πεζοπόρων 21ης ΕΜΟΔΕ. Συνέδραμαν υδροφόρες Δήμου Παγγαίου.</t>
  </si>
  <si>
    <t>Βαρθολομιό Ηλείας</t>
  </si>
  <si>
    <t>Ανδραβίδα-Κυλλήνη</t>
  </si>
  <si>
    <t>1 ομάδα πεζοπόρων 18ης ΕΜΥΔΕ</t>
  </si>
  <si>
    <t>Δεξαμενές δήμου, βαρέα μηχανήματα</t>
  </si>
  <si>
    <t>112 15:03: ετοιμότητα — παραμείνετε σε ετοιμότητα και ακολουθείστε οδηγίες αρχών | 112 15:03: ετοιμότητα κατοίκων ευρύτερης περιοχής | 112 15:03: μήνυμα ετοιμότητας κατοίκων ευρύτερης περιοχής | 112 ~15:03: προειδοποίηση ετοιμότητας ευρύτερης περιοχής (όχι διαταγή εκκένωσης) | 112 15:03: μήνυμα ετοιμότητας (όχι εκκένωση) | 112 15:03: προειδοποίηση ευρύτερης περιοχής Βαρθολομιού | 112 μήνυμα ετοιμότητας (όχι εκκένωση) | 112: προληπτική ειδοποίηση ετοιμότητας (δεν εκδόθηκε εντολή εκκένωσης)</t>
  </si>
  <si>
    <t>https://www.ertnews.gr/perifereia/ileia-fotia-se-xamili-vlastisi-sto-vartholomio-sikothikan-4-enaeria-mesa/ ; https://www.skai.gr/news/greece/pyrkagia-se-agrotodasiki-ektasi-sto-vartholomio-ileias ; https://www.enikos.gr/society/ileia-fotia-se-agrotodasiki-ektasi-sto-vartholomio-ichise-to-112-gia-etoimotita/2628499/ ; https://www.ertnews.gr/perifereia/ypo-elegxo-i-pyrkagia-sto-vartholomio-ileias/ ; https://www.protothema.gr/greece/article/1864458/fotia-sto-vartholomio-sikothikan-4-enaeria-estali-112-gia-etoimotita/ ; https://www.ilialive.gr/epikaira/434804/oriothetithike-i-pyrkagia-sto-vartholomio-paramenoun-sto-simeio-oi-dynameis-pyrosvesis ; https://www.documentonews.gr/article/fotia-tora-sto-vartholomio-sikothikan-4-enaeria-mesa/ ; https://www.naftemporiki.gr/society/2149838/fotia-tora-sto-vartholomio-ileias-minyma-apo-to-112/ ; https://www.patrisnews.com/pyrkagia-se-liostasi-sto-vartholomio-speydoyn-ischyres-pyrosvestikes-dynameis/ ; https://www.eleftherostypos.gr/ellada/choris-energo-metopo-oi-foties-se-vartholomio-ileias-kai-potamoula-aitoloakarnanias ; https://ilia.news/%CE%AC%CE%BC%CE%B5%CF%83%CE%B7-%CE%BA%CE%B9%CE%BD%CE%B7%CF%84%CE%BF%CF%80%CE%BF%CE%AF%CE%B7%CF%83%CE%B7-%CF%83%CF%84%CE%BF-%CE%B2%CE%B1%CF%81%CE%B8%CE%BF%CE%BB%CE%BF%CE%BC%CE%B9%CF%8C-%CF%85/ ; https://www.tovima.gr/2026/08/13/society/fotia-tora-sto-vartholomio-ileias/ ; https://www.tanea.gr/2026/08/13/greece/fotia-sto-vartholomio-ileias-minyma-apo-to-112-gia-etoimotita/ ; https://www.in.gr/2026/08/13/greece/fotia-sto-vartholomio-ileias-kai-minyma-apo-to-112-gia-etoimotita/ ; https://www.cnn.gr/ellada/story/547737/pollapla-metopa-pyrkagias-en-meso-isxyron-anemon-baraz-112-kai-ekkenoseis-se-xalkidiki-naypakto ; https://www.newsit.gr/ellada/fotia-sto-vartholomio-ileias-minyma-tou-112-epixeiroun-4-enaeria-mesa/4750184/ ; https://iliakanea.gr/vartholomio-oriothetithike-i-fotia-paramenoun-ischyres-dynameis-stin-periochi/ ; https://www.skai.gr/news/greece/pyrkagia-se-xamili-vlastisi-ston-vartholomio-ileias ; https://ilia.news/άμεση-κινητοποίηση-στο-βαρθολομιό-υ/</t>
  </si>
  <si>
    <t>20 στρέμματα (2 ha) ελαιοδέντρα. Χαμηλή βλάστηση. Χωρίς ενεργό μέτωπο μετά τις 16:00. | Αγροτοδασική έκταση. Χωρίς ενεργό μέτωπο. | 20 στρέμματα ελαιώνων. Παρακολούθηση με drone/θερμικές κάμερες ΕΣΚΔΙΚ. Οριοθετήθηκε. | Φωτιά σε αγροτοδασική έκταση (ελαιώνας). Ζημιά σε εκτροφείο. Χωρίς ενεργό μέτωπο λίγο μετά τις 16:00. | Χαμηλή βλάστηση και ελαιόδεντρα, ~20 καμένα στρέμματα (=2 ha). | χαμηλή βλάστηση· 20 στρέμματα ελαιόδεντρα (2 ha)· drone θερμικής επιτήρησης | Αγροτοδασική έκταση, χαμηλή βλάστηση και ελαιόδεντρα. 20 στρέμματα. Χωρίς ενεργό μέτωπο. | Χαμηλή βλάστηση. Χωρίς ενεργό μέτωπο μετά ανάπτυξη δυνάμεων. Ταυτόχρονα μέτωπα σε Ηλεία-Αιτωλοακαρνανία-Ναυπακτία. | Κλήθηκε το Ανακριτικό Κλιμάκιο Εμπρησμού Ηλείας. 1 ομάδα πεζοπόρου 18ης ΕΜΟΔΕ.</t>
  </si>
  <si>
    <t>17:10</t>
  </si>
  <si>
    <t>Μακύνεια Ναυπακτίας</t>
  </si>
  <si>
    <t>Ναύπακτος</t>
  </si>
  <si>
    <t>Τσέχοι πυροσβέστες (EU υποστήριξη)</t>
  </si>
  <si>
    <t>θυελλώδεις άνεμοι</t>
  </si>
  <si>
    <t>112 14:42: ειδοποίηση ετοιμότητας· 112 ~15:00+: εκκένωση Μακύνειας → Ναύπακτο ή Μεσολόγγι | 112 εκκένωση: απομακρυνθείτε άμεσα προς Μεσολόγγι ή Ναύπακτο | 112 ~15:00: εκκένωση Μακύνειας προς Μεσολόγγι ή Ναύπακτο | 112: εκκένωση Μακύνειας προς Μεσολόγγι ή Ναύπακτο | 112 ~15:00: εκκένωση Μακύνειας προς Ναύπακτο και Μεσολόγγι | 112: εκκένωση Μακύνεια → Ναύπακτο &amp; Μεσολόγγι</t>
  </si>
  <si>
    <t>https://www.ertnews.gr/eidiseis/fotia-se-agrotodasiki-ektasi-sti-makyneia-naypaktias-minyma-apo-to-112-gia-ekkenosi/ ; https://www.newsit.gr/ellada/ypo-elegxo-i-fotia-stin-aitoloakarnania-stin-perioxi-makyneia-112-gia-ekkenosi-pros-mesologgi-i-naypakto/4750165/ ; https://www.enikos.gr/society/fotia-sti-nafpaktia-minyma-tou-112-gia-ekkenosi-tis-periochis-makyneia-apomakryntheite-pros-mesolongi-i-nafpakto/2628503/ ; https://www.protothema.gr/greece/article/1864447/fotia-tora-sti-makuneia-naupaktias-112-gia-etoimotita/ ; https://www.newsbeast.gr/greece/arthro/13291866/fotia-tora-stin-periochi-makyneia-stin-nafpakto ; https://www.news247.gr/ellada/fotia-stin-makineia-nafpaktou-stin-aitoloakarnania-112-gia-etoimotita/ ; https://pelop.gr/makyneia-antirrio-fotia-konta-se-pratirio-kafsimon-spevdoun-pyrosvestikes-dynameis/ ; https://www.cnn.gr/ellada/story/547737/pollapla-metopa-pyrkagias-en-meso-isxyron-anemon-baraz-112-kai-ekkenoseis-se-xalkidiki-naypakto ; https://www.naftemporiki.gr/society/2149832/fotia-tora-sti-makyneia-naypaktias-minyma-apo-to-112/ ; https://www.ertnews.gr/eidiseis/naypaktos-esvise-i-fotia-sti-makyneia/ ; https://www.documentonews.gr/article/fotia-tora-sti-makyneia-nafpaktias-112-gia-ekkenosi-tis-periochis/ ; https://www.thetoc.gr/koinwnia/article/fotia-sti-makuneia-naupaktias---ixise-to-112-gia-ekkenosi/ ; https://www.powergame.gr/ellada/1403226/fotia-sti-makyneia-nafpaktias-ichise-to-112-epicheiroun-4-enaeria-mesa/ ; https://www.tanea.gr/2026/08/13/greece/fotia-sti-makyneia-naypaktou-isxyri-kinitopoiisi-tis-pyrosvestikis-ixise-to-112/ ; https://epirusonline.gr/eidiseis/ellada/pyrkagies-se-makyneia-kai-vartholomio-112-sti-naypaktia/ ; https://pelop.gr/fotia-makyneia-xoris-energo-metopo/ ; https://www.naftemporiki.gr/society/2149842/fotia-sti-makyneia-naypaktias-entoli-meso-112-gia-apomakrynsi/ ; https://www.ekathimerini.com/news/1312419/wildfire-triggers-evacuation-access-restrictions-in-halkidiki/</t>
  </si>
  <si>
    <t>Αγροτοδασική έκταση. Ρίψεις αεροπλάνων κρίθηκαν αποφασιστικές. Χωρίς ενεργό μέτωπο μετά τις 16:00. Επίσης εκδηλώθηκε δευτερεύουσα εστία στην Ποταμούλα. | Αγροτοδασική έκταση Μακύνεια (Ναύπακτος). Αναφέρεται στο Yutori email ως 3η εστία της 13/8 (μαζί με Σιβήρη και Βαρθολομιό). | Φωτιά σε αγροτοδασική έκταση κοντά σε πρατήριο υγρών καυσίμων μεταξύ Αντιρρίου και Μακύνειας. Μερικώς οριοθετήθηκε μετά τις 16:00. | Δυνάμεις αυξήθηκαν από 40 πυρ./12 οχ./3 αεροσκ./1 ελικ. σε 62 πυρ./16 οχ./3 αεροσκ./2 ελικ. + Τσέχοι. Χωρίς ενεργό μέτωπο. Έσβησε. | Τσέχοι πυροσβέστες συμμετείχαν. Εναέρια: 1 Canadair, 1 PZL (αεροσκάφη) + 1 Erikson, 1 Bell (ελικόπτερα). Εκκένωση μέσω 112 προς Μεσολόγγι/Ναύπακτο. | Αρχικά 40 πυροσβέστες, ενισχύθηκαν. Δασική έκταση. Συμμετείχαν Τσέχοι πυροσβέστες. | δασική έκταση· μερικώς οριοθετήθηκε ~16:00 | Αναφέρθηκε ως πρόσθετο μέτωπο (εστία) 13/8 στο πλαίσιο πολλαπλών πυρκαγιών. Ελάχιστες λεπτομέρειες. | Σύντομη αναφορά στο Yutori email ως πρόσθετη εστία. Λεπτομέρειες δυνάμεων/έκτασης δεν εντοπίστηκαν.</t>
  </si>
  <si>
    <t>Ποταμούλα Αιτωλοακαρνανίας</t>
  </si>
  <si>
    <t>δημοτικά υδροφόρα</t>
  </si>
  <si>
    <t>112 προειδοποίηση ετοιμότητας | 112: μήνυμα ετοιμότητας (όχι εκκένωση) | 112: ετοιμότητα/προειδοποίηση περιοχής</t>
  </si>
  <si>
    <t>https://www.cnn.gr/ellada/story/547737/pollapla-metopa-pyrkagias-en-meso-isxyron-anemon-baraz-112-kai-ekkenoseis-se-xalkidiki-naypakto ; https://www.ertnews.gr/eidiseis/esvise-i-fotia-sti-mamoulada-aitoloakarnanias/ ; https://www.ertnews.gr/eidiseis/naypaktos-esvise-i-fotia-sti-makyneia/ ; https://www.eleftherostypos.gr/ellada/choris-energo-metopo-oi-foties-se-vartholomio-ileias-kai-potamoula-aitoloakarnanias ; https://www.naftemporiki.gr/society/2149854/aitoloakarnania-pyrkagia-kai-stin-potamoyla-minyma-toy-112/ ; https://agrinio24.gr/fotia-stin-potamoula-aitoloakarnanias-minyma-apo-to-112-gia-etoimotita/ ; https://www.agriniosite.gr/pyrkagia-stin-potamoyla-agrinioy-minyma-apo-to-112/</t>
  </si>
  <si>
    <t>Δευτερεύουσα εστία στην Αιτωλοακαρνανία ταυτόχρονα με Μακύνεια. Περιορισμένα στοιχεία. | Περιορισμένα στοιχεία — αναφέρεται σε live blog. Ξεχωριστή εστία από Μακύνεια. | [ΝΕΟ] Ξεχωριστό περιστατικό αγροτοδασικής πυρκαγιάς την ίδια ημέρα με Μακύνεια. Εντοπίστηκε στο ρεπορτάζ ERT για Μακύνεια. | Νέο εύρημα (ΑΝΑΚΑΛΥΨΗ). Εντοπίστηκε στο eleftherostypos.gr — «χωρίς ενεργό μέτωπο» στις 13/8, αναφέρεται παράλληλα με το Βαρθολομιό Ηλείας. | δασική περιοχή | Χωρίς ενεργό μέτωπο. Συν-αναφέρθηκε με Βαρθολομιό Ηλείας. | ΝΕΟ ΠΕΡΙΣΤΑΤΙΚΟ — εντοπίστηκε από ρεπορτάζ συνοδευτικό φωτιάς Βαρθολομιού: «χωρίς ενεργό μέτωπο». Ελάχιστα στοιχεία διαθέσιμα.</t>
  </si>
  <si>
    <t>Σίβηρη</t>
  </si>
  <si>
    <t>Χαλκιδική</t>
  </si>
  <si>
    <t>3 πεζοπόρα τμήματα</t>
  </si>
  <si>
    <t>Πτώση ξερού δέντρου σε συρματόσκοινα αντιστήριξης στύλου ΔΕΔΔΗΕ – βραχυκύκλωμα ηλεκτροδότησης</t>
  </si>
  <si>
    <t>https://www.in.gr/2026/08/13/greece/fotia-sti-siviri-xalkidikis-ixise-to-112-stin-kassandra/ ; https://www.naftemporiki.gr/society/2150394/fotia-sti-siviri-chalkidikis-sta-2-480-stremmata-i-perimetros-tis-kamenis-ektasis/ ; https://www.capital.gr/epikairotita/4010815/sta-2480-stremmata-i-kameni-ektasi-apo-tin-purkagia-sti-siviri-xalkidikis-sumfona-me-to-copernicus/ ; https://www.euronews.com/my-europe/2026/08/13/people-evacuated-from-beach-as-wildfire-tears-through-popular-greek-tourist-hotspot ; https://www.tanea.gr/2026/08/15/greece/xalkidiki-sta-2-480-stremmata-i-kameni-ektasi-apo-tin-pyrkagia-sti-siviri/ ; https://www.newsit.gr/ellada/fotia-sti-xalkidiki-anekselegkti-i-katastasi-sti-siviri-sta-spitia-oi-floges-ekkenothikan-oikismoi/4750294/ ; https://www.ekirikas.com/choris-energo-metopo-fotias-i-siviri/ ; https://www.huffingtonpost.gr/kinonia/fotia-sti-chalkidiki-etsi-xekinise-o-efialtis-sti-siviri-eikones/ ; https://www.tanea.gr/2026/08/13/greece/xalkidiki-pos-xekinise-i-fotia-tis-siviris-auto-einai-to-simio-miden/ ; https://www.flash.gr/chalkidiki-2-480-stremmata-i-kameni-ektasi-sti-siviri-ti-kategrapse-to-copernicus-1076847 ; https://www.naftemporiki.gr/society/2150297/pyrkagia-sti-siviri-nees-endeixeis-gia-to-simeio-miden-sto-eisaggelea-dyo-ergolavoi-toy-deddie/ ; https://www.zougla.gr/greece/choris-energo-metopo-i-pyrkagia-sti-siviri-chalkidikis/ ; https://www.naftemporiki.gr/society/2149821/fotia-tora-sti-siviri-chalkidikis-sikothikan-kai-enaeria-mesa/</t>
  </si>
  <si>
    <t>ΝΕΑ ΕΓΓΡΑΦΗ. Απεγκλωβισμός &gt;250 τουριστών δια θαλάσσης (15 σκάφη). Ζημιές στον οικισμό Nautilus. Copernicus (14/8/2026): 248 ha (2.480 στρέμματα). Εκκένωση Σίβηρης μέσω 112. | Στις 21:05 τέθηκε υπό μερικό έλεγχο. Εκκενώθηκαν 481 άτομα δια θαλάσσης. Τελικά χωρίς ενεργό μέτωπο (ekirikas.com). Ζημιές σε σπίτια. | Copernicus (14/8/2026): 2.480 στρέμματα (248 ha) οριστική καμένη έκταση. Δύο εργολάβοι ΔΕΔΔΗΕ παραπέμφθηκαν στον εισαγγελέα. | Απεγκλωβισμός 481 ατόμων δια θαλάσσης. 2 πυροσβέστες τραυματίστηκαν ελαφρά. Ζημιές σε κατοικίες στον οικισμό Ναυτίλος. Καμένη έκταση 2.480 στρέμματα (248 ha) επιβεβαιωμένη από Copernicus (δορυφορική εικόνα 14/08/2026 18:56).</t>
  </si>
  <si>
    <t>Λουτρόπυργος</t>
  </si>
  <si>
    <t>δεξαμενές δήμου Μάνδρας-Ειδυλλίας</t>
  </si>
  <si>
    <t>υπό διερεύνηση (ανακριτικό κλιμάκιο εμπρησμού Δυτικής Αττικής)</t>
  </si>
  <si>
    <t>112 14:37: εκκένωση Λουτρόπυργος, Τόλκα, Νεράκι προς Νέα Πέραμο | 112 14:37: εκκένωση Λουτροπύργου, Τόλκα, Νερακίου → Νέο Πέραμο | 14:37 – εκκένωση Λουτρόπυργος, Τόλκα, Νεράκι προς Νέα Πέραμο</t>
  </si>
  <si>
    <t>https://www.newsit.gr/ellada/fotia-sto-loutropyrgo-attikis-minyma-112-gia-ekkenosi-3-perioxon-pros-nea-peramo/4749370/ ; https://www.lifo.gr/now/greece/fotia-tora-ston-loytropyrgo-attikis-xespase-se-hamili-blastisi-epiheiroyn-pente-enaeria ; https://www.tanea.gr/2026/08/12/greece/synagermos-stin-pyrosvestiki-fotia-stin-eleysina ; https://www.naftemporiki.gr/society/2149472/fotia-tora-ston-loytropyrgo-attikis/ ; https://www.skai.gr/news/greece/fotia-ston-loutropyrgo-attikis-sikothikan-enaeria-mesa ; https://www.ertnews.gr/eidiseis/ellada/maxi-ton-pyrosvestikon-dynameon-me-ta-energa-metopa-sti-dytiki-attiki-minyma-tou-112-gia-apomakrynsi-pros-nea-peramo/ ; https://www.documentonews.gr/article/fotia-tora-ston-loutropyrgo-konta-stin-palia-ethniki-112-gia-ekkenosi-enischyontai-ta-enaeria/ ; https://www.ertnews.gr/eidiseis/ypo-meriko-elegxo-i-fotia-ston-loutropyrgo-attikis/ ; https://www.ertnews.gr/roi-idiseon/ypo-elegxo-i-fotia-ston-loutropyrgo-attikis/ ; https://www.enikos.gr/society/veltiomeni-i-eikona-tis-fotias-ston-loutropyrgo-attikis-paramenoun-sto-simeio-oi-pyrosvestikes-dynameis/2628082/ ; https://www.star.gr/eidiseis/ellada/725822/fwtia-twra-ston-loytropyrgo-attikhs ; https://www.tovima.gr/2026/08/12/society/fotia-ston-loutropyrgo-attikis-epixeiroun-kai-enaeria-mesa/ ; https://www.mononews.gr/society/fotia-ston-loutropyrgo-attikis-epicheiroun-pente-enaeria-mesa ; https://www.protothema.gr/greece/article/1863961/fotia-ston-loutropurgo-attikis-epiheiroun-pede-enaeria-mesa/ ; https://www.aftodioikisi.gr/koinonia/attiki-ypo-meriko-elegcho-i-fotia-ston-loytropyrgo/ ; https://www.reader.gr/ellada/fotia-ston-loytropyrgo-attikis-beltiothike-i-eikona-sto-pyrino-metopo/657509</t>
  </si>
  <si>
    <t>Χαμηλή βλάστηση κάτω από Εθνική Οδό. Βελτιωμένη εικόνα. Κλιμάκιο εμπρησμολογίας Δυτ. Αττικής. Αποκλεισμός παλαιάς εθνικής Αθηνών-Κορίνθου από ύψος Νεράκι. | Χαμηλή βλάστηση. Διακοπή κυκλοφορίας παλαιάς εθνικής Αθηνών-Κορίνθου στο Νεράκι. Ενεργοποιήθηκε μονάδα έρευνας εμπρησμών. | Εκκενώθηκαν τρεις οικισμοί: Τόλκα, Νεράκι, Λουτρόπυργος (μήνυμα 112). Πυρκαγιά εκδηλώθηκε σε χαμηλή βλάστηση.</t>
  </si>
  <si>
    <t>Λουτρόπυργος Αττικής</t>
  </si>
  <si>
    <t>Δυτικής Αττικής</t>
  </si>
  <si>
    <t>υδροφόρες ΟΤΑ Μάνδρας-Ειδυλλίας</t>
  </si>
  <si>
    <t>112 14:37: εκκένωση Λουτρόπυργου, Τόλκας, Νεράκι → Νέο Πέραμα</t>
  </si>
  <si>
    <t>https://www.ertnews.gr/eidiseis/ypo-meriko-elegxo-i-fotia-ston-loutropyrgo-attikis/ ; https://www.skai.gr/news/greece/fotia-ston-loutropyrgo-attikis-sikothikan-enaeria-mesa ; https://x.com/112Greece/status/2087507531388059815 ; https://x.com/pyrosvestiki/status/2087506528899108950</t>
  </si>
  <si>
    <t>Χαμηλή βλάστηση. Κλείσιμο παλαιάς εθνικής Αθηνών-Κορίνθου στο Νεράκι. Έρευνα Ανακριτικού Κλιμακίου Εμπρησμών.</t>
  </si>
  <si>
    <t>2026-08-13</t>
  </si>
  <si>
    <t>Ίλιδα Ηλείας (Χάβαρι Αμαλιάδας)</t>
  </si>
  <si>
    <t>Δεξαμενές δήμου Ήλιδας</t>
  </si>
  <si>
    <t>https://www.ertnews.gr/roi-idiseon/synagermos-gia-fotia-stin-ilida-ileias-synexeis-ripseis-apo-5-enaeria-mesa/ ; https://www.cnn.gr/ellada/story/547572/ileia-synagermos-gia-pyrkagia-se-xamili-vlastisi-stin-ilida-sikothikan-enaeria-mesa ; https://www.tanea.gr/2026/08/12/greece/fotia-stin-ileia-kinitopoiithikan-enaeries-kai-epigeies-dynameis ; https://www.newsit.gr/ellada/fotia-stin-ileia-stin-perioxi-xavari-epixeiroun-5-aeroskafi/4749338/ ; https://www.ertnews.gr/perifereia/ilida-ypo-pliri-elegxo-i-fotia-sto-xavari/ ; https://iliakanea.gr/ilida-ypo-pliri-elegcho-i-fotia-sto-chavari/ ; https://ilia.news/%CF%87%CE%AC%CE%B2%CE%B1%CF%81%CE%B9-%CE%AC%CE%BC%CE%B5%CF%83%CE%B7-%CE%B5%CF%80%CE%AD%CE%BC%CE%B2%CE%B1%CF%83%CE%B7-%CF%84%CE%B7%CF%82-%CF%80%CF%85%CF%81%CE%BF%CF%83%CE%B2%CE%B5%CF%83%CF%84%CE%B9/</t>
  </si>
  <si>
    <t>Έναρξη σε ελαιώνα/χαμηλή βλάστηση. Drone ΕΣΚΕΔΙΚ θερμική+οπτική κάμερα. 5 αεροσκάφη, 0 ελικόπτερα. | Χαμηλή βλάστηση. Ενεργοποιήθηκε μονάδα έρευνας εμπρησμών. Χάρτης 12/8: Ηλεία κίτρινη (κατ. 3). | Χαμηλή βλάστηση. Υπό πλήρη έλεγχο. Ανακριτικό κλιμάκιο Ηλείας.</t>
  </si>
  <si>
    <t>12:57</t>
  </si>
  <si>
    <t>Ίμερος Ροδόπης</t>
  </si>
  <si>
    <t>Ροδόπης</t>
  </si>
  <si>
    <t>Μαρώνεια-Σαπών</t>
  </si>
  <si>
    <t>1 πεζοπορικό τμήμα (21η ΜΟΔ)</t>
  </si>
  <si>
    <t>δεξαμενές δήμου, βαρέα μηχανήματα</t>
  </si>
  <si>
    <t>υπό διερεύνηση (ανακριτικό κλιμάκιο Έβρου)</t>
  </si>
  <si>
    <t>112 12:57: εκκένωση Αμπελάκια και Προφήτη Ηλία προς Μαρώνεια | 112 12:57: εκκένωση Ίμερου → Μαρώνεια· επέκταση εκκένωσης Αμπελάκια &amp; Προφήτης Ηλίας → Μαρώνεια | 112 12:57: εκκένωση Ίμερου, Αμπελακίων, Προφήτη Ηλία → Μαρώνεια | 112 12:57 EEST: εκκένωση Ίμερου, Αμπελακίων, Προφήτη Ηλία προς Μαρώνεια | 112 12:57: εκκένωση Αμπελάκια και Προφήτης Ηλίας προς Μαρώνεια | 112 12:57 EEST: εκκένωση Αμπελάκια + Προφήτης Ηλίας προς Μαρώνεια | 112 ~12:57 EEST: εκκένωση Αμπελάκια και Προφήτης Ηλίας προς Μαρώνεια | 112 12:57 EEST: εκκένωση Αμπελάκια &amp; Προφήτης Ηλίας → Μαρώνεια</t>
  </si>
  <si>
    <t>https://www.youtube.com/watch?v=YyoVhGv8_pI ; https://x.com/112Greece/status/2087480498238943579 ; https://www.in.gr/2026/08/12/greece/fotia-sti-rodopi-sikothikan-tessera-enaeria-ekkenonontai-ampelakia-kai-profitis-ilias/ ; https://www.emakedonia.gr/pyrkagia-ston-imero-rodopis-minyma-toy-112-gia-ekkenosi-dyo-periochon ; https://www.lamiareport.gr/ellada/item/pyrkagia-sti-rodopi-stin-perioxi-imeros-minyma-tou-112-gia-ekkenosi-profiti-ilia-kai-ampelakia/ ; https://www.news247.gr/ellada/rodopi-fotia-stin-perioxi-imeros-112-gia-ekkenosi/ ; https://www.tovima.gr/2026/08/12/society/fotia-ston-imero-rodopis-ekkenosi-se-dyo-perioxes ; https://www.athensvoice.gr/epikairotita/ellada/980211/fotia-tora-stin-periohi-imeros-sti-rodopi-minuma-apo-112-gia-tin-ekkenosi-duo-periohon/ ; https://www.ertnews.gr/eidiseis/pyrkagia-ston-imero-rodopis-enisxyontai-oi-pyrosvestikes-dynameis-ixise-to-112-gia-ekkenosi-kai-metakinisi-pros-maroneia/ ; https://www.cnn.gr/ellada/story/547566/fotia-stin-perioxi-imeros-sti-rodopi-ekkenonontai-ampelakia-kai-profitis-ilias ; https://www.newsit.gr/ellada/fotia-sti-rodopi-stin-perioxi-imeros-minyma-tou-112-gia-ekkenosi-profiti-ilia-kai-ampelakia/4749327/ ; https://www.emakedonia.gr/rodopi-esvise-i-fotia-stin-periochi-imeros ; https://www.newsit.gr/ellada/ypo-elegxo-i-fotia-sti-rodopi-stin-perioxi-imeros-minyma-tou-112-gia-ekkenosi-profiti-ilia-kai-ampelakia/4749327/ ; https://www.tanea.gr/2026/08/12/greece/fotia-ston-imero-rodopis-ixise-to-112-gia-dyo-oikismous/ ; https://www.newsbomb.gr/ellada/story/1756054/rodopi-xoris-energo-metopo-i-fotia-ston-imero-kaikan-dyo-apothikes ; https://www.protothema.gr/greece/article/1863935/fotia-se-hamili-vlastisi-stin-imero-rodopis-epiheiroun-tessera-enaeria-mesa/ ; https://www.efsyn.gr/ellada/1446560/fotia-ston-imero-rodopis-112-gia-ekkenosi-dyo-periohon/ ; https://www.aftodioikisi.gr/koinonia/pyrkagia-tora-sti-rodopi/ ; https://www.thetoc.gr/koinwnia/article/fotia-tora-ston-imero-rodopis---minuma-tou-112-gia-ekkenosi-duo-perioxon/ ; https://www.koutipandoras.gr/article/rodopi-fotia-stin-periochi-imeros-se-ekkenosi-kalei-112/ ; https://thepressproject.gr/ypo-elegcho-tethike-i-fotia-stin-periochi-imeros-sti-rodopi/ ; https://newsit.gr/ellada/fotia-sti-rodopi-stin-perioxi-imeros-minyma-tou-112-gia-ekkenosi-profiti-ilia-kai-ampelakia/4749327 ; https://www.thestival.gr/eidiseis/astynomika/rodopi-choris-energo-metopo-i-fotia-sti/</t>
  </si>
  <si>
    <t>Καίει χαμηλή βλάστηση. Αρχ. δυνάμεις: 24 πυροσβέστες/9 οχήματα, ενισχύθηκαν σε 49/18. Χρήση drones με θερμικές &amp; οπτικές κάμερες. Κλιμάκιο εμπρησμολογίας σε κινητοποίηση. Κατάσταση ως 12/8 ~14:00. | Αρχ. δυνάμεις (Yutori): 27 πυρ./10 οχ. Ενισχύθηκαν σε 49/18. Χαμηλή βλάστηση. Αρχικό 112 για Ίμερο, επέκταση σε Αμπελάκια &amp; Προφήτη Ηλία. Αρχικά 4 εναέρια συνολικά. | Χαμηλή βλάστηση. Ενεργοποιήθηκε μονάδα έρευνας εμπρησμών. Επιτήρηση drone ΕΣΚΕΔΙΙΚ. | Χαμηλή βλάστηση. ESKENIK παρακολούθηση (θερμικές/οπτικές κάμερες drone). Αρχικές δυνάμεις: 27 πυροσβ., 10 οχ.· ενισχύθηκαν σε 49 πυροσβ., 18 οχ. Εκκένωση 3 οικισμών. | 965 στρέμματα χαμηλής βλάστησης. Δύο αποθήκες κάηκαν. Κλειστός ο παράκτιος δρόμος ~3 ώρες. Η εκκαθάριση ιδιωτικών εκτάσεων από ιδιοκτήτες περιόρισε ζημιές σε σπίτια. | Έκαψε χαμηλή βλάστηση. 965 στρέμματα (= 96.5 ha, πρώτες εκτιμήσεις). Δύο αποθήκες κάηκαν. Δυνάμεις ξεκίνησαν με 24 πυρ./9 οχ., ενισχύθηκαν σε 49/18. Χωρίς ενεργό μέτωπο. | 965 καμένα στρέμματα (=96,5 ha), χαμηλή βλάστηση. Κάηκαν 2 αποθήκες. Αρχικά 27 πυροσβέστες/10 οχήματα, ενισχύθηκαν σε 49/18. Πηγή email: ERT video. | χαμηλή βλάστηση· βαρέα μηχανήματα</t>
  </si>
  <si>
    <t>08:30</t>
  </si>
  <si>
    <t>Χαϊδάρι (Ρίμινι &amp; Πλουτάρχου)</t>
  </si>
  <si>
    <t>Δ. Χαϊδαρίου</t>
  </si>
  <si>
    <t>υπό διερεύνηση — Ανακριτικό Κλιμάκιο Αντιμετώπισης Εγκλημάτων Εμπρησμού Δυτικής Αττικής</t>
  </si>
  <si>
    <t>https://www.topontiki.gr/2026/08/12/pirkagia-se-chamili-vlastisi-sto-chaidari-oriothetithike-amesa/ ; https://www.naftemporiki.gr/society/2149331/pyrkagia-tora-se-chamili-vlastisi-sto-chaidari-sikothikan-dyo-elikoptera/ ; https://www.newsbomb.gr/ellada/story/1755908/fotia-se-xamili-vlastisi-sto-xaidari ; https://www.newsit.gr/ellada/oriothetithike-i-fotia-sto-xaidari-epixeiroun-2-elikoptera/4749131/ ; https://www.iefimerida.gr/ellada/haidari-oriothetithike-i-fotia-poy-xespase-se-hamili-blastisi ; https://www.ertnews.gr/roi-idiseon/oriothetithike-i-pyrkagia-sto-xaidari-attikis/ ; https://www.cnn.gr/ellada/story/547509/pyrkagia-sto-xaidari-tethike-ypo-elegxo-mesa-se-15-lepta</t>
  </si>
  <si>
    <t>Μικρή πυρκαγιά σε ξερά χόρτα στο αστικό κέντρο Χαϊδαρίου. Άμεση αντίδραση, οριοθέτηση πριν τις 08:30. | Χαμηλή βλάστηση-ξερά χόρτα, οδός Ρίμινι &amp; Πλουτάρχου. Οριοθετήθηκε σε ~15 λεπτά. | Χαμηλή βλάστηση. Γρήγορη οριοθέτηση από πρωινές ώρες. | Η φωτιά τέθηκε υπό έλεγχο μέσα σε 15 λεπτά από την έναρξη (start_time 08:00 → control ~08:15). Καμένη έκταση δεν προκύπτει από τις δημοσιευμένες πηγές (χαμηλή βλάστηση, ταχεία οριοθέτηση).</t>
  </si>
  <si>
    <t>20:46</t>
  </si>
  <si>
    <t>Παραλία Πάου - Νότιο Πήλιο</t>
  </si>
  <si>
    <t>Νότιο Πήλιο</t>
  </si>
  <si>
    <t>2 ομάδες 10ης ΕΜΟΔΕ</t>
  </si>
  <si>
    <t>Δεξαμενές δήμου Νοτίου Πηλίου</t>
  </si>
  <si>
    <t>Υπό διερεύνηση (ανακριτικό κλιμάκιο εμπρησμού Μαγνησίας)</t>
  </si>
  <si>
    <t>112 20:07: ετοιμότητα — παραμείνετε σε ετοιμότητα και ακολουθείστε οδηγίες αρχών</t>
  </si>
  <si>
    <t>https://www.ertnews.gr/perifereiakoi-stathmoi/volos/fotia-sti-xaradra-tis-mikris-paou-sto-notio-pilio-ixise-to-112/ ; https://www.newsit.gr/ellada/oriothetithike-i-fotia-sto-notio-pilio-eixe-stalei-minyma-apo-to-112-gia-etoimotita/4748943/ ; https://www.lamiareport.gr/topika/topikanea/item/oriothetithike-i-fotia-sto-notio-pilio-eixe-stalei-minyma-apo-to-112-gia-etoimotita/</t>
  </si>
  <si>
    <t>Χαράδρα Μικρής Πάου. Δασική έκταση κάτω από μοναστήρι. Αεροπορικές ρίψεις έως ηλιοβασίλεμα. Χάρτης 11/8: Μαγνησία κίτρινη (κατ. 3).</t>
  </si>
  <si>
    <t>20:00</t>
  </si>
  <si>
    <t>20:51</t>
  </si>
  <si>
    <t>Μικρή Πάου Νοτίου Πηλίου</t>
  </si>
  <si>
    <t>Δ. Νοτίου Πηλίου (Αργαλαστή)</t>
  </si>
  <si>
    <t>υδροφόρες Δ. Νοτίου Πηλίου</t>
  </si>
  <si>
    <t>Υπό διερεύνηση — Ανακριτικό Κλιμάκιο Εμπρησμού Μαγνησίας.</t>
  </si>
  <si>
    <t>112 20:07: ετοιμότητα κατοίκων και επισκεπτών της περιοχής | 112 ήχησε για ετοιμότητα (όχι εκκένωση)</t>
  </si>
  <si>
    <t>https://www.newsit.gr/ellada/fotia-sto-notio-pilio-isxyres-dynameis-sti-maxi-me-tis-floges-minyma-apo-to-112-gia-etoimotita/4748943/ ; https://www.tanea.gr/2026/08/11/greece/pilio-fotia-tora-stin-paou-argalastis-sto-ixise-to-112/ ; https://www.ertnews.gr/perifereiakoi-stathmoi/volos/fotia-sti-xaradra-tis-mikris-paou-sto-notio-pilio-ixise-to-112/ ; https://www.thetoc.gr/koinwnia/article/fotia-sto-notio-pilio-stalthike-minuma-112-gia-etoimotita---epixeiroun-4-enaeria-mesa/ ; https://www.protothema.gr/greece/article/1863662/fotia-tora-stin-paralia-paou-notiou-piliou-112-gia-etoimotita-sikothikan-tessera-aeroskafi/ ; https://www.newsit.gr/ellada/oriothetithike-i-fotia-sto-notio-pilio-eixe-stalei-minyma-apo-to-112-gia-etoimotita/4748943/ ; https://www.newsvolos.com/pilio-pos-apofefchthikan-ta-cheirotera-stin-paou-i-fotia-pire-ti-charadra-kai-katefthynotan-pros-ton-oikismo/</t>
  </si>
  <si>
    <t>Αγροτοδασική έκταση στη χαράδρα Μικρής Πάου. Έρευνα αιτιών από Υπηρεσία Εγκληματολογικής Έρευνας Εμπρησμών Μαγνησίας. | Αγροτοδασική έκταση, χαράδρα Μικρής Παου, κοντά Αργαλαστής. | Φωτιά στη χαράδρα Μικρής Πάου, ~400μ. κάτω από Ιερά Μονή Πάου. Κάηκαν &lt;5 στρέμματα αγροτοδασικής έκτασης. Μήνυμα 112 στις 20:07. Δύο ομάδες πεζοπόρων 10ης ΕΜΟΔΕ και εθελοντές Νοτίου Πηλίου. Ρεύμα αποκαταστάθηκε 12/8 στις 10:00.</t>
  </si>
  <si>
    <t>21:28</t>
  </si>
  <si>
    <t>Πυρκαγιά Τριάδας Ιωαννίνων</t>
  </si>
  <si>
    <t>Δήμος Ιωαννιτών</t>
  </si>
  <si>
    <t>5η ΕΜΑΚ + 5η ΕΜΟΔΕ</t>
  </si>
  <si>
    <t>Υδροφόρες Δήμου Ιωαννίνων</t>
  </si>
  <si>
    <t>Υπό διερεύνηση (ενεργοποιήθηκε κλιμάκιο πιθανού εμπρησμού)</t>
  </si>
  <si>
    <t>https://www.skai.gr/news/greece/pyrkagia-se-dasiki-ektasi-stin-triada-ioanninon-sikothike-kai-1-elikoptero ; https://newpost.gr/eidiseis/ioannina-fotia-se-dasiki-ektasi-stin-agia-triada-ischyres-pyrosvestikes-dynameis/ ; https://www.newsbomb.gr/ellada/story/1755813/fotia-tora-se-dasiki-ektasi-stin-agia-triada-ioanninon ; https://www.liberal.gr/ellada/fotia-se-dasiki-ektasi-stin-triada-ioanninon-sikothike-kai-ena-elikoptero</t>
  </si>
  <si>
    <t>Δασική έκταση. Μερικός έλεγχος 21:28. 1 ελικόπτερο αεροπυρόσβεσης. | Δασική έκταση. Μερικός έλεγχος. Ενεργοποιήθηκε μονάδα έρευνας εμπρησμών. | Δασική έκταση. Στόχος: οριοθέτηση και αποτροπή επέκτασης. Δημοσίευση 20:19 (11/8). Χάρτης ΓΓΠΠ 11/8 μη διαθέσιμος.</t>
  </si>
  <si>
    <t>16:16</t>
  </si>
  <si>
    <t>Κομπότι</t>
  </si>
  <si>
    <t>Άρτας</t>
  </si>
  <si>
    <t>Αρτα</t>
  </si>
  <si>
    <t>1 ομάδα ΕΜΟΔΕ</t>
  </si>
  <si>
    <t>Αδιευκρίνιστη — εστία κοντά σε παλιά χωματερή. Κινητοποιήθηκε Ανακριτικό Κλιμάκιο Εμπρησμού Άρτας.</t>
  </si>
  <si>
    <t>https://www.ertnews.gr/perifereiakoi-stathmoi/ioanina/nea-fotia-sto-kompoti-artas-amesi-kinitopoiisi-tis-pyrosvestikis/ ; https://www.newsbomb.gr/ellada/story/1755802/arta-oriothetithike-i-fotia-sto-kompoti-ksekinise-konta-se-palia-xomateri ; https://www.newsit.gr/ellada/oriothetithike-i-fotia-sto-kompoti-artas-epixeiroun-4-aeroskafi/4748767/ ; https://www.news247.gr/ellada/fotia-xana-sto-kompoti-artas-nea-estia-sxedon-sto-idio-simeio-dio-evdomades-meta/ ; https://www.epiruspost.gr/konta-se-chomateri-i-estia-ypo-elegcho-i/</t>
  </si>
  <si>
    <t>Δευτερόφωτιά στο ίδιο σημείο (πρώτη 31/7/2026). 2 Air Tractor + 2 PZL ελικόπτερα. Αυξημένη ετοιμότητα λόγω ιστορικού. | Δεύτερη πυρκαγιά στο ίδιο σημείο εντός δύο εβδομάδων (πρώτη 31/07/2026). Ομάδα πεζοπόρων 5ης ΕΜΟΔΕ, εθελοντές, βυτιοφόρα Δήμου Αρταίων, υδροφόρες ΟΤΑ. Μήνυμα 112 σε κατοίκους. Παρακολούθηση drone ΕΣΚΕΔΙΚ (θερμική + οπτική κάμερα).</t>
  </si>
  <si>
    <t>Κομπότι Άρτας</t>
  </si>
  <si>
    <t>Άρτης</t>
  </si>
  <si>
    <t>Δ. Αρταίων</t>
  </si>
  <si>
    <t>1 ομάδα πεζοπόρων 5ης ΕΜΟΔΕ + 6 άτομα ΕΜΟΔΕ</t>
  </si>
  <si>
    <t>υδροφόρες Δ. Αρταίων</t>
  </si>
  <si>
    <t>κοντά σε παλαιά χωματερή (υπό διερεύνηση)</t>
  </si>
  <si>
    <t>https://www.ertnews.gr/perifereiakoi-stathmoi/ioanina/nea-fotia-sto-kompoti-artas-amesi-kinitopoiisi-tis-pyrosvestikis/ ; https://pelop.gr/fotia-arta-kompoti-aeroskafi/ ; https://www.primenews.press/pirkaghia-sto-kompoti-artas-kinitopiisi-tis-pirosvestikis ; https://www.protothema.gr/greece/article/1863553/fotia-tora-se-dasos-sto-koboti-artas-sikothikan-tessera-aeroskafi/ ; https://www.newsbomb.gr/ellada/story/1755802/arta-oriothetithike-i-fotia-sto-kompoti-ksekinise-konta-se-palia-xomateri ; https://www.newsit.gr/ellada/oriothetithike-i-fotia-sto-kompoti-artas-epixeiroun-4-aeroskafi/4748767/ ; https://www.enikos.gr/society/arta-fotia-sto-koboti-epicheiroun-kai-4-aeroskafi/2627615/ ; https://www.naftemporiki.gr/society/2149137/fotia-tora-sto-kompoti-artas/</t>
  </si>
  <si>
    <t>2ο περιστατικό στο ίδιο ακριβώς σημείο· 1ο ήταν 31/7/2026 με επικίνδυνες διαστάσεις. Εναέρια παρακολούθηση με drone (θερμική κάμερα) από ΕΚΣΕΔ. Συνεχείς ρίψεις νερού. | 2ο συμβάν ίδιο σημείο (πρώτο 31/07/2026). Εναέρια: 2 Air Tractor + 2 PZL. 26 πυρ/στες + 6 ΕΜΟΔΕ. | 4 αεροσκάφη: 2 Air Tractor + 2 PZL Dromader. Δεύτερο συμβάν στην ίδια τοποθεσία· πρώτη πυρκαγιά: 31 Ιουλίου 2026, είχε πλησιάσει οικισμούς. | Δασική βλάστηση. 2η πυρκαγιά στο ίδιο σημείο (1η στις 31/7/2026). 4 αεροσκάφη: 2 Air Tractor + 2 PZL. Χάρτης ΓΓΠΠ 11/8 μη διαθέσιμος.</t>
  </si>
  <si>
    <t>Ήμερος Πεύκος Πικερμίου</t>
  </si>
  <si>
    <t>Δ. Μαραθώνος</t>
  </si>
  <si>
    <t>2 ομάδες πεζοπόρων 1ης ΕΜΟΔΕ</t>
  </si>
  <si>
    <t>υδροφόρες Δ. Σπάτων-Αρτέμιδος</t>
  </si>
  <si>
    <t>πιθανή έναρξη από ΙΧ αυτοκίνητο (υπό έρευνα)</t>
  </si>
  <si>
    <t>112 ετοιμότητα κατοίκων περιοχής</t>
  </si>
  <si>
    <t>https://www.newsit.gr/ellada/fotia-sto-pikermi-vrethike-apanthrakomeni-soros-se-aytokinito-oriothetithike-i-pyrkagia/4748759/ ; https://www.tovima.gr/2026/08/11/society/fotia-tora-sto-pikermi-attikis-ixise-to-112-epixeiroun-enaeria-mesa/ ; https://www.lamiareport.gr/ellada/item/fotia-sto-pikermi-vrethike-apanthrakomeni-soros-se-aytokinito-oriothetithike-i-pyrkagia/ ; https://www.newsbeast.gr/society/arthro/13287664/pikermi-soros-andra-autokinito-fotia-pyrkagia ; https://www.e-radio.gr/post/330497/fwtia-pikermi-andras-i-apanthrakwmeni-soros-sto-ix-apo-to-opoio-feretai-na-ekdilwthike-i-pyrkagia ; https://www.capital.gr/epikairotita/4010264/purkagia-sto-pikermi-entopistike-soros-agnoston-stoixeion-se-autokinito-kata-tin-katasbesi/ ; https://www.irafina.gr/fotia-tora-sta-synora-pikermiou-spaton-epekteinetai-i-pyrkagia-sto-imero-pefko-zitithikan-enaeria-mesa-fotovinteo/</t>
  </si>
  <si>
    <t>1 ΝΕΚΡΟΣ: απανθρακωμένη σορός ανδρός βρέθηκε εντός ΙΧ από το οποίο φέρεται να ξεκίνησε η πυρκαγιά. Έρευνα από Υπηρεσία Εγκληματολογικής Έρευνας Εμπρησμών Ανατολικής Αττικής + αστυνομία. Οριοθέτηση σε 30 λεπτά. Διεθνής υποστήριξη: 23 Ρουμάνοι (5 οχ.) + 18 Γάλλοι (3 οχ.) προεγκαταστημένοι. | Απανθρακωμένη σορός εντοπίστηκε σε ΙΧ αυτοκίνητο — ταυτότητα αγνοείτο κατά τη σύνταξη. Η φωτιά εξαπλώθηκε από το όχημα στη χαμηλή βλάστηση. Διεθνής συνδρομή (Ρουμανία, Γαλλία) στο προσωπικό 121 πυροσβεστών.</t>
  </si>
  <si>
    <t>Πυρκαγιά Ήμερου Πεύκου Σπάτων</t>
  </si>
  <si>
    <t>1η ΕΜΟΔΕ (2 ομάδες)</t>
  </si>
  <si>
    <t>Πιθανώς ΙΧ αυτοκίνητο (1 νεκρός εντοπίστηκε μέσα στο καμένο όχημα)</t>
  </si>
  <si>
    <t>112 ήχησε</t>
  </si>
  <si>
    <t>https://www.newsbeast.gr/greece/arthro/13287411/fotia-sto-pikermi-ischyres-pyrosvestikes-dynameis-sto-simeio ; https://www.lamiareport.gr/ellada/item/nekros-apo-ti-fotia-sta-spata-apo-to-ix-tou-ksekinise-i-pyrkagia/ ; https://www.imerodromos.gr/enas-nekros-se-pyrkagia-sto-imero-peyko-spaton/ ; https://www.flash.gr/fotia-tora-ston-imero-peyko-attiki-ichise-to-112-gia-etoimotita-1076329 ; https://www.ertnews.gr/eidiseis/spata-sto-epikentro-tis-ereynas-to-kameno-oxima-me-ton-nekro-andra-gia-ti-fotia-sto-imero-peyko/ ; https://www.zougla.gr/greece/fotia-tora-sto-pikermi-ichise-to-112/ ; https://pelop.gr/fotia-pikermi-spata-soros-ix/ ; https://www.protothema.gr/greece/article/1863548/fotia-sto-pikermi-kaiei-se-hamili-vlastisi-sikothikan-5-enaeria/</t>
  </si>
  <si>
    <t>Χαμηλή βλάστηση Πικέρμι-Σπάτα. 1 νεκρός σε καμένο ΙΧ — εξετάζεται αν αυτό η πηγή. Ανακριτικό κλιμάκιο εμπρησμών.</t>
  </si>
  <si>
    <t>2026-08-14</t>
  </si>
  <si>
    <t>Βολίμες Ζακύνθου</t>
  </si>
  <si>
    <t>Δ. Ζακυνθίων</t>
  </si>
  <si>
    <t>υδροφόρες Δ. Ζακυνθίων</t>
  </si>
  <si>
    <t>112 ετοιμότητα + εκκένωση Ελιών προς Βολίμες | Εκκένωση περιοχής Ελιές προς Βολίμες</t>
  </si>
  <si>
    <t>https://www.newsit.gr/ellada/fotia-sti-zakyntho-oriothetithike-stin-perioxi-volimes-2-syllipseis-gia-ti-pyrkagia-ston-marathia/4748646/ ; https://www.skai.gr/news/greece/zakynthos-fotia-stis-volimes ; https://www.tanea.gr/2026/08/11/greece/zakynthos-fotia-stin-perioxi-volimes-sti-maxi-6-enaeria-mesa/ ; https://www.pontosnews.gr/857146/ellada/fotia-sti-zakyntho-minyma-toy-112-stis-volimes/ ; https://www.newsbomb.gr/ellada/story/1755748/zakynthos-oriothetithike-i-fotia-stis-volimes-dyo-syllipseis-gia-tin-pyrkagia-ston-marathia ; https://www.naftemporiki.gr/society/2149096/pyrkagia-stis-volimes-zakynthoy-veltiomeni-i-eikona/</t>
  </si>
  <si>
    <t>6 εναέρια συνολικά (SKAI). Πυρκαγιά σε δασική έκταση βόρεια Ζακύνθου. | Newsit.gr (παρεχόμενη πηγή) επιβεβαιώνει 4 αεροσκάφη + 2 ελικόπτερα = 6 εναέρια συνολικά. Πιθανή επικάλυψη εγγραφής με 'Πυρκαγιά Βολίμων Ζακύνθου' (ίδια ημερομηνία/τοποθεσία/start_time/personnel/vehicles).</t>
  </si>
  <si>
    <t>Πυρκαγιά Βολίμων Ζακύνθου</t>
  </si>
  <si>
    <t>Δήμος Ζακυνθίων</t>
  </si>
  <si>
    <t>17η ΕΜΟΔΕ (1 ομάδα)</t>
  </si>
  <si>
    <t>112: εκκένωση Ελιές προς Βολίμες | Εκκένωση περιοχής Ελιές προς Βολίμες</t>
  </si>
  <si>
    <t>https://www.tanea.gr/2026/08/11/greece/zakynthos-fotia-stin-perioxi-volimes-sti-maxi-6-enaeria-mesa/ ; https://www.tovima.gr/2026/08/11/society/fotia-tora-sti-zakyntho-2/ ; https://www.enikos.gr/society/fotia-sti-zakyntho-neo-minyma-tou-112-ekkenonetai-i-periochi-elies/2627488/ ; https://www.skai.gr/news/greece/zakynthos-fotia-stis-volimes ; https://www.pontosnews.gr/857146/ellada/fotia-sti-zakyntho-minyma-toy-112-stis-volimes/ ; https://www.documentonews.gr/article/fotia-stis-volimes-zakynthou-minyma-apo-112-gia-ekkenosi/ ; https://www.newsit.gr/ellada/fotia-sti-zakyntho-oriothetithike-stin-perioxi-volimes-2-syllipseis-gia-ti-pyrkagia-ston-marathia/4748646/ ; https://www.newsbomb.gr/ellada/story/1755748/zakynthos-oriothetithike-i-fotia-stis-volimes-dyo-syllipseis-gia-tin-pyrkagia-ston-marathia</t>
  </si>
  <si>
    <t>Δασική έκταση. Βελτιωμένη εικόνα — οριοθετήθηκε. Δεύτερη πυρκαγιά Ζακύνθου 11/8 (η πρώτη: Μαραθιάς πρωί). | Πιθανή επικάλυψη εγγραφής με 'Βολίμες Ζακύνθου' — ίδια ημερομηνία, τοποθεσία, start_time, personnel, vehicles. Newsit.gr επιβεβαιώνει aircraft=4, helicopters=2 (ταυτίζεται με τα καταγεγραμμένα).</t>
  </si>
  <si>
    <t>09:00</t>
  </si>
  <si>
    <t>Πυρκαγιά Μαραθιά Ζακύνθου</t>
  </si>
  <si>
    <t>2 ομάδες πεζοπόρων 17ης ΕΜΟΔΕ</t>
  </si>
  <si>
    <t>ATV τύπου Beach Buggy</t>
  </si>
  <si>
    <t>112: ετοιμότητα κατοίκων περιοχής Μαραθιάς Ζακύνθου | 112: προειδοποιητικό μήνυμα ετοιμότητας | 112: μήνυμα ετοιμότητας κατοίκων</t>
  </si>
  <si>
    <t>https://www.newsbeast.gr/greece/arthro/13286500/fotia-tora-stin-periochi-marathias-zakynthou ; https://www.naftemporiki.gr/society/2148976/fotia-tora-ston-marathia-zakynthoy-synagermos-stin-pyrosvestiki/ ; https://www.in.gr/2026/08/11/greece/megali-fotia-ston-marathia-zakynthou-sikothikan-6-enaeria-mesa-ixise-112/ ; https://www.news247.gr/ellada/fotia-stin-marathia-zakinthou-ixise-to-112/ ; https://www.tanea.gr/2026/08/11/greece/zakynthos-pyrkagia-se-dasiki-ektasi-ston-marathia-minyma-apo-to-112/ ; https://pelop.gr/fotia-sti-zakyntho-se-dasiki-ektasi-ston-marathia-megali-kinitopoiisi-tis-pyrosvestikis/ ; https://www.newsit.gr/ellada/fotia-ston-marathia-zakynthou-apo-mixani-beach-buggy-ksekinise-i-pyrkagia/4748684/ ; https://www.libre.gr/2026/08/11/zakynthos-apo-ochima-typou-beach-buggy-xekinise/ ; https://www.ertnews.gr/eidiseis/ellada/dyo-syllipseis-gia-tin-pyrkagia-ston-marathia-zakynthou-kai-alles-dyo-gia-anama-psistarias-sti-stalata-kai-ergasies-ilektrosygkolisis-sti-lesvo/ ; https://www.newsit.gr/ellada/fotia-sti-zakyntho-oriothetithike-stin-perioxi-volimes-2-syllipseis-gia-ti-pyrkagia-ston-marathia/4748646/ ; https://www.protothema.gr/greece/article/1863679/duo-sullipseis-gia-tin-purkagia-sti-zakuntho-kai-duo-gia-anamma-psistarion-se-attiki-kai-lesvo/ ; https://www.capital.gr/epikairotita/4010301/duo-sullipseis-gia-tin-purkagia-ston-marathia-zakunthou/ ; https://www.tovima.gr/2026/08/11/society/fotia-tora-stin-perioxi-tou-marathia-sti-zakyntho ; https://www.ertnews.gr/eidiseis/ellada/dyo-syllipseis-gia-tin-pyrkagia-ston-marathia-zakynthou-kai-alles-dyo-gia-anamma-psistarias-sti-stamata-kai-ergasies-ilektrosygkollisis-sti-lesvo/ ; https://thetoc.gr/koinwnia/613068/fotia-tora-se-dasiki-ektasi-sti-zakuntho-minuma-apo-to-112-gia-etoimotita-sikothikan-duo-aeroskafi ; https://www.protothema.gr/greece/article/1863367/fotia-tora-se-dasiki-ektasi-ston-marathia-zakunthou/ ; https://www.newsit.gr/ellada/fotia-sti-zakyntho-stin-perioxi-marathias-minyma-tou-112-gia-etoimotita/4748512/ ; https://www.thetoc.gr/koinwnia/article/fotia-tora-se-dasiki-ektasi-sti-zakuntho-minuma-apo-to-112-gia-etoimotita-sikothikan-duo-aeroskafi/</t>
  </si>
  <si>
    <t>Δασική έκταση· μεγάλη κινητοποίηση πρωί 11/8 | 2 συλλήψεις: τουρίστας-οδηγός του ATV + ιδιοκτήτης εταιρείας ενοικίασης οχημάτων. | 2 συλλήψεις: τουρίστας οδηγός ATV + ιδιοκτήτης ενοικίασης. Χωριστό συμβάν από Βολίμες (ίδια ημέρα). Πρωινές ώρες. | Δασική έκταση. Αρχικά 2 εναέρια, αργότερα 6 συνολικά. Δύο συλλήψεις για εμπρησμό από ανάφλεξη Beach Buggy. | Δασική έκταση. 2 συλλήψεις σχετιζόμενες με αυτή την πυρκαγιά (ανακοινώθηκαν 11/8). Χάρτης 11/8: Ζάκυνθος πορτοκαλί (κατ. 4). | Δύο συλλήψεις για εμπρησμό. Έρευνα ΑΚΑΕΕ Κέρκυρας. Δασική έκταση. | 2 συλλήψεις και ποινική δίωξη: τουρίστας (οδηγός ATV, επέβαινε με ανήλικο τέκνο) και ιδιοκτήτης εταιρίας ενοικίασης ATV. Ξεχωριστό συμβάν από Βολίμες, ίδια ημερομηνία (11/08/2026). | Πρωινό συμβάν (χωριστό από Βολίμες). Δύο συλλήψεις: τουρίστας (ATV με ανήλικο) και ιδιοκτήτης ενοικιαζόμενου οχήματος.</t>
  </si>
  <si>
    <t>17:37</t>
  </si>
  <si>
    <t>Κοκκινόχωμα Καβάλας</t>
  </si>
  <si>
    <t>3 ομάδες (7η &amp; 21η ΕΜΟΔΕ)</t>
  </si>
  <si>
    <t>υδροφόρες OTA</t>
  </si>
  <si>
    <t>Υπό διερεύνηση (ανακριτικό κλιμάκιο εμπρησμού Καβάλας)</t>
  </si>
  <si>
    <t>112 ετοιμότητα (~18:00): «Δασική πυρκαγιά στην περιοχή Κοκκινοχώματος Π.Ε. Καβάλας. Παραμείνετε σε ετοιμότητα και ακολουθήστε τις οδηγίες των Αρχών.» | 112 17:37: ετοιμότητα κατοίκων ευρύτερης περιοχής Κοκκινοχώματος Καβάλας | 112 17:37: ετοιμότητα Κοκκινοχώματος — «Μείνετε σε ετοιμότητα και ακολουθείτε τις οδηγίες των αρχών»</t>
  </si>
  <si>
    <t>https://www.ertnews.gr/eidiseis/ellada/fotia-sto-kokkinoxoma-kavalas-megali-kinitopoiisi-tis-pyrosvestikis-ixise-to-112-gia-etoimotita/ ; https://www.newsit.gr/ellada/fotia-sto-kokkinoxoma-kavalas-4-aeroskafi-kai-ena-elikoptero-sti-maxi-me-tis-floges-ixise-to-112/4748170/ ; https://www.protothema.gr/greece/article/1863121/fotia-tora-sto-kokkinohoma-kavalas-sikothikan-tria-enaeria/ ; https://www.news.gr/ellada/article/4195027/sinagermos-stin-kavala-fotia-anamesa-se-kokkinochoma-ke-eleftheroupoli-minima-apo-to-112-stous-katikous.html ; https://www.thetoc.gr/koinwnia/article/fotia-sto-kokkinoxoma-kabalas-minuma-112-stous-katoikous-gia-etoimotita---epixeiroun-5-enaeria-mesa/ ; https://www.naftemporiki.gr/society/2148814/fotia-tora-sto-kokkinochoma-kavalas/ ; https://www.tanea.gr/2026/08/10/greece/kavala-esvise-i-fotia-sto-kokkinoxoma-megali-kinitopoiisi-pyrosveston-kai-ethelonton/ ; https://civilprotection.gov.gr/sites/default/files/2026-08/260810.jpg ; https://www.cnn.gr/ellada/story/547354/esvise-i-fotia-sto-kokkinoxoma-kavalas-paramenoun-oi-dynameis-gia-tis-anazopyroseis ; https://www.thestival.gr/eidiseis/astynomika/kavala-oriothetithike-i-fotia-sto-kokki/ ; https://www.kavala-portal.gr/ypo-elegcho-fotia-kokkinochoma/</t>
  </si>
  <si>
    <t>Εστία μεταξύ Κοκκινοχώματος και Ελευθερούπολης. Χαμηλή βλάστηση, εγγύς κατοικιών. Κατ. κινδύνου 3 (χάρτης ΓΓΠΠ 10/08 + επιβεβαίωση άρθρου). | Χαμηλή βλάστηση· οριοθετήθηκε την ίδια ημέρα | Πυρκαγιά μεταξύ Κοκκινοχώματος και Ελευθερούπολης. Ανακριτική ομάδα εγκλημάτων εμπρησμού αναχώρησε για διερεύνηση αιτίων. | Κατεσβέσθη αργά το απόγευμα της 10/08 (CNN.gr). Παρέμειναν δυνάμεις για αναζωπυρώσεις. Αιτία δεν δημοσιοποιήθηκε.</t>
  </si>
  <si>
    <t>Πυρκαγιά Κοττέικων</t>
  </si>
  <si>
    <t>Δήμος Ήλιδας</t>
  </si>
  <si>
    <t>18η ΕΜΟΔΕ (4 ομάδες)</t>
  </si>
  <si>
    <t>https://www.naftemporiki.gr/society/2148781/ileia-fotia-tora-kai-sta-kotteika/ ; https://www.skai.gr/news/greece/kotteika-ileias ; https://www.newsit.gr/ellada/ileia-fotia-sta-kotteika-kai-sti-gastouni/4748059/ ; https://pelop.gr/foties-se-kotteika-kai-gastouni-ileias-sikothikan-enaeria-mesa-megali-kinitopoiisi-tis-pyrosvestikis/ ; https://www.cnn.gr/ellada/story/547340/se-yfesi-oi-foties-se-gastoyni-kai-kotteika-stin-ileia</t>
  </si>
  <si>
    <t>Χαμηλή βλάστηση. Υπό πλήρη έλεγχο απόγευμα 10/8. | Ανακριτικό Κλιμάκιο Αντιμετώπισης Εγκλημάτων Εμπρησμού Ηλείας κινητοποιήθηκε. Ενισχυμένες δυνάμεις σε δεύτερη φάση (60 πυρ/στες, 13 οχήματα). Ταυτόχρονη εστία και στη Μέλισσα. Καμένη έκταση δεν τεκμηριώθηκε. | Πυρκαγιά σε χαμηλή βλάστηση. Καμένη έκταση και ώρα οριοθέτησης δεν εντοπίστηκαν. Σε ύφεση σύμφωνα με CNN.gr. Πυροσβέστες παρέμεναν για πλήρη κατάσβεση εστιών και αποτροπή αναζωπυρώσεων.</t>
  </si>
  <si>
    <t>Άγιος Στυλιανός Κουβαράς</t>
  </si>
  <si>
    <t>Σαρωνικός</t>
  </si>
  <si>
    <t>7 ομάδες πεζοπόρων 1ης και 8ης ΕΜΟΔΕ</t>
  </si>
  <si>
    <t>δεξαμενές Σαρωνικού &amp; Λαυρεωτικής</t>
  </si>
  <si>
    <t>ναι (αριθμός αδιευκρίνιστος)</t>
  </si>
  <si>
    <t>υπό διερεύνηση (ενεργοποιήθηκε ΑΚΑΕ)</t>
  </si>
  <si>
    <t>08:10 ειδοποίηση ετοιμότητας· 08:30 εκκένωση οικισμού Αγίου Στυλιανού Κουβαρά προς Καλύβια Θορικού | 112 08:30: εκκένωση Αγίου Στυλιανού → Καλύβια Θορικού (πολλαπλά μηνύματα 112) | 112 08:10: προειδοποίηση ετοιμότητας Κουβαρά· 112 08:30: εκκένωση Αγίου Στυλιανού προς Καλύβια Θορικού | 112 08:30: εκκένωση Αγίου Στυλιανού προς Καλύβια Θορικού· νέο μήνυμα 112 για εκκένωση σπιτιών | 112 08:10: ενημέρωση· 08:30: εκκένωση Αγίου Στυλιανού προς Καλύβια Θορικού | 112 08:30: εκκένωση Αγ. Στυλιανού προς Καλύβια Θορικού</t>
  </si>
  <si>
    <t>https://www.in.gr/2026/08/10/greece/anatoliki-attiki-megali-fotia-ston-kouvara-sikothikan-enaeria-mesa-minyma-tou-112/ ; https://www.newsit.gr/ellada/fotia-ston-kouvara-attikis-minyma-tou-112-gia-ekkenosi-tou-agiou-stylianou-pros-kalyvia-diakopi-kykloforias-sti-leoforo-layriou/4747747/ ; https://www.ertnews.gr/roi-idiseon/ypo-elegxo-i-pyrkagia-ston-kouvara-attikis-paramenoun-kapnogona-simeia-provlimatizoun-oi-isxyroi-anemoi/ ; https://www.skai.gr/news/greece/fotia-tora-sta-kalyvia ; https://thriassio.gr/fotia-tora-kouvaras-agios-stylianos-10-08-2026/ ; https://www.real.gr/koinonia/arthro/pyrkagia-ston-kouvara-epicheiroun-6-enaeria-kai-60-pyrosvestes-minyma-tou-112-899365/ ; https://www.hurriyetdailynews.com/greece-battles-new-fire-driven-by-winds-225449 ; https://www.thetoc.gr/koinwnia/article/fotia-tora-ston-koubara-attikis-energopoiisi-112-gia-ekkenosi---sikothikan-tria-elikoptera/ ; https://www.lifo.gr/now/greece/fotia-tora-ston-koybara-attikis-minyma-apo-112 ; https://civilprotection.gov.gr/sites/default/files/2026-08/260810.jpg ; https://www.lykavitos.gr/news/greece/fotia-ston-kouvara-attikis-1 ; https://tanea.gr/2026/08/10/greece/fotia-ston-kouvara-attikis-sti-maxi-kai-enaeria-mesa-minyma-apo-to-112-gia-ekkenosi ; https://www.thetoc.gr/koinwnia/article/fotia-tora-ston-koubara-attikis-neo-112-gia-ekkenosi--maxi-na-min-ftasoun-oi-floges-ston-ag-stuliano-kaike-ktinotrofiki-monada/ ; https://www.thetoc.gr/koinwnia/article/oriothetithike-i-fotia-ston-koubara-se-epifulaki-oi-dunameis-gia-anazopuroseis-logo-ton-isxuron-anemon/ ; https://www.naftemporiki.gr/society/2148640/fotia-ston-koyvara-attikis-veltiomeni-i-eikona-plithos-kapnogonon-simeion/ ; https://www.newsbeast.gr/greece/arthro/13284492/fotia-tora-ston-kouvara-attikis-kinitopoiithikan-ischyres-dynameis-tis-pyrosvestikis ; https://www.capital.gr/epikairotita/4010058/fotia-tora-ston-koubara-attikis-ixise-to-112/ ; https://www.sofokleousin.gr/epikairotita/ellada/pyrkagia-ston-kouvara-attikis-ekdothike-112 ; https://www.real.gr/koinonia/arthro/kouvaras-veltiomeni-i-eikona-tis-pyrkagias-zimies-se-epicheiriseis-minymata-tou-112-vinteo-899487/ ; https://www.thetoc.gr/koinwnia/article/oriothetithike-i-fotia-ston-koybara-se-epifulaki-oi-dunameis-gia-anazopyroseis-logo-ton-isxuron-anemon/ ; https://www.eleftherostypos.gr/ellada/fotia-ston-kouvara-veltiomeni-eikona-ekatontades-pyrosvestes-sti-machi-ti-afisan-piso-tous-oi-floges ; https://www.cnn.gr/ellada/story/547229/pyrini-lailapa-ston-kouvara-attikis-kaike-ergostasio-ekkenothike-o-agios-stylianos-pyknoi-kapnoi ; https://www.tanea.gr/2026/08/10/greece/fotia-ston-kouvara-attikis-sti-maxi-kai-enaeria-mesa-minyma-apo-to-112-gia-ekkenosi ; https://www.crisismonitor.gr/2026/08/10/pyrkagia-ston-kouvara-ekkenonetai-o-agios-stylianos-172-pyrosvestes-sto-metopo/ ; https://zougla.gr/greece/megales-diastaseis-pairnei-i-pyrkagia-ston-kouvara-attikis ; https://www.protothema.gr/greece/article/1862807/fotia-tora-ston-kouvara-attikis-kaiei-koda-se-oikismo-petane-3-elikoptera/ ; https://www.france24.com/en/live-news/20260810-greece-contains-new-wind-driven-fire-near-athens</t>
  </si>
  <si>
    <t>Καταστράφηκε πτηνοτροφική μονάδα &amp; αποθήκη κοντά στον Άγιο Στυλιανό. Ισχυροί άνεμοι 7 μποφόρ με αλλαγές κατεύθυνσης. Διακοπή κυκλοφορίας Λεωφ. Λαυρίου. Στα 197 πυρ. και 42 οχ. συμπεριλαμβάνονται: 23 πυρ.+4 οχ. Γαλλίας, 24 πυρ.+5 οχ. Ρουμανίας. Φωτιά καίει σε χαράδρα, κινείται ανατολικά. | Ισχυροί άνεμοι έως 7 Bf. Στους 197 πυροσβέστες: 23 από Γαλλία (4 οχ.) + 24 από Ρουμανία (5 οχ.). Παραμένουν καπνογόνα σημεία εντός περιμέτρου. Ζημιές σε επιχειρήσεις. Διακοπή κυκλοφορίας Λ. Λαυρίου (κόμβος Αγ. Στυλιανού–Μαρκόπουλο). Yutori αναφέρει 14:12 EEST ως ώρα δημοσίευσης πηγής Hürriyet. | Σύνολα δυνάμεων: 197 Ελληνες + 23 Γάλλοι + 24 Ρουμάνοι = 244 πυρ.· 42+4+5=51 οχ. Κάηκαν κτηνοτροφικές μονάδες κοντά Άγιο Στυλιανό. Άνεμοι 7 Μποφόρ. Αργότερα «χωρίς ενεργό μέτωπο». | Κτηνοτροφικές μονάδες και εργοστάσιο επλήγησαν. Διεθνής ενίσχυση προτοποθέτησης: 23 Γάλλοι (4 οχ.) + 24 Ρουμάνοι (5 οχ.) πυροσβέστες. Εκκένωση Αγίου Στυλιανού περ. 09:00. Χωρίς ενεργό μέτωπο από 13:00. | Ισχυροί άνεμοι, ταχεία εξάπλωση. Διεθνής υποστήριξη: 23 Γάλλοι (4 οχ.) + 24 Ρουμάνοι (5 οχ.) στο πλαίσιο προεγκατάστασης ΕΕ. Καταστράφηκε κτηνοτροφική/πτηνοτροφική μονάδα κοντά στον Άγιο Στυλιανό. Διακοπή κυκλοφορίας Λεωφόρου Λαυρίου. Σε επιφυλακή για αναζωπυρώσεις μετά την οριοθέτηση. | Χαμηλή βλάστηση, οικισμός Αγίου Στυλιανού. Ζημιές: πτηνοτροφική μονάδα + 2 επιχειρήσεις. Διεθνείς δυνάμεις από πρόγραμμα EU προτοποθέτησης. | Συμπεριλαμβάνονται 23 Γάλλοι (4 οχήματα) &amp; 24 Ρουμάνοι (5 οχήματα). Καταστράφηκε πτηνοτροφική μονάδα κοντά στον Αγ. Στυλιανό. Ισχυροί άνεμοι 7Bf, ταχείες εναλλαγές κατεύθυνσης. Διακοπή κυκλοφορίας στη Λεωφ. Λαυρίου. | Κάηκαν κτηνοτροφικές/πτηνοτροφικές μονάδες· ζημιές σε βιομηχανική εγκατάσταση (εργοστάσιο) στις παρυφές οικισμού. «Χωρίς ενεργό μέτωπο» επιβεβαιώθηκε μετά τον έλεγχο (13:00). Διεθνής συνδρομή προσωπικού (Ρουμανία, Γαλλία). 7 ομάδες πεζοπόρων τμημάτων 1ης και 8ης ΕΜΟΔΕ. | Μεγάλη πυρκαγιά κοντά σε οικισμό Αγίου Στυλιανού. Ζημιές σε επιχειρήσεις και πτηνοτροφική μονάδα. Εκκένωση περιοχής μέσω 112. Συμμετείχαν ευρωπαϊκές εναέριες δυνάμεις (Γαλλία, Ρουμανία).</t>
  </si>
  <si>
    <t>Κουβαράς Αττικής</t>
  </si>
  <si>
    <t>Σαρωνικού</t>
  </si>
  <si>
    <t>7 ομάδες πεζοπόρων ΕΜΟΔΕ/ΕΜΑΚ</t>
  </si>
  <si>
    <t>υπό διερεύνηση (Ανακριτικό Κλιμάκιο Αντιμετώπισης Εγκλημάτων Εμπρησμού)</t>
  </si>
  <si>
    <t>112 εκκένωση: Άγιος Στυλιανός, Κουβαράς → Καλύβια / Θορικό | 112 08:10: ετοιμότητα ευρύτερης περιοχής Κουβαρά· 112 08:30: εκκένωση οικισμού Αγ. Στυλιανού προς Καλύβια Θορικού | 112 εκκένωση κοντά σε οικίες (ώρα/οικισμοί αδιευκρίνιστοι)</t>
  </si>
  <si>
    <t>https://www.hurriyetdailynews.com/greece-battles-new-fire-driven-by-winds-225449 ; https://www.ertnews.gr/roi-idiseon/ypo-elegxo-i-pyrkagia-ston-kouvara-attikis-paramenoun-kapnogona-simeia-provlimatizoun-oi-isxyroi-anemoi/ ; https://x.com/112Greece/status/2086690591958573226 ; https://thetoc.gr/koinwnia/612950/fotia-tora-ston-koubara-attikis-energopoiisi-112-gia-ekkenosi---sikothikan-tria-elikoptera?amp= ; https://www.ertnews.gr/eidiseis/ellada/fotia-tora-ston-kouvara-attikis-ixise-to-112-gia-etoimotita-ton-katoikon/ ; https://www.ertnews.gr/roi-idiseon/kouvaras-veltiomeni-i-eikona-apo-tin-pyrkagia-paramenoun-kapnogona-simeia-provlimatizoun-oi-isxyroi-anemoi/ ; https://www.in.gr/2026/08/10/greece/anatoliki-attiki-megali-fotia-ston-kouvara-sikothikan-enaeria-mesa-minyma-tou-112/ ; https://www.newsbeast.gr/greece/arthro/13284492/fotia-tora-ston-kouvara-attikis-kinitopoiithikan-ischyres-dynameis-tis-pyrosvestikis ; https://www.megatv.com/2026/08/10/fotia-ston-kouvara-attikis-minyma-tou-112-gia-ekkenosi-tou-agiou-stylianou-pros-kalyvia/ ; https://www.eleftherostypos.gr/ellada/fotia-ston-kouvara-veltiomeni-eikona-ekatontades-pyrosvestes-sti-machi-ti-afisan-piso-tous-oi-floges ; https://www.newsit.gr/ellada/fotia-ston-kouvara-katastrafike-olosxeros-i-ptinotrofiki-monada-vinteo-apo-drone-deixnei-to-megethos-ton-zimion/4747908/ ; https://www.cnn.gr/ellada/story/547250/kouvaras-se-xaradra-i-maxi-me-tis-floges-i-fotia-ekapse-dyo-ktinotrofikes-monades ; https://www.avgi.gr/koinonia/525965_oriothetithike-i-pyrkagia-epifylaki-gia-anazopyroseis-problimatizoyn-oi-dynatoi ; https://www.protothema.gr/greece/article/1862807/fotia-tora-ston-kouvara-attikis-kaiei-koda-se-oikismo-petane-3-elikoptera/ ; https://www.real.gr/koinonia/arthro/kouvaras-veltiomeni-i-eikona-tis-pyrkagias-zimies-se-epicheiriseis-minymata-tou-112-vinteo-899487/</t>
  </si>
  <si>
    <t>Yutori email ανέφερε ώρα 14:12 EEST ως timestamp πηγής (Hürriyet) – η πυρκαγιά ξεκίνησε 08:00 (ertnews). 197 Έλληνες + 23 Γάλλοι (4 οχ.) + 24 Ρουμάνοι (5 οχ.) = 244 συνολικά· 42+9=51 οχήματα. Καταστράφηκε πτηνοτροφείο στον Άγιο Στυλιανό. Άνεμοι 7 Bf, συνεχείς εναλλαγές κατεύθυνσης. Παραμένουν καπνογόνα σημεία. | Πτηνοτροφική μονάδα κατεστράφη· ζημιές σε 2 επιχειρήσεις Αγ. Στυλιανού· άνεμοι 7 Bft | Ζημιές: πτηνοτροφική μονάδα ολοσχερώς + 2 κτηνοτροφικές επιχειρήσεις. Άνεμοι 7+ Bf. Yutori ανέφερε 14:12 EEST (αναφορά, όχι έναρξη). | Ζημιές σε πτηνοτροφική μονάδα και επιχειρήσεις κοντά Άγιο Στυλιανό. Διεθνής συνδρομή: δυνάμεις Γαλλίας και Ρουμανίας. Καπνογόνα σημεία και ισχυροί άνεμοι προβλημάτισαν μετά τον έλεγχο.</t>
  </si>
  <si>
    <t>Κουβαράς — Άγιος Στυλιανός</t>
  </si>
  <si>
    <t>7 (1η και 8η ΕΜΟΔΕ)</t>
  </si>
  <si>
    <t>10/8 08:30 EEST: εκκένωση Αγίου Στυλιανού Κουβαρά → Καλύβια Θορικού</t>
  </si>
  <si>
    <t>https://thepressproject.gr/pyrkagia-ston-kouvara-attikis-minyma-112-gia-apomakrynsi-ton-katoikon-apo-tin-periochi-agiou-stylianou/ ; https://www.in.gr/2026/08/10/greece/anatoliki-attiki-megali-fotia-ston-kouvara-sikothikan-enaeria-mesa-minyma-tou-112/ ; https://www.efsyn.gr/ellada/1444922/fotia-ston-koyvara-attikis-ihise-to-112-epiheiroyn-3-elikoptera/ ; https://www.news247.gr/ellada/fotia-ston-kouvara-attikis-minima-apo-to-112/ ; https://www.megatv.com/2026/08/10/fotia-ston-kouvara-attikis-minyma-tou-112-gia-ekkenosi-tou-agiou-stylianou-pros-kalyvia/ ; https://www.avgi.gr/koinonia/525965_oriothetithike-i-pyrkagia-epifylaki-gia-anazopyroseis-problimatizoyn-oi-dynatoi ; https://www.protothema.gr/greece/article/1862807/fotia-tora-ston-kouvara-attikis-kaiei-koda-se-oikismo-petane-3-elikoptera/</t>
  </si>
  <si>
    <t>23 Γάλλοι πυρ. με 4 οχ. + 24 Ρουμάνοι πυρ. με 5 οχ.· διακοπή κυκλοφορίας Λεωφ. Λαυρίου | Ίδιο συμβάν με 'Κουβαράς Αττικής' (ενδεχομένως νωρίτερη εγγραφή ίδιας πυρκαγιάς). Ζημιές σε πτηνοτροφική/κτηνοτροφική μονάδα. Διεθνής συνδρομή Γαλλίας-Ρουμανίας.</t>
  </si>
  <si>
    <t>Γαστούνη Ηλείας</t>
  </si>
  <si>
    <t>Ήλιδα</t>
  </si>
  <si>
    <t>ύποπτος εμπρησμός (έρευνα)</t>
  </si>
  <si>
    <t>https://pelop.gr/foties-se-kotteika-kai-gastouni-ileias-sikothikan-enaeria-mesa-megali-kinitopoiisi-tis-pyrosvestikis/ ; https://www.in.gr/2026/08/10/greece/fotia-sti-gastouni-ileias-sikothikan-tria-aeroskafi/ ; https://www.newsit.gr/ellada/fotia-sti-gastouni-ileias-kai-enaeria-sti-maxi-tis-katasvesis/4748050/ ; https://www.enikos.gr/society/fotia-sti-gastouni-ileias-sikothikan-3-aeroskafi/2627065/ ; https://athina984.gr/2026/08/10/pyrkagies-mainontai-se-gastoyni-kai-kotteika-ileias/ ; https://www.newsit.gr/ellada/ileia-fotia-sta-kotteika-kai-sti-gastouni/4748059/ ; https://www.cnn.gr/ellada/story/547340/se-yfesi-oi-foties-se-gastoyni-kai-kotteika-stin-ileia ; https://www.newsbomb.gr/ellada/story/1755510/diplo-pyrino-metopo-stin-ileia-meta-ti-gastoyni-ksespase-fotia-kai-sta-kotteika-7-enaeria</t>
  </si>
  <si>
    <t>Πυρκαγιά σε χαμηλή βλάστηση μεσημέρι Δευτέρας 10/8. Μέρος διπλού μετώπου Ηλείας (Γαστούνη + Κοττέικα). Κινητοποιήθηκε Ανακριτικό Κλιμάκιο για διερεύνηση αιτίου. | Χαμηλή βλάστηση. Drone θερμικής/οπτικής απεικόνισης. Κίνδυνος κατ. 3 (χάρτης ΓΓΠΠ 10/08 + επιβεβαίωση άρθρου). | Ξέσπασε ίδια ημέρα με Κοττέικα, χωριστό συμβάν. Εναέρια μέσα στη μάχη. | Ταυτόχρονη πυρκαγιά με Κοττέικα Ηλείας· εξέλιξη παράλληλα· δεν περιλαμβανόταν στην αρχική λίστα batch | ΝΕΟΣ: Πυρκαγιά στη Γαστούνη Ηλείας στις 10/08/2026 – ξέσπασε πριν από την πυρκαγιά Κοττέικων (διπλό πύρινο μέτωπο στην Ηλεία). Σε ύφεση σύμφωνα με CNN.gr. Δυνάμεις δεν αναφέρονται ξεχωριστά – εναέρια μέσα (7 συνολικά με Κοττέικα) κινητοποιήθηκαν.</t>
  </si>
  <si>
    <t>Κόνιτσα — θέση Κλέφτης</t>
  </si>
  <si>
    <t>1 (5η ΕΜΟΔΕ)</t>
  </si>
  <si>
    <t>https://www.in.gr/2026/08/10/greece/fotia-se-dasiki-ektasi-stin-konitsa-sikothike-ena-elikoptero/ ; https://www.documentonews.gr/article/fotia-se-dasiki-ektasi-sti-thesi-kleftis-ston-dimo-konitsas/ ; https://www.iefimerida.gr/ellada/fotia-se-dasiki-ektasi-stin-konitsa ; https://www.tanea.gr/2026/08/10/greece/fotia-tora-se-dasiki-ektasi-stin-konitsa/ ; https://www.thetoc.gr/koinwnia/article/ioannina-fotia-tora-stin-konitsa---sti-thesi-kleftis/ ; https://www.firefightingreece.gr/2026/08/10/pyrkagia-se-dasiki-ektasi-sti-thesi-kleftis-stin-periochi-tis-konitsas-ioanninon/ ; https://www.newsbomb.gr/ellada/story/1755632/konitsa-ypo-meriko-elegxo-i-pyrkagia-stin-topothesia-kleftis ; https://www.epiruspost.gr/fotia-se-dasiki-ektasi-ston-klefti-k/ ; https://www.newsbeast.gr/greece/arthro/13284852/fotia-stin-konitsa-sikothike-elikoptero ; https://www.efsyn.gr/ellada/1445083/fotia-se-dasiki-ektasi-stin-konitsa-sikothike-elikoptero/ ; https://www.emakedonia.gr/konitsa-neos-synagermos-gia-dasiki-pyrkagia-sti-machi-me-tis-floges-kai-ena-elikoptero</t>
  </si>
  <si>
    <t>Δασική έκταση υψόμετρο 1.846 μέτρα | Δασική πυρκαγιά σε πυκνή βλάστηση σε δύσβατο ορεινό έδαφος υψ. ~1.700 μ. Δεν απειλούσε κατοικημένη περιοχή. | Δασική έκταση σε ύψ. ~1.700 μ. Δυσπρόσιτη περιοχή μεταξύ Σμόλικα και Γράμμου. Αεροπυρόσβεση + 2 ελικόπτερα σε ρίψεις. Κίνδυνος: κατ. 2 βάσει χάρτη ΓΓΠΠ 10/08 (Ήπειρος κυανή). | Δυσπρόσιτη δασική έκταση, ύψ. ~1.700-1.846μ., γεωγραφικά όρια Σμόλικα-Γράμμου. Πρωί 10/08. Ομάδα πεζοπόρων 5ης ΕΜΟΔΕ, 10 πυροσβέστες, 1 όχημα, 1 ελικόπτερο (ρίψεις νερού). Δεν απειλήθηκε οικισμός. Καμένη έκταση δεν αναφέρθηκε. | Δυσπρόσιτη δασική έκταση σε υψόμετρο ~1.700μ.· αδύνατη η προσέγγιση χερσαίων οχημάτων λόγω απουσίας οδικού δικτύου. Καπνός εντοπίστηκε πρωί 10/08.</t>
  </si>
  <si>
    <t>Κόττεικα Ηλείας</t>
  </si>
  <si>
    <t>Πύργου</t>
  </si>
  <si>
    <t>https://pelop.gr/foties-se-kotteika-kai-gastouni-ileias-sikothikan-enaeria-mesa-megali-kinitopoiisi-tis-pyrosvestikis/ ; https://voicenews.gr/ileia-tora-synagermos-gia-fotia-sta-kotteika-epicheiroun-epigeies-kai-enaeries-dynameis/ ; https://www.in.gr/2026/08/10/greece/fotia-sti-gastouni-ileias-sikothikan-tria-aeroskafi/ ; https://athina984.gr/2026/08/10/pyrkagies-mainontai-se-gastoyni-kai-kotteika-ileias/ ; https://pelop.gr/fotia-kotteika-ileia-enaeria-mesa/ ; https://ilia.news/φωτιά-σε-κοττέικα-και-μέλισσα-υπό-έλεγ/ ; https://www.tanea.gr/2026/08/10/greece/fotia-sta-kotteika-ileias-epixeroun-kai-7-enaeria-mesa ; https://www.libre.gr/2026/08/10/ileia-fotia-se-chamili-vlastisi-sta-kot/</t>
  </si>
  <si>
    <t>Πυρκαγιά σε χαμηλή βλάστηση μεσημέρι Δευτέρας 10/8. Μέρος διπλού μετώπου Ηλείας μαζί με Γαστούνη. Σημαντική εναέρια κινητοποίηση (6 αεροσκάφη + 1 ελικόπτερο). | Χαμηλή βλάστηση. Κίνδυνος κατ. 3 (χάρτης ΓΓΠΠ 10/08). Ισχυρότερη εναέρια συνδρομή σε σχέση με Γαστούνη. | Ανακριτικό Κλιμάκιο Αντιμετώπισης Εγκλημάτων Εμπρησμού Ηλείας κινητοποιήθηκε για τη διερεύνηση αιτιών. Πυρκαγιά σε χαμηλή βλάστηση. Ταυτόχρονα επιχειρούσαν δυνάμεις σε παρακείμενη εστία Μέλισσας. Καμένη έκταση δεν τεκμηριώθηκε από διαθέσιμες πηγές. | Πυρκαγιά σε χαμηλή βλάστηση. Καμένη έκταση και ώρα οριοθέτησης δεν εντοπίστηκαν σε διαθέσιμες πηγές.</t>
  </si>
  <si>
    <t>23:15</t>
  </si>
  <si>
    <t>Άνοιξη Αττικής</t>
  </si>
  <si>
    <t>Διόνυσος</t>
  </si>
  <si>
    <t>Υδροφόρες Δήμου Διόνυσου</t>
  </si>
  <si>
    <t>https://www.naftemporiki.gr/society/2148547/oriothetithike-i-fotia-stin-anoixi-attikis/ ; https://www.skai.gr/news/greece/fotia-se-dasiki-ektasi-stin-anoiksi ; https://www.zougla.gr/greece/fotia-stin-anoixi-attikis/</t>
  </si>
  <si>
    <t>Δασική έκταση· οριοθετήθηκε εντός ~15 λεπτών | Πυρκαγιά σε χαμηλή βλάστηση. Εθελοντές συμμετείχαν στην κατάσβεση. Καμένη έκταση και αιτία δεν επιβεβαιώθηκαν από δευτερογενείς πηγές.</t>
  </si>
  <si>
    <t>19:35</t>
  </si>
  <si>
    <t>Νέο Μοναστήρι Φθιώτιδας</t>
  </si>
  <si>
    <t>Δομοκού</t>
  </si>
  <si>
    <t>2 ομάδες 4ης ΕΜΟΔΕ</t>
  </si>
  <si>
    <t>Ηλεκτρική γραμμή μεταφοράς (στύλος)</t>
  </si>
  <si>
    <t>https://www.ertnews.gr/roi-idiseon/oriothetithike-i-fotia-sto-neo-monastiri-fthiotidas/ ; https://www.lamiareport.gr/topika/topikanea/item/maxi-me-tis-floges-sto-neo-monastiri-apo-kolona-ksekinise-i-fotia-vinteo-foto/ ; https://www.newsbeast.gr/greece/arthro/13284069/ypo-meriko-elegcho-i-pyrkagia-sto-neo-monastiri-fthiotidas</t>
  </si>
  <si>
    <t>Χαμηλή βλάστηση. Κίνδυνος: κατ. 3 βάσει χάρτη ΓΓΠΠ 09/08. Ενημέρωση ΕΡΤ 19:52.</t>
  </si>
  <si>
    <t>2026-08-11</t>
  </si>
  <si>
    <t>19:52</t>
  </si>
  <si>
    <t>αστοχία ηλεκτρικής γραμμής μεταφοράς (κολόνα ΔΕΗ — προκαταρκτική εκτίμηση)</t>
  </si>
  <si>
    <t>https://www.ertnews.gr/roi-idiseon/oriothetithike-i-fotia-sto-neo-monastiri-fthiotidas/ ; https://civilprotection.gov.gr/sites/default/files/2026-08/260809.jpg ; https://www.lamia-world.gr/fotia-sto-neo-monastiri-domokou-ischyres-epigeies-kai-enaeries-dynameis-sto-simeio/ ; https://www.lifo.gr/now/greece/fotia-sto-monastiri-fthiotidas-sto-simeio-36-pyrosbestes-kai-tria-enaeria-mesa ; https://www.lamiareport.gr/topika/topikanea/item/maxi-me-tis-floges-sto-neo-monastiri-apo-kolona-ksekinise-i-fotia-vinteo-foto/ ; https://www.ilamia.gr/2026/08/09/fthiotida-pyrkagia-sto-neo-monastiri-kinitopoiisi-stin-pyrisvestiki/</t>
  </si>
  <si>
    <t>Πυρκαγιά σε χαμηλή βλάστηση. Γρήγορη οριοθέτηση με εναέρια υποστήριξη. Ώρα 19:35 = έναρξη/πρώτη αναφορά, 19:52 = ανανέωση με επιβεβαίωση οριοθέτησης. | Αιτία υπό έρευνα (ενεργοποιήθηκε επιχείρημα ΥΠΕΑ Φθιώτιδας). Υδροφόρα υποστήριξη από Δήμο Δομοκού. | Καμένη έκταση ~10 στρέμματα (1 ha) χαμηλής βλάστησης και πεύκων. Δεύτερη πηγή αναφέρει έως 15 στρέμματα (1,5 ha).</t>
  </si>
  <si>
    <t>Μουζάκι Ηλείας</t>
  </si>
  <si>
    <t>Ανδρίτσαινα-Κρέστενα</t>
  </si>
  <si>
    <t>3 ομάδες 18ης ΕΜΟΔΕ</t>
  </si>
  <si>
    <t>κάτοικοι με τρακτέρ/εργαλεία</t>
  </si>
  <si>
    <t>https://www.newsbeast.gr/greece/arthro/13283874/fialtiko-kokteil-gia-pyrkagies-40aria-xeri-kafsimi-yli-kai-ischyro-meltemi-mechri-ton-dekapentavgousto ; https://www.patrisnews.com/fotia-sto-moyzaki-ileias-oi-floges-prin-tin-eisodo-toy-chorioy-sti-machi-kai-enaeria-mesa/ ; https://www.ethnos.gr/greece/article/417085/fotiastomoyzakihleiasbeltiomenhheikonastoshmeioepixeirhsanenneaenaeriamesa ; https://www.ilialive.gr/epikaira/434459/ileia-mainetai-anekselegkti-i-pyrkagia-sto-mouzaki-megali-kinitopoiisi-tis-pyrosvestikis ; https://www.newsbeast.gr/greece/arthro/13283865/fotia-sto-mouzaki-ileias-se-kontini-apostasi-apo-spitia-megali-dynami-tis-pyrosvestikis-sto-simeio ; https://www.thetoc.gr/koinwnia/article/ileia-kaluteri-i-eikona-tis-fotias-se-dasos-sto-mouzaki---den-kinduneuei-to-xorio/ ; https://www.ertnews.gr/eidiseis/ellada/fotia-tora-sto-mouzaki-ileias-epixeiroun-isxyres-dynameis-tis-pyrosvestikis/ ; https://www.ertnews.gr/eidiseis/ellada/se-yfesi-i-fotia-sto-mouzaki-ileias-maxi-me-tis-diaspartes-esties/ ; https://parallaximag.gr/epikairotita/greece/anexelegkti-i-fotia-sto-moyzaki-machi-me-toys-ischyroys-anemoys ; https://www.in.gr/2026/08/09/greece/fotia-sto-mouzaki-ileias-enisxythikan-oi-dynameis-tis-pyrosvestikis/ ; https://meaculpa.gr/anexelegkti-i-megali-pyrkagia-sto-moyzaki-ileias-epicheiroyn-kai-ennea-enaeria-mesa/ ; https://www.newsit.gr/ellada/fotia-sto-mouzaki-ileias-megali-kinitopoiisi-tis-pyrosvestikis/4747437/ ; https://www.tovima.gr/2026/08/09/society/fotia-sto-mouzaki-ileias-epixeiroun-pano-apo-100-pyrosvestes ; https://www.lifo.gr/now/greece/fotia-tora-sto-moyzaki-ileias-epiheiroyn-epta-enaeria-mesa ; https://www.patrisnews.com/fotia-sto-moyzaki-ileias-oi-floges-prin-tin-eisodo-toy-chorioy-sti-maxi-kai-enaeria-mesa/</t>
  </si>
  <si>
    <t>Πεύκα εισόδου χωριού· ισχυρές επίγειες δυνάμεις | Δασική έκταση (πεύκα). Αρχική εκτίμηση 600-800 στρέμματα (~60-80 ha) — μη επιβεβαιωμένη τελικά. Δεν κινδύνευσε κατοικημένη περιοχή. | Δασική πυρκαγιά σε πεύκα στην είσοδο Μουζακίου (Δ. Πύργου). Ανεμοστρόβιλος εντός πύρινου μετώπου. Αρχικά 600–800 στρ. (≈70 ha). Βελτιωμένη εικόνα αργότερα — το χωριό δεν κινδύνευσε. Θερμ. &gt;40°C, μελτέμι. | Πυρκαγιά σε δάσος πεύκων στην είσοδο του χωριού. Αρχικά ανεπτύχθησαν 42 πυροσβέστες/10 οχήματα/3 αεροσκάφη/1 ελικόπτερο· ενισχύθηκαν σε 105/28/7/2. Σύσταση προληπτικής εκκένωσης κατοίκων χωρίς επίσημο 112. Θερμοκρασίες &gt;40°C, άνεμοι 8–9 Beaufort. | Πεύκα πριν την είσοδο χωριού· ανεξέλεγκτη λόγω ισχυρών ανέμων· κατεσβέστη ~20:30 | Κατά τον δήμαρχο Πύργου η πυρκαγιά ήταν ουσιαστικά κατασβεσμένη ~20:30· ακολούθησε ολονύκτιο έργο κατάσβεσης. Αρχικά 9 εναέρια μέσα ανέφεραν ορισμένες πηγές (vs 7+3 καταγεγραμμένα). | Φλόγες πριν την είσοδο του χωριού (πεύκα). Βελτίωση εικόνας ~20:30, ολονύχτιο έργο κατάσβεσης. Έρευνα εμπρησμού από Υπηρεσία Ηλείας. Τελικές δυνάμεις κορυφής: 105 πυρ/στές, 7 Α/Φ, 2 Ε/Π. | Φλόγες σε πεύκα στην είσοδο χωριού. Ισχυρές επίγειες δυνάμεις. Θερμ. &gt;40°C, άνεμοι 8-9 Bf.</t>
  </si>
  <si>
    <t>2026-08-12</t>
  </si>
  <si>
    <t>16:17</t>
  </si>
  <si>
    <t>Κορωπί Αττικής</t>
  </si>
  <si>
    <t>3 πεζοπόρα τμήματα (1η ΕΜΟΔΕ και 1η ΕΜΑΚ)</t>
  </si>
  <si>
    <t>δημοτικές υδροφόρες</t>
  </si>
  <si>
    <t>υπό διερεύνηση (κινητοποίηση Ανακριτικού Κλιμακίου Αντιμετώπισης Εγκλημάτων Εμπρησμού Ανατολικής Αττικής)</t>
  </si>
  <si>
    <t>112 16:12: ετοιμότητα κατοίκων ευρύτερης περιοχής Κορωπίου ("Παραμείνετε σε ετοιμότητα και ακολουθείτε τις οδηγίες των Αρχών") | 112 ετοιμότητα (16:12): μήνυμα σε κατοίκους ευρύτερης περιοχής Κορωπίου να παραμείνουν σε ετοιμότητα | 112 16:12: προειδοποίηση ετοιμότητας – «Πυρκαγιά στο Κορωπί Αν. Αττικής· μείνετε σε ετοιμότητα» | 112 ~16:12: ετοιμότητα Κορωπίου — «Φωτιά στην περιοχή Κορωπίου Ανατολικής Αττικής. Μείνετε σε ετοιμότητα και ακολουθείτε τις οδηγίες των αρχών» | 112 εκδόθηκε</t>
  </si>
  <si>
    <t>https://www.cnn.gr/ellada/story/547174/fotia-se-xamili-vlastisi-sto-koropi-attikis-sikothikan-enaeria-mesa ; https://www.in.gr/2026/08/09/greece/fotia-sto-koropi-epixeiroun-eksi-enaeria/ ; https://www.dnews.gr/eidhseis/ellada/604163/fotia-tora-se-xamili-vlastisi-sto-koropi-attikis-ixise-to-112 ; https://www.newsbeast.gr/greece/arthro/13283874/fialtiko-kokteil-gia-pyrkagies-40aria-xeri-kafsimi-yli-kai-ischyro-meltemi-mechri-ton-dekapentavgousto ; https://www.newsit.gr/ellada/fotia-sto-koropi-minyma-tou-112-gia-etoimotita/4747404/ ; https://www.tanea.gr/2026/08/09/greece/fotia-tora-sto-koropi-megali-kinitopoiisi-tis-pyrosvestikis-ixise-112/ ; https://www.eleftherostypos.gr/ellada/fotia-sto-koropi-oriothetithike-i-pyrkagia-sti-machi-ischyres-pyrosvestikes-dynameis ; https://www.iefimerida.gr/ellada/fotia-sto-koropi-sikothikan-exi-enaeria-mesa ; https://www.newsit.gr/ellada/oriothetithike-i-fotia-sto-koropi-minyma-tou-112-gia-etoimotita/4747404/ ; https://www.tovima.gr/2026/08/09/society/fotia-tora-sto-koropi-sikothikan-6-enaeria-ixise-to-112/ ; https://civilprotection.gov.gr/sites/default/files/2026-08/260809.jpg ; https://www.newsbeast.gr/greece/arthro/13283791/fotia-tora-sto-koropi-112-stous-katoikous-gia-etoimotita-epixeiroun-4-aeroskafi-kai-2-elikoptera ; https://www.thetoc.gr/koinwnia/article/fotia-se-xamili-blastisi-sto-koropi-minuma-tou-112-gia-etoimotita---enisxuthikan-oi-dunameis-purosbesis/ ; https://www.ieidiseis.gr/ellada/843398/fotia-koropi-tora-112/ ; https://www.skai.gr/news/greece/pyrkagia-sto-koropi-4 ; https://www.protothema.gr/greece/article/1862671/fotia-tora-sto-koropi-112-stous-katoikous-gia-etoimotita/</t>
  </si>
  <si>
    <t>Πυρκαγιά σε χαμηλή βλάστηση και ξερά χόρτα. Σύνολο εναέριων: 6 (4 αεροσκ. + 2 ελικ.). | Χαμηλή βλάστηση και γεωργικές εκτάσεις κοντά στην οδό Ανδριανού. Yutori: «4 αεροσκάφη και 2 ελικόπτερα». Δεν απείλησε κατοικημένη περιοχή. Κατ. κινδύνου 4 (χάρτης ΓΓΠΠ 09/08 + επιβεβαίωση άρθρου). | Χαμηλή βλάστηση· κατ' αρχάς αναφέρθηκαν 6 εναέρια συνολικά | Πυρκαγιά σε χαμηλή βλάστηση και ξερά χόρτα. Μόνο ετοιμότητα από 112 — δεν εκδόθηκε εντολή εκκένωσης. | Χαμηλή βλάστηση, χωρίς ενεργό μέτωπο στο τέλος. | Χαμηλή βλάστηση-ξερά χόρτα. 4 αεροσκάφη + 2 ελικόπτερα. Χωρίς ενεργό μέτωπο κατά αναφορά. | Κατεσβέσθη γρήγορα. Αναφορά ΣΚΑΪ: 'Έσβησε σε 15 λεπτά'. Αιτία υπό διερεύνηση (Ανακριτικό Κλιμάκιο Εμπρησμού Ανατολικής Αττικής).</t>
  </si>
  <si>
    <t>15:20</t>
  </si>
  <si>
    <t>Γιαννούλη Σουφλίου Έβρου</t>
  </si>
  <si>
    <t>Σουφλίου</t>
  </si>
  <si>
    <t>2 πεζοπόρα τμήματα</t>
  </si>
  <si>
    <t>υδροφόρες Δήμου Σουφλίου</t>
  </si>
  <si>
    <t>υπό διερεύνηση (εμπρησμός)</t>
  </si>
  <si>
    <t>https://www.newsbeast.gr/greece/arthro/13283814/fotia-sto-soufli-epicheiroun-ischyres-epigeies-kai-enaeries-dynameis ; https://www.skai.gr/news/greece/pyrkagia-stin-perioxi-giannouli-soufliou-sikothikan-enaeria-mesa ; https://www.newsbeast.gr/greece/arthro/13283874/fialtiko-kokteil-gia-pyrkagies-40aria-xeri-kafsimi-yli-kai-ischyro-meltemi-mechri-ton-dekapentavgousto ; https://www.tanea.gr/2026/08/09/greece/evros-pyrkagia-sti-giannoyli-soyflioy-aeroskafi-kai-elikoptero-stin-katasvesi/ ; https://www.evros24.gr/fotia-soyfli-ischyres-epigeies/ ; https://www.reader.gr/ellada/fotia-tora-sti-giannoyli-soyflioy-ston-ebro-kinitopoiithikan-enaeria-mesa/657135 ; https://www.naftemporiki.gr/society/2148462/fotia-tora-sti-giannoyli-soyflioy-kinitopoiithikan-enaeria-mesa/ ; https://www.in.gr/2026/08/09/greece/fotia-sto-soufli-kinitopoiithikan-tessera-enaeria-mesa/ ; https://www.efsyn.gr/ellada/1444756/pyrino-metopo-sto-soyfli-kinitopoiithikan-tessera-enaeria-mesa/ ; https://www.madata.gr/epikairotita/social/972137-pyrkagia-se-chamhlh-vlasthsh-sth-giannoylh-soyflioy-kinhtopoihsh-epigeion-kai-enaerion-dynameon-ston-evro.html ; https://civilprotection.gov.gr/sites/default/files/2026-08/260809.jpg</t>
  </si>
  <si>
    <t>Πυρκαγιά σε χαμηλή βλάστηση. Θερμ. &gt;40°C, άνεμοι 8–9 Bf. Ερευνητικό κλιμάκιο εμπρησμών Έβρου ενεργοποιήθηκε. | Χαμηλή βλάστηση. Yutori: «ισχυρές επίγειες και εναέριες δυνάμεις επιχειρούν», θερμοκρασίες &gt;40°C. Κίνδυνος: κατ. 2 βάσει χάρτη ΓΓΠΠ 09/08. | Χαμηλή βλάστηση· θερμοκρασίες &gt;40°C· άνεμοι 8–9 Beaufort | Άνεμος 8-9 Beaufort· θερμοκρασία &gt;40°C | Τοπωνύμιο εκδήλωσης: Γιαννούλη Σουφλίου. Χαμηλή βλάστηση. Δείκτης επικινδυνότητας κατηγορία 3. Τελική κατάσταση και καμένη έκταση μη επιβεβαιωμένα. | Πυρκαγιά σε χαμηλή βλάστηση. Ένα αρχικό δελτίο (tomanifesto.gr) αναφέρει «λάθος συναγερμός» αλλά πολλαπλές πηγές (ΣΚΑΪ, ΤΑ ΝΕΑ, evros24.gr, Newsbeast) επιβεβαιώνουν πραγματικό συμβάν. | Χαμηλή βλάστηση. Θερμοκρασίες &gt;40°C, άνεμοι 8–9 Beaufort. | Ισχυρές δυνάμεις επίγειας και εναέριας πυρόσβεσης. Θερμ. &gt;40°C, άνεμοι 8-9 Bf.</t>
  </si>
  <si>
    <t>Παγούρια Κομοτηνής</t>
  </si>
  <si>
    <t>Κομοτηνής</t>
  </si>
  <si>
    <t>Υδροφόρες Δήμου Κομοτηνής</t>
  </si>
  <si>
    <t>υπό έρευνα (εμπρησμός)</t>
  </si>
  <si>
    <t>https://www.naftemporiki.gr/society/2148446/fotia-tora-sta-pagoyria-komotinis/ ; https://www.skai.gr/news/greece/pyrkagia-se-xamili-vlastisi-sta-pagouria-komotinis-epemvasi-tis-pyrosvestikis ; https://www.ertnews.gr/roi-idiseon/komotini-ypo-elegxo-i-pyrkagia-stin-perioxi-pagouria/ ; https://ihunt.gr/evros-rodopi-pyrkagies-11-imeres-prin-enarxi-kynigiou/ ; https://www.evros24.gr/foties-tora-se-evro-rodopi-pyrkagi/</t>
  </si>
  <si>
    <t>Πολύ λίγα στοιχεία διαθέσιμα (άρθρο Ναυτεμπορική – 403 κατά fetch). Κίνδυνος: κατ. 2 βάσει χάρτη ΓΓΠΠ 09/08 (Ροδόπη κυανή). | Χαμηλή βλάστηση· Ανακριτικό Κλιμάκιο Εμπρησμού Έβρου | Φωτιά σε χαμηλή βλάστηση, τέθηκε γρήγορα υπό έλεγχο. Ο Δήμος Κομοτηνής συνέδραμε με βυτιοφόρα. ΑΚΑΕ Έβρου επελήφθη για αιτία.</t>
  </si>
  <si>
    <t>Σπήλαιο Ορεστιάδας</t>
  </si>
  <si>
    <t>Ορεστιάδας</t>
  </si>
  <si>
    <t>ύποπτος εμπρησμός (έρευνα ΥΠΕΑ Έβρου)</t>
  </si>
  <si>
    <t>https://www.ertnews.gr/roi-idiseon/fotia-sto-spilaio-orestiadas-sikothike-elikoptero/ ; https://civilprotection.gov.gr/sites/default/files/2026-08/260809.jpg ; https://www.protothema.gr/greece/article/1862645/fotia-tora-sto-spilaio-orestiadas-sikothike-elikoptero/ ; https://www.naftemporiki.gr/society/2148435/fotia-tora-sto-spilaio-orestiadas-epi-podos-i-pyrosvestiki/ ; https://www.thestival.gr/eidiseis/astynomika/fotia-se-chamili-vlastisi-stin-periochi-2/ ; https://www.evros24.gr/foties-tora-se-evro-rodopi-pyrkagi/</t>
  </si>
  <si>
    <t>Χαμηλή βλάστηση. Κατ. κινδύνου 3 επιβεβαιώθηκε από άρθρο (χάρτης ΓΓΠΠ 09/08 δείχνει Έβρο κυανό/2). | Πυρκαγιά σε χαμηλή βλάστηση. Ανακριτική ομάδα Έβρου ερευνά τα αίτια. Οριοθετήθηκε έως την ανανέωση ~18:30. | Καμένη έκταση και ώρα κατάσβεσης δεν επιβεβαιώθηκαν. Πεζοπόρα τμήματα δεν αναφέρονται ξεχωριστά στις πηγές. | ΝΕΟΣ ΕΝΤΟΠΙΣΜΟΣ: ταυτόχρονη πυρκαγιά με Παγούρια Κομοτηνής (2026-08-09). Αναφέρθηκε στον τίτλο evros24.gr ως σύγχρονο συμβάν στον Έβρο («Φωτιές τώρα σε Έβρο και Ροδόπη: Πυρκαγιές σε Σπήλαιο Ορεστιάδας και Παγούρια Κομοτηνής»). Δεν υπάρχουν επιπλέον δημοσιευμένες λεπτομέρειες.</t>
  </si>
  <si>
    <t>Αγέρανος Γυθείου</t>
  </si>
  <si>
    <t>https://www.skai.gr/news/greece/fotia-lakonia-anafores-gia-traymatia-pyrosvesti-ston-agerano-gytheiou ; https://pelop.gr/defteri-tragodia-sti-lakonia-nekros-pyrosvestis-kai-sti-fotia-ston-agerano-gytheiou/ ; https://indicator.gr/lakonia-tragodia-ston-agerano-gytheioy-entopistike-nekros-pyrosvestis-poy-epicheiroyse ; https://www.firefightingreece.gr/2026/08/09/pyrosvestiki-30-agrotodasikes-pyrkagies-to-teleftaio-24oro-13/</t>
  </si>
  <si>
    <t>Νεκρός πυροσβέστης 27 ετών κατά τη διάρκεια κατάσβεσης. Εντοπίστηκε αναίσθητος σε σημείο χωρίς ενεργό μέτωπο, μεταφέρθηκε στο ΓΝ Σπάρτης όπου διαπιστώθηκε ο θάνατός του. Αρχικές εκτιμήσεις: πιθανά ιατρικά αίτια. Περιστατικό εντός 24ωρου 8–9/8/2026 (30 αγροτοδασικές συνολικά). Χαρακτηρίστηκε «δεύτερη τραγωδία στη Λακωνία».</t>
  </si>
  <si>
    <t>Κορώπι Αττικής</t>
  </si>
  <si>
    <t>Κρωπία</t>
  </si>
  <si>
    <t>4 ομάδες πεζοπόρων (1η &amp; 6η ΕΜΟΔΕ, 1η ΕΜΑΚ) + εθελοντές</t>
  </si>
  <si>
    <t>υπό διερεύνηση — κινητοποίηση Ανακριτικού Κλιμακίου Εγκλημάτων Εμπρησμού Ανατολικής Αττικής</t>
  </si>
  <si>
    <t>9/8: έκδοση μηνύματος 112 για Κορώπι</t>
  </si>
  <si>
    <t>https://www.newsbeast.gr/greece/arthro/13283874/fialtiko-kokteil-gia-pyrkagies-40aria-xeri-kafsimi-yli-kai-ischyro-meltemi-mechri-ton-dekapentavgousto ; https://www.tovima.gr/2026/08/09/society/fotia-tora-sto-koropi-sikothikan-6-enaeria-ixise-to-112/ ; https://www.in.gr/2026/08/09/greece/fotia-sto-koropi-epixeiroun-eksi-enaeria/ ; https://www.tanea.gr/2026/08/09/greece/fotia-tora-sto-koropi-megali-kinitopoiisi-tis-pyrosvestikis-ixise-112/ ; https://www.skai.gr/news/greece/fotia-se-perioxi-sto-koropi ; https://www.naftemporiki.gr/society/2148457/fotia-tora-sto-koropi-attikis-minyma-apo-to-112/ ; https://www.skai.gr/news/greece/pyrkagia-sto-koropi-4 ; https://www.protothema.gr/greece/article/1862671/fotia-tora-sto-koropi-112-stous-katoikous-gia-etoimotita/</t>
  </si>
  <si>
    <t>4 αεροσκάφη, 2 ελικόπτερα | 84 πυρ/στές, 24 οχήματα, 6 εναέρια συνολικά (4 Α/Φ + 2 Ε/Π). Εκκίνηση κοντά στη λεωφ. Ανδριανού. Πυρκαγιά οριοθετήθηκε — δεν απείλησε κατοικημένες περιοχές.</t>
  </si>
  <si>
    <t>20:37</t>
  </si>
  <si>
    <t>Μικρή Βίγλα</t>
  </si>
  <si>
    <t>Νάξου</t>
  </si>
  <si>
    <t>Δημοτικές υδροφόρες Δήμου Νάξου και Μικρών Κυκλάδων</t>
  </si>
  <si>
    <t>υπό διερεύνηση (κινητοποίηση Ανακριτικού Κλιμακίου Εμπρησμού Κυκλάδων)</t>
  </si>
  <si>
    <t>https://cyclades24.gr/2026/08/naxos-ypo-elegcho-i-fotia-sti-mikri-vigla-amesi-epemvasi-tis-pyrosvestikis/ ; https://www.newsbeast.gr/greece/arthro/13283200/fotia-tora-se-chamili-vlastisi-sti-mikri-vigla-sti-naxo-sti-machi-kai-ena-elikoptero ; https://www.skai.gr/news/greece/pyrkagia-sti-mikri-vigla-sti-nakso ; https://www.tanea.gr/2026/08/08/greece/fotia-tora-sti-mikri-vigla-naksou-synagermos-stin-pyrosvestiki/ ; https://naxostimes.gr/naxos/240337/fotia-mikri-vigla-naxou-ypo-elegxo/</t>
  </si>
  <si>
    <t>Πυρκαγιά σε χαμηλή βλάστηση στη Μικρή Βίγλα Νάξου. Εντοπίστηκε από web search — δεν ανακτήθηκε επιμέρους άρθρο. | Φωτιά σε χαμηλή βλάστηση (καλάμια, γρασίδι) παραλιακής περιοχής. Δεν απειλήθηκαν κατοικίες. Παρευρέθηκαν Δήμαρχος Δ. Λιανός και Αντιδήμαρχος Πολιτικής Προστασίας Ν. Σιδέρης. Ώρα ελέγχου ≈20:37 βάσει δημοσίευσης cyclades24. | ~10 στρέμματα καλαμιώνες και ξερή βλάστηση. Δυνάμεις παρέμειναν για προληπτικούς λόγους αναζωπύρωσης. | Δήμος Νάξου συμμετείχε με βυτιοφόρα. Δευτερεύουσα πηγή (naxostimes.gr) αναφέρει 20 πυρ./5 οχήματα/1 ελικόπτερο — διαφορά από αρχική καταγραφή (10/4/1). Ground_teams αδύνατο να ποσοτικοποιηθεί.</t>
  </si>
  <si>
    <t>16:55</t>
  </si>
  <si>
    <t>Σίνδος Θεσσαλονίκης</t>
  </si>
  <si>
    <t>Δέλτα</t>
  </si>
  <si>
    <t>1 ομάδα πεζοπόρων 2ης ΕΜΟΔΕ + εθελοντές</t>
  </si>
  <si>
    <t>Δήμος Θεσσαλονίκης (υδροφόρες)</t>
  </si>
  <si>
    <t>εθελοντές (αριθμός αδιευκρίνιστος)</t>
  </si>
  <si>
    <t>Υπό διερεύνηση (κλιμάκιο εμπρησμού κινητοποιήθηκε)</t>
  </si>
  <si>
    <t>https://www.cnn.gr/ellada/story/547073/pyrkagia-se-xamili-vlastisi-sti-sindo-epixeiroyn-epigeies-dynameis-kai-ena-elikoptero ; https://thepressproject.gr/pyrkagia-sti-sindo-thessalonikis-sto-ergo-katasvesis-kai-elikoptero/ ; https://www.tanea.gr/2026/08/08/greece/thessaloniki-se-yfesi-i-pyrkagia-sti-sindo ; https://www.zougla.gr/greece/pyrkagia-se-chamili-vlastisi-sti-sindo/ ; https://www.enikos.gr/society/thessaloniki-choris-energo-metopo-i-fotia-sti-sindo-paramenoun-ischyres-dynameis-sto-simeio/2626282/ ; https://www.newsbomb.gr/ellada/story/1755178/fotia-sti-sindo-thessalonikis-sti-maxi-tis-katasvesis-kai-elikoptero ; https://www.rthess.gr/ellada/apogeiothike-elikoptero-gia-fotia-sti-sindo-thessalonikis/ ; https://www.emakedonia.gr/thessaloniki-pirkaghia-se-chamili-vlastisi-sti-sindo ; https://www.ertnews.gr/ert3/fotia-se-xamili-vlastisi-sti-sindo-thessalonikis/ ; https://www.skaikritis.gr/choris-energo-metopo-i-pyrkagia-sti-sindo-thessalonikis/ ; https://www.topontiki.gr/2026/08/12/thessaloniki-h-stigmi-pou-o-59chronos-vazi-fotia-sti-sindo-katigorite-gia-6-pirkagies-apologite-tin-paraskevi/ ; https://www.naftemporiki.gr/society/2148234/fotia-tora-se-chamili-vlastisi-sti-sindo-thessalonikis/ ; https://www.efsyn.gr/ellada/1447907/thessaloniki-profylakistike-meta-tin-apologia-toy-o-empristis-tis-sindoy-imoyn-piesmenos-apo-ti-doyleia/ ; https://www.vradini.gr/ellada/thessaloniki-sti-fylaki-o-empristis-tis-sindoy-evaze-foties-gia-na-xalaronei-apo-tin-piesi-tis-douleias/1635077/ ; https://www.ertnews.gr/ert3/thessaloniki-se-yfesi-i-pyrkagia-sti-sindo/</t>
  </si>
  <si>
    <t>Χαμηλή βλάστηση· χωρίς ενεργό μέτωπο 16:55 EEST | Ανακριτικό Κλιμάκιο Αντιμετώπισης Εγκλημάτων Εμπρησμού Θεσσαλονίκης κινητοποιήθηκε για διερεύνηση αιτίας — αιτία υπό εξέταση (πιθανός εμπρησμός). | Χαμηλή βλάστηση (καλάμια, ξηρό χόρτο). Drone ΕΣΚΕΔΙΚ (θερμική+οπτική κάμερα) παρακολουθούσε σε πραγματικό χρόνο. Κινητοποιήθηκε Ανακριτικό Κλιμάκιο Αντιμετώπισης Εγκλημάτων Εμπρησμού. Χρόνος έναρξης από Scout email 15:00 EEST, ενημέρωση κατάστασης 16:55 EEST. | Πυρκαγιά σε χαμηλή βλάστηση, καλάμια και ξηρό χόρτο. Ενημέρωση κατάστασης 16:55 EEST (χωρίς ενεργό μέτωπο). | Χαμηλή βλάστηση (καλάμια, ξηρά χόρτα). Ενημέρωση κατάστασης στις 16:55. Drone θερμικής/οπτικής απεικόνισης σε χρήση. Έρευνα εμπρησμού από ΥΠΕΑ. | Χαμηλή βλάστηση, καλάμια και ξηρό χόρτο· ενεργεί Ανακριτικό Κλιμάκιο Εγκλημάτων Εμπρησμού Θεσσαλονίκης | Ο ίδιος δράστης φέρεται να πυροδότησε 2η εστία στη Σίνδο στις 09/08/2026 (~15 στρέμ.) και 4 ακόμη στις 11/08/2026 — οι εστίες εκείνων των ημερών καταγράφονται ως ξεχωριστά περιστατικά.</t>
  </si>
  <si>
    <t>Αχλάδια Σητείας</t>
  </si>
  <si>
    <t>2 ομάδες ορεινής διάσωσης ΕΜΟΔΕ-3, εθελοντές</t>
  </si>
  <si>
    <t>Δημοτικές υδροφόρες Σητείας</t>
  </si>
  <si>
    <t>https://athina984.gr/2026/08/08/lasithi-oriothetithike-i-pyrkagia-sta-achladia-paramenoyn-pyrosvestikes-dynameis/ ; https://www.skai.gr/news/greece/lasithi-oriothetithike-i-pyrkagia-sta-axladia-paramenoun-pyrosvestikes-dynameis ; https://www.ertnews.gr/eidiseis/lasithi-oriothetithike-i-pyrkagia-sta-axladia-paramenoun-pyrosvestikes-dynameis/ ; https://www.topontiki.gr/2026/08/08/lasithi-oriothetithike-i-pirkagia-sta-achladia-paramenoun-pirosvestikes-dinamis/ ; https://www.anatolh.com/topikanea/sitia/oriothetithike-i-pyrkagia-sta-achladia-paramenoyn-pyrosvestikes-dynameis/ ; https://www.cretalive.gr/kriti/siteia-katasbestike-i-fotia-sta-ahladia-mikri-i-kameni-ektasi ; https://www.newsit.gr/ellada/fotia-sti-siteia-stin-perioxi-axladia-konta-se-anemogennitries-amesi-epemvasi-tis-pyrosvestikis/4746429/</t>
  </si>
  <si>
    <t>Έναρξη βράδυ 7ης Αυγούστου 2026. Οριοθετήθηκε μετά τα μεσάνυχτα (ώρες πρωινές 8ης Αυγ). Ισχυρές δυνάμεις ανταποκρίθηκαν αμέσως. Κατηγορία 4 κινδύνου ίσχυε για ολόκληρη την Κρήτη. Δεν αναφέρθηκαν αριθμοί δυνάμεων ή καμένη έκταση στις πηγές. | 3η πυρκαγιά στην ευρύτερη περιοχή Σητείας εντός 48 ωρών. Καμένη έκταση μικρή (τμήμα ιδιωτικής έκτασης 200 στρεμμάτων). Φωτιά σε υψηλό υψόμετρο, χαμηλή βλάστηση, πλησίον ανεμογεννητριών. Δεν απειλήθηκαν κατοικίες ή κτηνοτροφικές εγκαταστάσεις. Δήλωση Δημάρχου Γ. Ζερβάκη: «πλήρης κατάσβεση». | Καμένη έκταση μικρή — εντός ιδιωτικής χορτολιβαδικής περιφραγμένης έκτασης (δεν απειλήθηκαν κατοικίες/ποιμνιοστάσια). Τρίτη πυρκαγιά στη Σητεία μέσα σε 48 ώρες. Κατάσβεση επιβεβαιώθηκε από Δήμαρχο (2026-08-08). | Μικρή καμένη έκταση (τμήμα ιδιωτικής περίφρακτης έκτασης ~200 στρεμμάτων· ακριβής αριθμός μη δημοσιευμένος). Εκδηλώθηκε Παρασκευή βράδυ (7/8) σε αγροτοδασική έκταση κοντά σε ανεμογεννήτριες. Ανακριτικό Κλιμάκιο Αντιμετώπισης Εγκλημάτων Εμπρησμού Λασιθίου κινητοποιήθηκε.</t>
  </si>
  <si>
    <t>Πόρτο Γερμενό - Κιθαιρώνας</t>
  </si>
  <si>
    <t>Αττική / Στερεά Ελλάδα</t>
  </si>
  <si>
    <t>Δυτικής Αττικής / Βοιωτίας</t>
  </si>
  <si>
    <t>Μεγαρέων / Αλιάρτου-Θεσπιών</t>
  </si>
  <si>
    <t>20 ομάδες πεζοπόρων ΕΜΟΔΕ (1η, 2η, 4η, 5η, 6η, 10η) + εθελοντές</t>
  </si>
  <si>
    <t>Εμπρησμός - 2 άτομα κατηγορούνται</t>
  </si>
  <si>
    <t>https://www.in.gr/2026/08/08/greece/pyrkagia-attikovoiotias-51-enaeria-mesa-den-mporousan-na-pragmatopoiisoun-ripseis-logo-anemon-eipe-o-tournas/ ; https://gr.euronews.com/my-europe/2026/08/01/ane3elegkth-h-fwtia-sto-porto-germenospitia-eginan-staxth-maxh-me-tis-floges-se-aigio-kai ; https://www.newsit.gr/ellada/fotia-sto-porto-germeno-anekselegkto-to-metopo-kaikan-spitia-mazikes-ekkenoseis-oikismon-live-oles-oi-ekselikseis/4741706/ ; https://www.firefightingreece.gr/2026/08/08/pyrosvestiki-35-agrotodasikes-pyrkagies-to-teleftaio-24oro-13/ ; https://www.thetoc.gr/koinwnia/article/fotia-se-attiki-kai-boiotia-san-na-epesan-stin-perioxi-6-atomikes-bomves-tupou-xirosima/ ; https://www.news247.gr/perivallon/wwf-pano-apo-180-000-stremmata-kamenon-dasikon-ektaseon-se-liges-molis-meres/ ; https://en.parapolitika.gr/greece/267661/porto-germeno-wildfire-over-100-homes-destroyed-or-severely-damaged-support-applications-now-open/ ; https://www.tovima.com/society/porto-germeno-left-in-ashes-after-devastating-wildfire/ ; https://www.ertnews.gr/eidiseis/porto-germeno-maxi-gia-tin-apokatastasi-ton-zimion-meta-tin-katastrofiki-pyrkagia-ksekinoun-oi-apozimioseis/ ; https://www.tanea.gr/2026/08/08/greece/porto-germeno-den-exei-meinei-tipote-eimaste-anthropakia-pano-apo-100-kamena-kai-84-kokkina-ktismata-pote-ksekinoun-oi-aitiseis-video</t>
  </si>
  <si>
    <t>Έναρξη 31 Ιουλίου 2026 στη Βοιωτία - ενεργή/περιορισμένη στις 8 Αυγ. Ειδική ανφαορά in.gr 8/8: 51 εναέρια μέσα δεν μπόρεσαν να πραγματοποιήσουν ρίψεις νερού λόγω ακραίων ανέμων· οι επίγειες δυνάμεις περιόρισαν. 120+ κατοικίες κατεστράφησαν. Καμένη έκταση ~80.800 ha κατά Copernicus/ΕΑΑ (εκτίμηση ως 3 Αυγ 2026). Εκκένωση 1.150+ ατόμων (άλλοτε ημέρες). | 2026-08-08: 51 εναέρια μέσα αδυνατούσαν να πραγματοποιήσουν ρίψεις λόγω ισχυρών ανέμων (δήλωση αρχηγού Τούρνα). Βάσει Sentinel-2 (έως 2 Αυγ.): η Αττική πλευρά είχε καεί ~80.800 στρέμματα = 8.080 ha — το υφιστάμενο burned_area_ha=80800 πιθανότατα αντιστοιχεί σε στρέμματα (όχι ha). Φωτιά ξεκίνησε 31 Ιουλίου 2026 Β. Άγιος Βασίλειος Βοιωτίας. Τελική έκταση ολόκληρης Αττικοβοιωτίας: ~18.000 ha (WWF: &gt;180.000 στρ.). | Έκτακτη φάση έληξε πριν 2026-08-10 (αποζημιώσεις θυμάτων άνοιξαν 10/08)· &gt;100 κατοικίες ολοσχερώς κατεστραμμένες· 5 νεκροί συνολικά για το ευρύτερο συμβάν (2 μέλη πληρώματος πυροσβεστικού ελικοπτέρου). | Πυρκαγιά ξεκίνησε 31/07/2026 στη Βοιωτία (Δόμβραινα) και επεκτάθηκε στη Δυτική Αττική/Πόρτο Γερμενό. Κατά την αιχμή (08/08) επιχειρούσαν 51 εναέρια αλλά αδυνατούσαν ρίψεις λόγω ισχυρών ανέμων. Κτίσματα: &gt;100 καμένα + 84 «κόκκινα» (08/08). Εργασίες αποκατάστασης (απομάκρυνση υπολειμμάτων) ξεκίνησαν 17/08 — επιβεβαιώνει οριοθέτηση πριν 17/08. 2 ύποπτοι κατηγορούνται για εμπρησμό.</t>
  </si>
  <si>
    <t>Δήμος Σητείας</t>
  </si>
  <si>
    <t>Υδροφόρες Δήμου Σητείας</t>
  </si>
  <si>
    <t>https://www.cnn.gr/ellada/story/547018/synagermos-stin-pyrosvestiki-gia-fotia-sti-siteia-kaiei-se-dysprosito-simeio ; https://www.in.gr/2026/08/07/greece/synagermos-stin-pyrosvestiki-gia-fotia-sti-siteia/ ; https://lawandorder.gr/siteia-fotia-sta-achladia-megali-kinitopoiisi-7-8/ ; https://www.koutipandoras.gr/article/dyskoli-nychta-sti-siteia-mainetai-i-pyrkagia-sta-achladia-enischyontai-oi-pyrosvestikes-dynameis/ ; https://www.protothema.gr/greece/article/1862295/fotia-sti-siteia-koda-se-parko-me-anemogennitries-pneoun-ishuroi-anemoi-stin-periohi/ ; https://2810.gr/siteia-fotia-sta-achladia-sto-simeio-ischyres-dynameis-tis-pyrosvestikis/ ; https://www.documentonews.gr/article/olonychtia-machi-me-ti-fotia-sti-siteia-mainetai-to-pyrino-metopo-sta-achladia/ ; https://www.emakedonia.gr/kriti-fotia-sti-siteia-konta-se-parko-me-anemogennitries-dyscherainoyn-tin-katasvesi-oi-ischyroi-anemoi-vinteo ; https://www.ertnews.gr/eidiseis/lasithi-oriothetithike-i-pyrkagia-sta-axladia-paramenoun-pyrosvestikes-dynameis/ ; https://www.cretalive.gr/kriti/siteia-katasbestike-i-fotia-sta-ahladia-mikri-i-kameni-ektasi ; https://www.newsbeast.gr/greece/arthro/13282614/lasithi-se-yfesi-i-fotia-sta-achladia-alla-i-kriti-paramenei-se-kokkino-synagermo ; https://www.tanea.gr/2026/08/07/greece/maxi-me-tis-floges-sti-siteia-isxyres-pyrosvestikes-dynameis-epixeiroun-stin-perioxi-axladia/ ; https://www.dikastiko.gr/eidhsh/pyrkagia-sta-achladia-siteias-konta-se-anemogennitries/ ; https://cretaone.gr/siteia-esvise-i-fotia-sta-achladia-periorismenes-oi-zimies/ ; https://www.anatolh.com/topikanea/sitia/oriothetithike-i-pyrkagia-sta-achladia-paramenoyn-pyrosvestikes-dynameis/ ; https://www.news247.gr/ellada/siteia-oriothetimeni-i-fotia-sta-axladia-maxi-gia-pliri-katasvesi-tis/ ; https://www.topontiki.gr/2026/08/08/lasithi-oriothetithike-i-pirkagia-sta-achladia-paramenoun-pirosvestikes-dinamis/ ; https://www.skai.gr/news/greece/lasithi-oriothetithike-i-pyrkagia-sta-axladia-paramenoun-pyrosvestikes-dynameis</t>
  </si>
  <si>
    <t>Δύσπροσιτη, υψηλόμετρη αγροτοδασική έκταση κοντά σε αιολικό πάρκο. Ισχυροί άνεμοι δυσχέραιναν κατάσβεση. Ενισχύσεις από Λασίθι και Ηράκλειο. ΑΚΑΕ Λασιθίου για έρευνα αιτίας. | Ξέσπασε βράδυ 7/8· οριοθετήθηκε μετά τα μεσάνυχτα· μικρή καμένη έκταση· κοντά σε αιολικό πάρκο | Αγροτοδασική έκταση κοντά σε πάρκο ανεμογεννητριών. Κινητοποιήθηκε Ανακριτικό Κλιμάκιο Εγκλημάτων Εμπρησμού Λασιθίου. | Πλήρης κατάσβεση επιβεβαιώθηκε πρωί 8/8/2026. Η φωτιά εκδηλώθηκε σε χορτολιβαδική έκταση εντός ιδιωτικής περιφραγμένης ιδιοκτησίας (~200 ha συνολική έκταση ιδιοκτησίας). Καμένη έκταση μικρή — επιβεβαιώνεται ως «περιορισμένες ζημιές». | Κάηκε μικρό τμήμα ιδιωτικής περίφρακτης αγροτικής έκτασης ~200 στρεμμάτων (~20 ha). Δεν απειλήθηκαν κατοικίες ή ζωοστάσια. Εκδηλώθηκε σε αγροτοδασική έκταση πλησίον ανεμογεννητριών. Αρχικά οριοθετήθηκε (μετά τα μεσάνυχτα 7/8→8/8) και στη συνέχεια κατασβέστηκε. | Κατασβέστηκε 08/08 περ. 10:30. Καμένη έκταση ~200 στρέμματα (20 ha). Περιορισμένες ζημιές — δεν κινδύνευσαν κατοικίες/κτηνοτροφικές εγκαταστάσεις. Η πυρκαγιά εκδηλώθηκε σε χαμηλή βλάστηση εντός περιφραγμένης ιδιωτικής έκτασης. Τρεις ξεχωριστές πυρκαγιές στην ευρύτερη περιοχή Σητείας σε λιγότερο από 48 ώρες.</t>
  </si>
  <si>
    <t>16:20</t>
  </si>
  <si>
    <t>Ερμακιά</t>
  </si>
  <si>
    <t>Δήμος Εορδαίας</t>
  </si>
  <si>
    <t>2 ομάδες πεζοπόρων (5η + 8η ΕΜΟΔΕ)</t>
  </si>
  <si>
    <t>Υδροφόρες Δήμου Εορδαίας</t>
  </si>
  <si>
    <t>Υπό έρευνα ΑΚΑΕ Κοζάνης</t>
  </si>
  <si>
    <t>https://www.documentonews.gr/article/fotia-stin-kozani-choris-energo-metopo-i-pyrkagia-stin-ermakia/ ; https://www.in.gr/2026/08/07/greece/fotia-stin-ermakia-kozanis-epixeiroun-enaeries-kai-epigeies-dynameis/ ; https://www.tanea.gr/2026/08/07/greece/kozani-pyrkagia-se-dasiki-ektasi-stin-perioxi-ermakia/ ; https://www.thestival.gr/eidiseis/astynomika/pyrkagia-stin-periochi-ermakia-kozani/ ; https://www.enikos.gr/society/kozani-fotia-se-dasiki-ektasi-stin-ermakia-epicheiroun-kai-enaeria-mesa/2625860/ ; https://www.newsit.gr/ellada/fotia-stin-ermakia-kozanis-sti-maxi-tis-katasvesis-kai-enaeria-mesa/4746270/ ; https://www.topontiki.gr/2026/08/07/kozani-pirkagia-se-dasiki-ektasi-stin-periochi-ermakia-sti-machi-me-tis-floges-ke-tria-aeroskafi/ ; https://www.ertnews.gr/perifereiakoi-stathmoi/kozani/kozani-oriothetithike-i-fotia-stin-ermakia-svistikan-alles-dyo/ ; https://kozan.gr/archives/717658</t>
  </si>
  <si>
    <t>Χορτολιβαδική-δασική έκταση. Τεθηκε χωρίς ενεργό μέτωπο την ίδια ημέρα. Η έκφραση «3 αεροσκάφη» δεν διακρίνει αν περιλαμβάνει ελικόπτερα. | Ταυτόχρονα οριοθετήθηκαν 2 ακόμη πυρκαγιές στην ευρύτερη περιοχή Κοζάνης (κοντά στο αεροδρόμιο και στη Βλάστη δίπλα σε φωτοβολταϊκό πάρκο).</t>
  </si>
  <si>
    <t>Στεφάνι</t>
  </si>
  <si>
    <t>3 ομάδες πεζοπόρων 9ης ΕΜΟΔΕ + drone ΙΚΑΡΟΣ Πελοποννήσου</t>
  </si>
  <si>
    <t>Υδροφόρες και μηχανήματα τοπικών αρχών</t>
  </si>
  <si>
    <t>Εγκατάσταση φωτοβολταϊκών (δήλωση αντιδημάρχου Πολιτικής Προστασίας)</t>
  </si>
  <si>
    <t>16:20 EEST – τύπος: ετοιμότητα – περιοχή: ευρύτερη περιοχή Στεφανίου Π.Ε. Κορινθίας – μήνυμα: «Παραμείνετε σε ετοιμότητα και ακολουθήστε τις οδηγίες των Αρχών» | ετοιμότητα (16:20)</t>
  </si>
  <si>
    <t>https://www.anagnostis.org/2026/08/07/fotia-stefani-korinthias-82-pyrosvestes-112/ ; https://www.thetoc.gr/koinwnia/article/fotia-sto-stefani-korinthou---minuma-apo-to-112-gia-etoimotita/ ; https://www.naftemporiki.gr/society/2147975/fotia-tora-sto-stefani-korinthias-minyma-toy-112/ ; https://www.patrisnews.com/fotia-tora-stefani-korinthias-epicheiroyn-7-enaeria/ ; https://www.sportal.gr/epikairothta/article/fotia-tora-112-sto-stefani-korinthias ; https://www.enikos.gr/society/fotia-sto-stefani-korinthias-ichise-to-112-gia-etoimotita/2625831/ ; https://www.thestival.gr/eidiseis/astynomika/fotia-sto-stefani-korinthias-enischythi/ ; https://www.topontiki.gr/2026/08/07/fotia-sto-stefani-korinthias-minima-apo-to-112-gia-etimotita/ ; https://www.documentonews.gr/article/fotia-stin-korinthia-ypo-elegcho-i-fotia-sto-stefani-xekinise-apo-egkatastasi-fotovoltaikon/ ; https://www.news247.gr/ellada/treis-sillipseis-gia-tis-foties-se-lesvo-kai-korinthia-apo-tsigaro-kai-fotovoltaiko-parko/ ; https://www.naftemporiki.gr/society/2148050/pyrkagia-sto-stefani-korinthias-xekinise-apo-periochi-me-fotovoltaika-leei-o-antidimarchos/ ; https://www.dnews.gr/eidhseis/ellada/603943/stefani-korinthias-xoris-energo-metopo-i-fotia ; https://newpost.gr/eidiseis/antidimarchos-gia-tin-pyrkagia-sto-stefani-korinthias-xekinise-apo-fotovoltaika-vinteo/ ; https://www.athensvoice.gr/epikairotita/ellada/979616/horis-energo-metopo-i-purkagia-sto-stefani-korinthias/</t>
  </si>
  <si>
    <t>Σύνολο 11 εναέρια (8 αεροσκάφη + 3 ελικόπτερα, εκ των οποίων 1 συντονισμού). Αγροτοδασική έκταση. Μέρος των 34 αγροτοδασικών πυρκαγιών 24ωρου 18:00 06/08–18:00 07/08/2026 (Πυρ. Σώμα). | Δύο συλλήψεις σε βάρος υπευθύνων του φωτοβολταϊκού. Καμένα: ~500 στρ. δασικής + ~50 στρ. αγροτικής έκτασης (σύνολο 550 στρ. = 55 ha). | Drone εποπτείας από ομάδα ICARUS Πελοποννήσου· δημοτικά βυτία και μηχανήματα σε υποστήριξη</t>
  </si>
  <si>
    <t>Αττικοβοιωτία – Πόρτο Γερμενό / Κιθαιρώνας</t>
  </si>
  <si>
    <t>Μεγαρέων / Αλιάρτου-Θεσπιέων</t>
  </si>
  <si>
    <t>51 εναέρια μέσα (αδυναμία ρίψεων νερού λόγω ακραίων ανέμων)· ισχυρές επίγειες δυνάμεις</t>
  </si>
  <si>
    <t>εμπρησμός (2 συλλήψεις)</t>
  </si>
  <si>
    <t>https://www.in.gr/2026/08/08/greece/pyrkagia-attikovoiotias-51-enaeria-mesa-den-mporousan-na-pragmatopoiisoun-ripseis-logo-anemon-eipe-o-tournas/ ; https://www.skai.gr/news/greece/voiotia-kai-attiki-kseperase-ta-100000-stremmata-i-kameni-ektasi ; https://www.tanea.gr/2026/08/04/greece/foties-stin-attikovoiotia-oi-kamenes-ektaseis-kseperasan-ta-126-000-stremmata/ ; https://www.in.gr/2026/08/08/greece/i-fotia-se-attiki-kai-voiotia-apeleytherose-energeia-isi-me-eksi-vomves-xirosima-111-732-stremmata-eginan-staxti-se-91-ores/ ; https://www.protothema.gr/greece/article/1860478/fotia-stin-attikovoiotia-kaikan-pano-apo-126000-stremmata-mehri-tin-kuriaki-deite-hartes/ ; https://en.parapolitika.gr/greece/267661/porto-germeno-wildfire-over-100-homes-destroyed-or-severely-damaged-support-applications-now-open/ ; https://el.wikipedia.org/wiki/%CE%A0%CF%85%CF%81%CE%BA%CE%B1%CE%B3%CE%B9%CE%AC_%CF%83%CF%84%CE%B7%CE%BD_%CE%91%CF%84%CF%84%CE%B9%CE%BA%CE%BF%CE%B2%CE%BF%CE%B9%CF%89%CF%84%CE%AF%CE%B1_(2026)</t>
  </si>
  <si>
    <t>Follow-up μέγα-πυρκαγιάς Αττικοβοιωτίας· &gt;120 κατοικίες κατεστράφηκαν· 126.000 στρ. ≈ 12.600 ha συνολικά καμένα· χαρακτηρίστηκε «megafire» από πυρομετεωρολόγο Γιάνναρο | Την 8/8/2026 τα 51 εναέρια μέσα δεν μπορούσαν να πραγματοποιήσουν ρίψεις λόγω ισχυρών ανέμων (δήλωση Τούρνα). | Έκτακτη φάση ολοκληρώθηκε πριν 2026-08-10 (αποζημιώσεις άνοιξαν 10/08)· &gt;100 κατοικίες κατεστραμμένες· 5 νεκροί για το ευρύτερο συμβάν· 2 συλλήψεις για εμπρησμό. | Wikipedia τεκμηριώνει έναρξη 31/7/2026 (Πόρτο Γερμενό) με οριοθέτηση ~4/8 και κατάσβεση 5/8· αιτία Wikipedia: σπινθηρισμός ιδιωτικού δικτύου ηλεκτροδότησης αιολικού πάρκου &amp; υποχώρηση κολώνας ΔΕΗ. Η εγγραφή 7/8 πιθανώς αφορά αναζωπύρωση που τεκμηριώνεται από in.gr/skai (8/8) με 51 εναέρια μέσα &amp; ~500 πυροσβέστες εν ενεργεία. Αιτία «εμπρησμός, 2 συλλήψεις» από πρωτογενείς πηγές διατηρείται ως κύρια τιμή. Τελική εκτίμηση Wikipedia: &gt;130.000 στρέμματα (&gt;13.000 ha).</t>
  </si>
  <si>
    <t>16:03</t>
  </si>
  <si>
    <t>17:58</t>
  </si>
  <si>
    <t>Αγία Μαρίνα Ηλείας</t>
  </si>
  <si>
    <t>https://www.nytimes.com/2026/08/06/world/europe/europe-war-wildfires-migration.html ; https://www.ertnews.gr/perifereiakoi-stathmoi/pirgos/ileia-xoris-energo-metopo-i-fotia-stin-agia-marina-epixeiroun-isxyres-pyrosvestikes-dynameis/ ; https://www.newsit.gr/ellada/fotia-stin-ileia-stin-perioxi-tis-agias-marinas-sikothikan-enaeria-mesa/4745482/ ; https://www.protothema.gr/greece/article/1861583/fotia-tora-stin-agia-marina-ileias-sikothikan-tria-aeroskafi/ ; https://www.patrisnews.com/synagermos-gia-pyrkagia-stin-voreia-ileia-konta-se-dasiki-ektasi-oi-floges/ ; https://www.newsbomb.gr/ellada/story/1754815/ileia-se-yfesi-i-fotia-stin-agia-marina-anekopi-ligo-prin-to-dasos</t>
  </si>
  <si>
    <t>16:03 EEST | Αγροτοδασική έκταση. Χαρακτηρίστηκε 'χωρίς ενεργό μέτωπο' στις 19:11. Ενεργοποιήθηκε Ανακριτική Υπηρεσία Εμπρησμών Ηλείας. | Χωρίς ενεργό μέτωπο. Κάηκε στάβλος και γεωργικές εκτάσεις. Η πυρκαγιά ανεκόπη λίγο πριν φτάσει σε δασική έκταση.</t>
  </si>
  <si>
    <t>Κολυμπάδα Σκύρου</t>
  </si>
  <si>
    <t>2 ομάδες ΕΜΟΔΕ 20ης Μ.Ε.Π.</t>
  </si>
  <si>
    <t>https://www.nytimes.com/2026/08/06/world/europe/europe-war-wildfires-migration.html ; https://www.newsit.gr/ellada/fotia-stin-skyro-stin-perioxi-kolympada-epixeiroun-4-aeroskafi/4745430/ ; https://www.voria.gr/article/megali-fotia-stin-skyro-molis-8-pyrosbestes-apo-edafoys-10-enaeria-sti-mahi-speydoyn ; https://www.liberal.gr/ellada/skyros-pyrkagia-stin-kolympada-epiheiroyn-enaeria-mesa</t>
  </si>
  <si>
    <t>15:20 EEST | 25 πυροσβέστες μεταφέρθηκαν ακτοπλοϊκώς από Κύμη. Μέτωπο κινείτο προς θάλασσα. Ενεργοποιήθηκε Ανακριτικό Κλιμάκιο Εύβοιας.</t>
  </si>
  <si>
    <t>2026-08-10</t>
  </si>
  <si>
    <t>14:02</t>
  </si>
  <si>
    <t>Αριόχωρι Καλαμάτας</t>
  </si>
  <si>
    <t>Καλαμάτα</t>
  </si>
  <si>
    <t>1 ομάδα ΕΜΟΔΕ 9ης Μ.Ε.Π.</t>
  </si>
  <si>
    <t>υδροφόρες Δήμου Καλαμάτας</t>
  </si>
  <si>
    <t>https://www.nytimes.com/2026/08/06/world/europe/europe-war-wildfires-migration.html ; https://www.newsit.gr/ellada/oriothetithike-i-fotia-stin-kalamata-stin-perioxi-arioxori/4745337/ ; https://www.thetoc.gr/koinwnia/article/purkagia-sto-arioxori-messinias-ripseis-apo-enaeria-mesa-gia-tin-katasbesi/</t>
  </si>
  <si>
    <t>14:02 EEST | Ενεργοποιήθηκε Ανακριτικό Κλιμάκιο Εμπρησμού Μεσσηνίας.</t>
  </si>
  <si>
    <t>13:26</t>
  </si>
  <si>
    <t>Μεγάλη Χώρα Αγρινίου</t>
  </si>
  <si>
    <t>δημοτικά βυτία νερού και μηχανήματα</t>
  </si>
  <si>
    <t>πιθανή ηλεκτροδότηση από στύλο ΔΕΗ (υπό διερεύνηση)</t>
  </si>
  <si>
    <t>https://www.nytimes.com/2026/08/06/world/europe/europe-war-wildfires-migration.html ; https://www.newsit.gr/ellada/oriothetithike-i-fotia-sto-agrinio-stin-perioxi-megali-xora/4745334/ ; https://www.protothema.gr/greece/article/1861512/fotia-sti-megali-hora-agriniou-sikothikan-duo-enaeria/ ; https://www.documentonews.gr/article/fotia-tora-sti-megali-chora-agriniou/ ; https://newpost.gr/eidiseis/pyrkagia-sto-agrinio-sti-machi-epigeies-kai-enaeries-dynameis/ ; https://www.agrinionews.gr/agrinio-20-stremmata-ekapse-i-fotia-sti-megali-chora-oi-protes-ektimiseis-gia-ta-aitia/ ; https://www.ertnews.gr/roi-idiseon/fotia-se-xamili-vlastisi-sto-agrinio-kinitopoiisi-apo-epigeies-kai-enaeries-pyrosvestikes-dynameis/</t>
  </si>
  <si>
    <t>13:26 EEST | Απείλησε καλλιέργειες και φωτοβολταϊκό πάρκο στην περιοχή. Ενεργοποιήθηκε Ανακριτικό Κλιμάκιο Αιτωλοακαρνανίας. | Ενισχύθηκαν οι επίγειες δυνάμεις από δημοτικές υδροφόρες και μηχανήματα (εκσκαφείς) δήμου. Η φωτιά απείλησε καλλιέργειες και φωτοβολταϊκό πάρκο στην περιοχή. Εκδήλωση πλησίον Υψηλής Παναγίας, σε δυσπρόσιτη χαμηλή βλάστηση. | Εκδηλώθηκε σε λιβάδι περιοχής Υψηλή Παναγιά· απειλήθηκαν καλλιέργειες και φωτοβολταϊκό πάρκο· οριοθέτηση επιβεβαιώθηκε από newsit.gr (~13:52)</t>
  </si>
  <si>
    <t>22:30</t>
  </si>
  <si>
    <t>2 ομάδες πεζοπόρων τμημάτων 10ης ΕΜΟΔΕ</t>
  </si>
  <si>
    <t>Οριοθετήθηκε (περ. 00:00 6/8)</t>
  </si>
  <si>
    <t>Υπό διερεύνηση</t>
  </si>
  <si>
    <t>https://www.newsit.gr/ellada/fotia-ston-volo-stin-perioxi-aivaliotika-amesi-kinitopoiisi-tis-pyrosvestikis/4744961/ ; https://www.cnn.gr/ellada/story/546750/fotia-sta-aivaliotika-volou-megali-kinitopoiisi-tis-pyrosvestikis ; https://www.reader.gr/ellada/fotia-tora-sta-aibaliotika-boloy-megali-kinitopoiisi-tis-pyrosbestikis/656724 ; https://www.enikos.gr/society/volos-perioristike-i-pyrkagia-sta-aivaliotika/2625083/</t>
  </si>
  <si>
    <t>Χαμηλή βλάστηση εντός αστικού ιστού Βόλου, πάνω από κέντρο διασκέδασης 'Αργώ', κοντά στο αρχαίο θέατρο. Ορατές φλόγες από όλη την πόλη. Οριοθετήθηκε τα μεσάνυχτα (περ. 06/8 00:00).</t>
  </si>
  <si>
    <t>Σάνταλο Καρπάθου</t>
  </si>
  <si>
    <t>Καρπάθου</t>
  </si>
  <si>
    <t>Δήμος Καρπάθου (υδροφόρες, μηχάνημα έργου)</t>
  </si>
  <si>
    <t>Υπό διερεύνηση (κινητοποίηση Ανακριτικού Κλιμακίου Εμπρησμού Εγκλημάτων)</t>
  </si>
  <si>
    <t>https://www.skai.gr/news/greece/pyrkagia-se-xamili-vlastisi-stin-perioxi-santalo-stin-karpatho ; https://www.in.gr/2026/08/05/greece/fotia-stin-karpatho-stin-perioxi-santalo/ ; https://www.enikos.gr/society/fotia-stin-karaptho-epiheirisi-tis-pyrosvestikis-stin-periohi-sandalo/2625085/ ; https://www.newsbeast.gr/greece/arthro/13278628/fotia-se-chamili-vlastisi-stin-karpatho-ischyri-kinitopoiisi-tis-pyrosvestikis</t>
  </si>
  <si>
    <t>Χαμηλή βλάστηση. Ανακριτικό Κλιμάκιο Αντιμετώπισης Εγκλημάτων Εμπρησμού κινητοποιήθηκε στο σημείο.</t>
  </si>
  <si>
    <t>2026-08-05</t>
  </si>
  <si>
    <t>13:08</t>
  </si>
  <si>
    <t>Νεοχώρι Οιχαλίας</t>
  </si>
  <si>
    <t>Οιχαλία</t>
  </si>
  <si>
    <t>1 ομάδα πεζοπόρων τμημάτων 9ης ΕΜΟΔΕ (Τρίπολη)</t>
  </si>
  <si>
    <t>https://www.newsbomb.gr/ellada/story/1754536/fotia-tora-sto-neoxori-messinias-epixeiroyn-enaeria-mesa ; https://www.ekklisiaonline.gr/nea/fotia-tora-sto-neochori-messinias-epichiroun-4-aeroskafi/ ; https://www.tanea.gr/2026/08/05/greece/fotia-tora-sti-messinia-se-agrotodasiki-ektasi-sto-neoxori/ ; https://www.tovima.gr/2026/08/05/society/fotia-tora-sto-neoxori-messinias-sikothikan-enaeria-mesa/ ; https://ifn.gr/2026/08/05/%CF%80%CF%85%CF%81%CE%BA%CE%B1%CE%B3%CE%B9%CE%AC-%CF%83%CF%84%CE%BF%CE%BD-%CE%B4%CE%AE%CE%BC%CE%BF-%CE%BF%CE%B9%CF%87%CE%B1%CE%BB%CE%AF%CE%B1%CF%82-%CE%BC%CE%B5%CF%83%CF%83%CE%B7%CE%BD%CE%AF%CE%B1/ ; https://www.mesogeiostv.gr/fotia-sto-neochori-messinias-amesi-katasvesi/</t>
  </si>
  <si>
    <t>Αγροτοδασική έκταση. 2η πυρκαγιά στην ίδια περιοχή σε 6 ημέρες. Επίγειες δυνάμεις από Καλαμάτα, Μεγαλόπολη, Μελιγαλά. 4 εναέρια μέσα (αεροσκάφη) επιχειρούν.</t>
  </si>
  <si>
    <t>Δυτική Αττική - Ψάθα - Λούμπα</t>
  </si>
  <si>
    <t>Αττική / Βοιωτία</t>
  </si>
  <si>
    <t>δασοκομάντος, πεζοπόρα τμήματα, εθελοντές Π.Π.</t>
  </si>
  <si>
    <t>Περιφέρεια Αττικής, Περιφέρεια Στερεάς Ελλάδας</t>
  </si>
  <si>
    <t>εμπρησμός (υποψία – ποινική αγωγή από Περιφέρεια Αττικής για συμβάν 31/7/2026 στη Βοιωτία)</t>
  </si>
  <si>
    <t>Διαδοχικά 112 για εκκένωση: Ψάθα (31 Ιουλ-1 Αυγ), Πόρτο Γερμενό (1 Αυγ), Κανδύλι - Αγία Σκέπη - βιομηχανική ζώνη Μεγάρων (2-3 Αυγ) · alerts ακόμη ενεργά την 5η Αυγ</t>
  </si>
  <si>
    <t>https://www.megatv.com/2026/08/05/foties-paleyoun-me-esties-kai-anazopyroseis-oi-pyrosvestikes-dynameis-ta-energa-metopa ; https://www.ot.gr/2026/08/05/epikairothta/koinonia/fotia-sti-dytiki-attiki-synexizetai-gia-6i-mera-i-maxi-tis-katasvesis-staxti-144-243-stremmata/ ; https://www.enikos.gr/society/fotia-sti-dytiki-attiki-ston-megisto-vathmo-i-epifylaki-gia-anazopyroseis-gia-6i-imera-fovoi-gia-ta-kantilakia/2624688/ ; https://www.in.gr/2026/08/05/greece/fotia-sti-dytiki-attiki-synexizetai-gia-6i-mera-i-maxi-tis-katasvesis-krisimes-oi-epomenes-ores/ ; https://www.thetoc.gr/koinwnia/article/fotia-sti-dutiki-attiki-gia-5i-imera-sti-maxi-me-tis-anazopuroseis--sti-loumpa-oi-dunameis-o-megalos-antipalos-einai-to-mesimeri/ ; https://civilprotection.gov.gr/arxeio-imerision-xartwn/imerisios-hartis-problepsis-kindynoy-pyrkagias-gia-05082026 ; https://www.patrisnews.com/fotia-sti-dytiki-attiki-choris-energo-metopo-stin-psatha-machi-me-tis-anazopyroseis-se-144-243-kamena-stremmata/ ; https://www.newsit.gr/ellada/fotia-sti-dytiki-attiki-fovoi-gia-anazopyroseis-kai-eikones-apolytis-katastrofis-pano-apo-144-000-kamena-stremmata/4744500/ ; https://www.ethnos.gr/greece/article/416708/fotiasthdytikhattikhekthmerasynagermoyanhsyxiagiatakanthlakiapanoapo144000stremmatastaxth</t>
  </si>
  <si>
    <t>Ξεκίνησε 31/7/2026 από Ξηρονόμη Βοιωτίας / Πόρτο Γερμενό. Copernicus (εικόνα 4 Αυγ): 144.243 στρ. = 14.424,3 ha (30.966 στρ. Βοιωτία + 113.277 στρ. Αττική). Κυβ. εκτίμηση: ~111.000 στρ. (11.100 ha). 100+ σπίτια κατεστραμμένα Πόρτο Γερμενό. Ενεργά μέτωπα 5/8: Ψάθα-Λούμπα, Κανδήλι Μεγάρων, Αγία Παρασκευή-Άγιος Νεκτάριος. 4 ελικόπτερα από χαράματα. Σώθηκε βοσκός και γιος του στη Λούμπα. | Χωρίς ενεργό μέτωπο στην Ψάθα από ~6/8/2026· συνεχιζόμενες αναζωπυρώσεις σε 144.243 καμένα στρέμματα (14.424,3 ha). | Χωρίς ενεργό μέτωπο στην Ψάθα μετά την 6η ημέρα μάχης· 144.243 στρέμματα (14.424 ha) επιβεβαιωμένα καμένα· μάχη με αναζωπυρώσεις πριν οριοθέτηση· Περιφέρεια Αττικής άσκησε ποινική αγωγή (εμπρησμός).</t>
  </si>
  <si>
    <t>Σκάλωμα Φωκίδας</t>
  </si>
  <si>
    <t>υδροφόρες &amp; μηχανήματα Δήμου Δωρίδος</t>
  </si>
  <si>
    <t>Ενεργή (4/8/2026) — πιθανώς 2η εκ των 2 πυρκαγιών σε εξέλιξη κατά ΔΤ 6242β</t>
  </si>
  <si>
    <t>Υπό έρευνα (Ανακριτικό Κλιμάκιο Εμπρησμού)</t>
  </si>
  <si>
    <t>1/8 14:20 ενημέρωση κατοίκων· 1/8 14:28 εκκένωση Κλήματος, Πηγής, Κούκουρας, Νέας Κούκουρας → Πευκάκι &amp; Ευπάλιο· 1/8 16:00 εκκένωση Μαγούλας → Μοναστηράκι· 1/8 17:00 απομάκρυνση Πευκακίου &amp; Ευπαλίου → Ναύπακτος</t>
  </si>
  <si>
    <t>https://www.libre.gr/2026/08/04/fokida-sygklonistiko-vinteo-me-eikon/ ; https://www.naftemporiki.gr/society/2145572/fokida-fotia-tora-se-dasiki-ektasi-stin-periochi-skaloma-sikothikan-enaeria-mesa/ ; https://www.antenna.gr/Society/article/4/1003015/pyrkagia-sto-skaloma-fokidas-enisxythikan-oi-dynameis-tis-pyrosbestikis-ypiresias ; https://www.newsit.gr/ellada/fotia-sto-skaloma-fokidas-allepallila-minymata-tou-112-gia-ekkenoseis-apomakryntheite-pros-naypakto/4741922/ ; https://www.thepresident.gr/2026/08/01/se-exelixi-pyrkagia-skaloma-fokidas-minyma-112-ekkenosi/ ; https://www.firefightingreece.gr/2026/08/01/pyrkagia-se-agrotodasiki-ektasi-sto-skaloma-fokidas/ ; https://www.lifo.gr/now/greece/fokida-enishythikan-oi-dynameis-sti-fotia-sto-skaloma-ekkenonontai-tesseris-periohes</t>
  </si>
  <si>
    <t>Φλόγες εισήλθαν στο χωριό Πηγή. Ζημιές σε κατοικίες, οχήματα, στάβλους, ελαιώνες. ΕΣΚΕΔΙΚ drone θερμικής &amp; οπτικής. Δυνάμεις 6ης ΕΜΟΔΕ. Αρχικά 28 πυρ/στες+7 α/φη+2 ελ/ρα, ενισχύθηκαν σε 64+8+3.</t>
  </si>
  <si>
    <t>2026-08-04</t>
  </si>
  <si>
    <t>Φλόκα</t>
  </si>
  <si>
    <t>Δυτικής Αχαΐας</t>
  </si>
  <si>
    <t>εμπρησμός (υπό διερεύνηση — κτηνοτρόφος στο μικροσκόπιο)</t>
  </si>
  <si>
    <t>Εκκένωση Φλόκας → Κοινότητα Άρλα· νέο 112 (1/8) για απομάκρυνση προς αποφυγή επέκτασης προς Πάτρα</t>
  </si>
  <si>
    <t>https://www.in.gr/2026/07/31/greece/axaia-megali-pyrkagia-se-dasiki-ektasi-stin-perioxi-floka-minyma-apo-to-112/ ; https://athina984.gr/2026/07/31/dasiki-pyrkagia-stin-acha-a-minyma-toy-112-gia-apomakrynsi-katoikon-apo-ton-floka/ ; https://www.megatv.com/2026/07/31/pyrini-kolasi-se-voiotia-axaia-mparaz-tou-112-gia-ekkenoseis-perioxon/ ; https://gulfnews.com/amp/story/world%2Feurope%2Fcatastrophe-is-very-big-greece-battles-wildfire-outside-patras-1.500231838 ; https://greekcitytimes.com/2026/08/03/copernicus-activated-to-map-wildfire-damage-in-achaia/ ; https://www.newsbomb.gr/ellada/story/1754036/axaia-emprismoys-vlepei-i-pyrosvestiki-se-floka-kai-aigialeia-sto-mikroskopio-ktinotrofos ; https://pelop.gr/dytiki-achaia-epta-ktismata-me-zimies-apo-ti-fotia-sto-floka-ston-dromo-oi-apozimioseis/ ; https://www.ertnews.gr/eidiseis/fotia-sti-floka-axaias-ekkenothike-xorio-dyo-energa-metopa-kai-maxi-me-tous-isxyrous-anemous/</t>
  </si>
  <si>
    <t>Δυνάμεις παρέμεναν σε ετοιμότητα αναζωπύρωσης. Copernicus EMS ενεργοποιήθηκε 3/8 για χαρτογράφηση Αχαΐας. 113 συνολικές πυρκαγιές Αχαΐας 2026 (εκ των οποίων 54 Δυτ. Αχαΐα). | Ζημιές σε 7 κτίσματα (2 κατοικίες, 5 αποθήκες). Πυροσβεστική ΑΚΑΕ: σαφείς ενδείξεις εμπρησμού. Η πυρκαγιά συνεχίζεται από 31/7. | Εκτίμηση ΔΑΕΦΚ: 7 κτίσματα με ζημιές (2 οικίες + 5 αποθήκες/αγροτικά κτίσματα). Εκκενώθηκε τοπικός οικισμός (112). Κατά την εξέλιξη αναπτύχθηκαν δύο ενεργά μέτωπα υπό ισχυρούς ανέμους. Αρχή αποζημίωσης (ΕΛΓΑ) σε εξέλιξη.</t>
  </si>
  <si>
    <t>Νεραντζιές Αιγιάλειας</t>
  </si>
  <si>
    <t>Αιγιάλειας</t>
  </si>
  <si>
    <t>εμπρησμός (υπό διερεύνηση — σαφείς ενδείξεις εμπρησμού σύμφωνα με Πυροσβεστική)</t>
  </si>
  <si>
    <t>Ετοιμότητα κατοίκων Νεραντζιών &amp; Πανοράματος· εκκένωση Αρραβωνίτσας, Συνανιάς, Αγίων Θεοδώρων, Λιδορικίου (Φωκίδα)</t>
  </si>
  <si>
    <t>https://www.megatv.com/2026/07/31/pyrini-kolasi-se-voiotia-axaia-mparaz-tou-112-gia-ekkenoseis-perioxon/ ; https://www.skai.gr/news/greece/i-xora-se-pyrino-kloio-maxi-me-tis-floges-se-pollapla-metopa ; https://www.thebest.gr/article/840331-aigialeia-o-chartis-tis-katastrofis-pano-apo-7-000-stremmata-sta-apokaidia ; https://www.newsbomb.gr/ellada/story/1754036/axaia-emprismoys-vlepei-i-pyrosvestiki-se-floka-kai-aigialeia-sto-mikroskopio-ktinotrofos ; https://www.patrasevents.gr/article/753734-egialeia-se-ekseliksi-oi-diadikasies-katagrafis-ke-apokatastasis-ton-zimion-apo-tin-pirkagia</t>
  </si>
  <si>
    <t>Εκκένωση Λιδορικίου (Φωκίδα) υποδηλώνει επέκταση πέραν συνόρων νομού Αχαΐας. | Φωτιά εκδηλώθηκε 31/7 στις περιοχές Νεραντζιές και Πανόραμα Αιγιαλείας· η καμένη έκταση 7.264 στρ. (726,4 ha) αφορά το σύνολο της πυρκαγιάς. Κάηκε 1 σπίτι. Εκκενώθηκαν προληπτικά Αρραβανίτσα και Νέο Ερινεό.</t>
  </si>
  <si>
    <t>Πόρτο Γερμενό – Δυτική Αττική / Βοιωτία</t>
  </si>
  <si>
    <t>Αττικής / Βοιωτίας</t>
  </si>
  <si>
    <t>Μάνδρας-Ειδυλλίας / Αλιάρτου-Θεσπιέων</t>
  </si>
  <si>
    <t>Ενεργή (5η ημέρα, 4/8/2026) — 1 εκ των 2 πυρκαγιών σε εξέλιξη κατά ΔΤ 6242β</t>
  </si>
  <si>
    <t>Βραχυκύκλωμα σε γραμμή μέσης τάσης αιολικού πάρκου (Βοιωτία)</t>
  </si>
  <si>
    <t>2/8 ~23:00 εκκένωση: Λούμπα, Άνω Αλεποχώρι, Μορφέικα, Στάνες Μόρφα· 3/8 17:11 εκκένωση: Ψάθα → Μέγαρα</t>
  </si>
  <si>
    <t>https://www.fireservice.gr/en_US/-/enemerose-gia-tis-agrotodasikes-pyrkagies-tou-teleutaiou-24orou-apo-o-18-00-03-08-2026-eos-o-18-00-04-08-2026 ; https://www.firefightingreece.gr/2026/08/04/pyrosvestiki-28-agrotodasikes-pyrkagies-to-teleftaio-24oro-10/ ; https://www.cnn.gr/ellada/story/546595/pyrosvestiki-28-agrotodasikes-pyrkagies-se-ena-24oro-oi-dyo-paramenoun-se-ekseliksi ; https://www.megatv.com/2026/08/04/enaeria-epigeia-maxi-me-ti-fotia-sti-dytiki-attiki-agonia-gia-tis-anazopyroseis ; https://abcnews.com/International/wireStory/firefighters-scramble-fires-athens-winds-high-temperatures-return-135347904 ; https://www.ertnews.gr/eidiseis/pyrkagia-attikovoiotias-to-55-tis-kamenis-ektasis-kaike-mesa-sti-nyxta-apeleytherose-energeia-toulaxiston-380-tj/ ; https://www.euronews.com/my-europe/2026/08/04/greek-firefighters-hope-to-contain-blaze-near-athens-as-easing-winds-enable-use-of-waterbo ; https://eu-space.europa.eu/components/earth-observation-copernicus/image-of-the-day/wildfires-burn-more-10000-hectares-greece ; https://greekcitytimes.com/2026/08/03/copernicus-activated-to-map-wildfire-damage-in-achaia/ ; https://www.fireservice.gr/el_GR/-/enemerose-gia-ten-epicheiresiake-etoimoteta-tou-pyrosbestikou-somatos-symphona-me-ton-deikte-problepses-kindynou-pyrkagias-stis-04-08-2026 ; https://www.newsit.gr/ellada/foties-se-dytiki-attiki-kai-voiotia-staxti-pano-apo-130-000-stremmata-gis-se-porto-germeno-kai-ksironomi/4743605/ ; https://www.paron.gr/pyrkagies-se-voiotia-kai-porto-germeno-pano-apo-66-000-stremmata-stachti-prokatarktiki-ektimisi-meteo/ ; https://www.tovima.gr/2026/08/03/society/fotia-sti-dytiki-attiki-staxti-to-porto-germeno-kamena-pano-apo-100-spitia/</t>
  </si>
  <si>
    <t>Ξεκίνησε 31/7 από αιολικό πάρκο Βοιωτίας. Copernicus: 134.585 στρ (103.619 Αττική/Βοιωτία/ΠΓ + 30.966 Χειρονόμη Βοιωτίας). Συλλήψεις 4/8: Δήμαρχος Στυλίδας Γ. Αποστόλου + εργολάβος κατασκευάστριας εταιρείας ηλεκτρ. δικτύου (4 κακουργ. + 1 πλημμ.). Τρίτος (ιδιοκτ. αιολικού) κρατείται έως 7/8. Σύγκρουση 2 ελικοπτέρων Ψάθα 2/8: 2 νεκροί. Πυρ. Σώμα Γεν. Επιφυλακή 4/8. Επίπεδο κινδύνου 4 (ΠΟΛΥ ΥΨΗΛΗ) για Αττική, Εύβοια, Χίο (ΔΤ 6242, 13:34 4/8). Τελική κατάσβεση περί 7/8 (≥7 ημέρες). Ειδικά αριθμητικά στοιχεία δυνάμεων 4/8 δεν επαληθεύτηκαν από πρωτογενείς πηγές. | Ανάλυση δορυφορικών εικόνων (δορ. Λεγεών, μεσημέρι 3/8/2026, Εθνικό Αστεροσκοπείο/meteo.gr): ~102.000 στρ. στο Πόρτο Γερμενό + ~30.900 στρ. στη Ξηρονομή Βοιωτίας = ~132.900 στρ. συνολικά (~13.290 ha) — συνεπές με fireservice.gr τιμή 13.458,5 ha. Αναζωπύρωση εντοπίστηκε απόγευμα 3/8 προς Ψάθα. Κατεστράφησαν 100+ οικίες, ζώα και οχήματα· αναφέρθηκε ολοκαύτωμα πυροσβεστικού οχήματος. Πυρκαγιά εκκίνησε από Καλαμαράκι Βοιωτίας (31/7).</t>
  </si>
  <si>
    <t>17:53</t>
  </si>
  <si>
    <t>Λαμπεία Ηλείας</t>
  </si>
  <si>
    <t>Αρχαία Ολυμπία</t>
  </si>
  <si>
    <t>3 ομάδες πεζοπόρων (18η και 9η ΕΜΟΔΕ)</t>
  </si>
  <si>
    <t>εκκίνηση από παλαιά χωματερή (εκτίμηση πηγών)</t>
  </si>
  <si>
    <t>https://www.cnbc.com/2026/08/03/greece-wildfire-pictures-winds-heatwave.html ; https://www.theguardian.com/world/gallery/2026/aug/03/greece-battles-wildfires-in-pictures ; https://www.lifo.gr/now/greece/fotia-se-dasiki-ektasi-sti-lampeia-stin-arhaia-olympia-epiheiroyn-77-pyrosbestes-kai ; https://www.notospress.gr/peloponnisos/story/131126/arxaia-olympia-oriothetithike-i-fotia-sti-lampeia-video ; https://www.cnn.gr/ellada/story/546446/fotia-se-dasiki-ektasi-sti-lampeia-ileias-sikothikan-epta-aeroskafi ; https://www.patrisnews.com/veltiomeni-i-eikona-sta-dyo-metopa-tis-ileias/ ; https://www.pontosnews.gr/856062/ellada/ileia-megali-kinitopoiisi-gia-dasiki-pyrkagia-sti-lampeia-sti/</t>
  </si>
  <si>
    <t>Δήμος Αρχαίας Ολυμπίας· 17:53 EEST | Οριοθέτηση ~18:00 (εκτίμηση: 4/8) βάσει πηγών — δεν αναφέρεται καμένη έκταση σε ha</t>
  </si>
  <si>
    <t>15:43</t>
  </si>
  <si>
    <t>Πλωμάρι Λέσβου</t>
  </si>
  <si>
    <t>Δυτική Λέσβος</t>
  </si>
  <si>
    <t>ενεργή</t>
  </si>
  <si>
    <t>https://www.cnbc.com/2026/08/03/greece-wildfire-pictures-winds-heatwave.html</t>
  </si>
  <si>
    <t>Ταυτόχρονα με πυρκαγιές σε Ασώματα Κρήτης και Πρέβελι Ρεθύμνου</t>
  </si>
  <si>
    <t>23:21</t>
  </si>
  <si>
    <t>Παστρά</t>
  </si>
  <si>
    <t>Δήμος Κεφαλονιάς</t>
  </si>
  <si>
    <t>3 ομάδες 19ης ΕΜΟΔΕ</t>
  </si>
  <si>
    <t>Υδροφόρες και δυνάμεις ΟΤΑ</t>
  </si>
  <si>
    <t>Εμπρησμός με πρόθεση – σύλληψη 44χρονου (υπότροπος)</t>
  </si>
  <si>
    <t>Μήνυμα 112 ετοιμότητας/απομάκρυνσης για Κάτω Κατελειό και ευρύτερη περιοχή (Κρεμμύδι, Μαρκόπουλο, Άνω Κατελειό, Μαυράτα)</t>
  </si>
  <si>
    <t>https://www.megatv.com/2026/08/02/pyrinos-efialtis-stin-kefalonia-mparaz-minymaton-apo-to-112-ekkenoseis-kai-agonia ; https://www.euronews.com/my-europe/2026/08/02/europes-wildfires-update-greece-still-battling-outbreaks-in-spain ; https://www.naftemporiki.gr/society/2146115/kefalonia-choris-energo-metopo-i-pyrkagia-stin-pastra/ ; https://www.fireservice.gr/en_US/-/enemerose-gia-tis-agrotodasikes-pyrkagies-tou-teleutaiou-24orou-apo-o-18-00-01-08-2026-eos-o-18-00-02-08-2026 ; https://www.enikos.gr/society/kefalonia-choris-energo-metopo-i-fotia-stin-periochi-pastra/2623845/ ; https://www.flash.gr/kefalonia-se-yfesi-i-fotia-stin-pastra-synechizetai-i-machi-ton-pyrosveston-choris-energo-metopo-1075233</t>
  </si>
  <si>
    <t>Εκδηλώθηκε 23:21/1-8 στην Παστρά. Ενεργή καθ' όλη τη 2/8. Απειλή κατοικιών και ξενοδοχείων Κάτω Κατελειό. Σύλληψη 44χρονου για εμπρησμό (είχε καταδικαστεί για παρόμοια υπόθεση). Στις 11:23/3-8 χωρίς ενεργό μέτωπο (Ναυτεμπορική). &gt;6.000 στρέμματα (600 ha) καμένα. | Χωρίς ενεργό μέτωπο από 3/8· διαβροχές σε καπνίζοντα σημεία συνεχίζονταν. ~300 κάτοικοι εκκενώθηκαν. 18 στύλοι ΔΕΗ κάηκαν (εκτεταμένες διακοπές ρεύματος).</t>
  </si>
  <si>
    <t>Σκάλωμα</t>
  </si>
  <si>
    <t>Δήμος Δωρίδος</t>
  </si>
  <si>
    <t>Υδροφόρες και μηχάνημα έργου Δήμου Δωρίδος</t>
  </si>
  <si>
    <t>Ενεργή (2/8 – εκκένωση 3–4 χωριών)</t>
  </si>
  <si>
    <t>Υπό διερεύνηση από Κλιμάκιο Αντιμετώπισης Εγκλημάτων Εμπρησμού</t>
  </si>
  <si>
    <t>14:28/1-8 εκκένωση Κλήμα, Πηγή, Κούκουρα, Νέα Κούκουρα → Πευκάκι &amp; Ευπάλειο</t>
  </si>
  <si>
    <t>https://www.news.gr/ellada/article/4189578/fotia-stin-fokida-ekkenononte-tria-choria-kaliteri-i-ikona-sto-rethimno.html ; https://www.madata.gr/epikairotita/social/971797-pyrina-metopa-se-fokida-amfilochia-kai-lamia-mhnyma-apo-to-112-kai-ekkenoseis-oikismon.html ; https://www.tanea.gr/2026/08/01/greece/fotia-sti-fokida-enisxythikan-oi-dynameis-pyrosvesis-ekkenoseis-oikismon-meso-112/ ; https://www.ertnews.gr/roi-idiseon/fotia-se-xamili-vlastisi-sto-agrinio-kinitopoiisi-apo-epigeies-kai-enaeries-pyrosvestikes-dynameis/</t>
  </si>
  <si>
    <t>Εκδηλώθηκε ~14:00/1-8 σε δασική έκταση Σκάλωμα. Ενεργή 2/8 (news.gr: εκκενώνονται χωριά). Πιθανώς συνδεδεμένη με αναφορά Scout «ανατολικά Ναυπάκτου, Αιτωλοακαρνανία» – γεωγραφικά συνορεύοντα. Εκκενώθηκαν τουλάχιστον 4 οικισμοί κατά τη διάρκεια επιχείρησης.</t>
  </si>
  <si>
    <t>2026-08-02</t>
  </si>
  <si>
    <t>12:40</t>
  </si>
  <si>
    <t>Νότιο Ρέθυμνο – Κρυά Βρύση</t>
  </si>
  <si>
    <t>Δ.Κ. Λαμπής – Φοίνικα, Δήμος Αγίου Βασιλείου</t>
  </si>
  <si>
    <t>Εξ αμελείας εμπρησμός – ποινική δίωξη υπαλλήλου ΔΕΔΔΗΕ</t>
  </si>
  <si>
    <t>https://www.lykavitos.gr/news/greece/rethymno-se-yfesi-i-megali-fotia-staxti-45000-stremmata-synexizetai-i-maxi-me-tis-anazop ; https://www.protothema.gr/greece/article/1857975/mahi-me-polla-purina-metopa-sto-rethumno-elafros-kaluteri-i-eikona-se-siteia-kai-plomari/ ; https://www.euronews.com/my-europe/2026/08/02/europes-wildfires-update-greece-still-battling-outbreaks-in-spain ; https://www.skaikritis.gr/pyrkagies-sto-notio-rethymno-ti-ischyei-gia-tis-pligeises-epicheiriseis/</t>
  </si>
  <si>
    <t>Εκδηλώθηκε 12:40/1-8 στο νότιο Ρέθυμνο. Κάηκαν ~45.000 στρ. (4.500 ha) εκτός φοινικοδάσους Πρέβελι. 2 πυροσβέστες νεκροί στη Κρυά Βρύση. Άνεμοι 7–8 Μποφόρ – αεροπορικές επιχειρήσεις ανεστάλησαν. Εισαγγελική έρευνα Ρεθύμνου κατά υπαλλήλου ΔΕΔΔΗΕ. Σε ύφεση 2/8 πρωί, εστίες Πρέβελι ενεργές 3/8 (Scout). | Κύριο μέτωπο 29/7–1/8. Εναπομείνασες εστίες Πρέβελι/Ασώματα κατεσβέσθησαν εντός 3/8. Κατεστράφησαν κυρίως ελαιώνες και χαμηλή βλάστηση. Η κατεγραφείσα έκταση 4.500 ha επιβεβαιώνεται από πηγές (45.000 στρέμματα).</t>
  </si>
  <si>
    <t>04:00</t>
  </si>
  <si>
    <t>Δήμος Δυτικής Αχαΐας</t>
  </si>
  <si>
    <t>2 υδροφόρες, 2 μηχανήματα έργου (Πολιτική Προστασία Π.Ε. Αχαΐας)</t>
  </si>
  <si>
    <t>εμπρησμός (υπό διερεύνηση)</t>
  </si>
  <si>
    <t>Εκκένωση οικισμού Φλόκα μέσω 112</t>
  </si>
  <si>
    <t>https://www.ertnews.gr/eidiseis/fotia-sti-floka-axaias-ekkenothike-xorio-dyo-energa-metopa-kai-maxi-me-tous-isxyrous-anemous/ ; https://www.documentonews.gr/article/machi-me-anazopyroseis-kai-thyellodeis-anemous-fotia-stin-achaia-112-ekkenosi-tis-flokas-mainetai-i-pyrkagia-sto-rethymno/ ; https://www.protothema.gr/greece/article/1857975/mahi-me-polla-purina-metopa-sto-rethumno-elafros-kaluteri-i-eikona-se-siteia-kai-plomari/ ; https://athina984.gr/2026/07/31/dasiki-pyrkagia-stin-acha-a-minyma-toy-112-gia-apomakrynsi-katoikon-apo-ton-floka/ ; https://www.newsbomb.gr/ellada/story/1754036/axaia-emprismoys-vlepei-i-pyrosvestiki-se-floka-kai-aigialeia-sto-mikroskopio-ktinotrofos ; https://pelop.gr/dytiki-achaia-epta-ktismata-me-zimies-apo-ti-fotia-sto-floka-ston-dromo-oi-apozimioseis/</t>
  </si>
  <si>
    <t>Εκδηλώθηκε ~04:00/31-7 (ξημερώματα Παρασκευής). Δύο ενεργά μέτωπα 2/8: ένα προς χωματερή Φλόκας, ένα προς Πηγάδια. Αεροπορικά: 4 καναντέρ + 3 ελικόπτερα. Κάτοικοι εγκατέλειψαν τα σπίτια νύχτα, ιδιαίτερη μέριμνα σε ηλικιωμένους. Σε ύφεση πρωί 2/8 κατά Πυροσβεστική.</t>
  </si>
  <si>
    <t>Πόρτο Γερμενό – Ψάθα – Μέγαρα</t>
  </si>
  <si>
    <t>Δήμος Μεγαρέων, Δήμος Αλιάρτου-Θεσπιέων</t>
  </si>
  <si>
    <t>22 ομάδες πεζοπόρων</t>
  </si>
  <si>
    <t>Ευρωπαϊκές δυνάμεις (Γαλλία, Ρουμανία)</t>
  </si>
  <si>
    <t>Ταλάντωση αγωγών ιδιωτικού δικτύου ηλεκτροδότησης ανεμογεννητριών (σπινθηρισμός)</t>
  </si>
  <si>
    <t>23:15/1-8 εκκένωση Λούμπα, Άνω Αλεποχώρι, Μορφέικα → Μέγαρα · 03:34/2-8 εκκένωση Αγία Σκέπη, Κανδήλι, Μπότσικα → Νέα Πέραμα · Πρωί 2-8 Βιομηχανική Μεγάρων, Τουτούλη, Νέα Δάφνη · Εκκένωση Ψάθας · Εκκένωση Λούμπα–Άνω Αλεποχώρι–Μορφέικα–Στάνες Μόρφα (βράδυ 2-8)</t>
  </si>
  <si>
    <t>https://www.zougla.gr/greece/oi-floges-ezosan-ta-megara/ ; https://www.ethnos.gr/greece/article/416513/anexelegkthhmegalhpyrkagiasthdytikhattikh112giaekkenosh4perioxondramatikesores ; https://www.enikos.gr/society/live-pyrinos-efialtis-se-fokida-kai-voiotia-mainontai-ta-metopa-se-veniza-kai-psatha-nea-fotia-stin-kefalonia-sti-machi-ta-enaeria-mesa/2623309/ ; https://www.euronews.com/my-europe/2026/08/02/europes-wildfires-update-greece-still-battling-outbreaks-in-spain ; https://www.aljazeera.com/news/2026/8/2/firefighting-helicopters-collide-near-athens-as-greece-battles-wildfires ; https://www.cnbc.com/2026/08/02/two-die-as-firefighting-helicopters-collide-in-greece.html ; https://www.fireservice.gr/en_US/-/enemerose-gia-tis-agrotodasikes-pyrkagies-tou-teleutaiou-24orou-apo-o-18-00-01-08-2026-eos-o-18-00-02-08-2026 ; https://www.theguardian.com/world/2026/aug/02/western-europe-wildfire-crisis-retreats-greece-evacuates-hundreds-athens ; https://el.wikipedia.org/wiki/%CE%94%CE%B1%CF%83%CE%B9%CE%BA%CE%AD%CF%82_%CF%80%CF%85%CF%81%CE%BA%CE%B1%CE%B3%CE%B9%CE%AD%CF%82_%CF%83%CF%84%CE%B7%CE%BD_%CE%95%CE%BB%CE%BB%CE%AC%CE%B4%CE%B1_%CF%84%CE%BF_2026 ; https://www.megatv.com/2026/08/03/fotia-sto-porto-germeno-staxti-kai-apokaidia-dekades-xiliades-stremmata-dasous-periousies-paradothikan-stin-pyrini-kolasi ; https://www.dealnews.gr/ellada/1173124/stachti-kai-apokaidia-se-porto-germeno-kai-psatha-i-epomeni-mera-meta-ti-megali-pyrkagia/</t>
  </si>
  <si>
    <t>Ξεκίνησε 31/7 στη Νότια Βοιωτία (Αγ. Βασίλειος/Καλαμάκι), εξαπλώθηκε στη Δυτική Αττική. Στις 2/8 έκαψε ~30.900 στρ. (3.090 ha) στη Βοιωτία και ~80.800 στρ. (8.080 ha) στο Πόρτο Γερμενό, σύνολο ~111.000 στρ. Σύγκρουση 2 Bell ελικοπτέρων ~340 μ. ύψος κοντά στην Ψάθα: 2 νεκροί (Έλληνας &amp; Δανός), 2 τραυματίες (Βρετανός &amp; Έλληνας). &gt;100 σπίτια κάηκαν. Αεροπορικά: 8 Erickson + 2 Chinook ελικόπτερα, 2 Canadair CL-415. Ενεργή και 3/8 με εξασθένιση ανέμων. Επίσης active στρατιωτικό πεδίο βολής με ανεκπυρσοκρότητα. Επίσημο δελτίο Π.Σ.: 38 αγροτοδασικές το 24ωρο 1-2/8 (ΔΤ 6240c). | Κορύφωση πυρκαγιάς 1-3/8. Ισχυροί ριπαίοι άνεμοι ανάκοψαν εναέρια επεμβάση κατά τη διάρκεια. &gt;200 κατοικίες καταστράφηκαν. ~1.500 κάτοικοι εκκενώθηκαν. Ακριβής ώρα ελέγχου δεν εντοπίστηκε σε διαθέσιμες πηγές.</t>
  </si>
  <si>
    <t>23:50</t>
  </si>
  <si>
    <t>Παστράς Κεφαλονιάς</t>
  </si>
  <si>
    <t>Σάμη</t>
  </si>
  <si>
    <t>3 ομάδες πεζοπόρων 19ης ΕΜΟΔΕ + εθελοντές</t>
  </si>
  <si>
    <t>εμπρησμός (σύλληψη 44χρονου)</t>
  </si>
  <si>
    <t>https://www.naftemporiki.gr/society/2146115/kefalonia-choris-energo-metopo-i-pyrkagia-stin-pastra/ ; https://www.thetoc.gr/koinwnia/article/fotia-stin-kefalonia-olonuxtia-maxi-me-tis-floges-stin-pastra---ixise-to-112-gia-ekkenoseis/ ; https://www.protothema.gr/greece/article/1859286/fotia-stin-pastra-kefalonias-minuma-112-kai-megali-kinitopoiisi-tis-purosvestikis/ ; https://www.flash.gr/kefalonia-se-yfesi-i-fotia-stin-pastra-synechizetai-i-machi-ton-pyrosveston-choris-energo-metopo-1075233 ; https://www.larissapress.gr/2026/08/02/kefalonia-se-exelixi-i-megali-fotia-stin-periochi-pastra/</t>
  </si>
  <si>
    <t>Έναρξη λίγο πριν μεσάνυχτα 1/8· χωρίς ενεργό μέτωπο 3/8 11:23 EEST | Καμένη έκταση &gt;6.000 στρέμματα (≥600 ha) — ενδεχομένως μεγαλύτερη. 112 για εκκένωση Κρεμμυδίου, Μαρκόπουλου, Κατελειού, Κάτω Κατελειού, Χιονάτας, Θηράμονα, Μαυράτων. Μηχανήματα έργου για αντιπυρικές ζώνες.</t>
  </si>
  <si>
    <t>Δωρίδα</t>
  </si>
  <si>
    <t>1/8 ~14:30 EEST: εκκένωση Κλήμας, Πηγής, Κουκούρας, Νέας Κουκούρας → Πευκάκι/Ευπάλιο· εκκένωση Πευκακίου/Ευπαλίου → Ναύπακτο· εκκένωση Μαγούλας → Μοναστηράκι· λήξη εκκενώσεων ~17:15 EEST</t>
  </si>
  <si>
    <t>https://www.ertnews.gr/eidiseis/fountonei-i-pyrkagia-sto-skaloma-fokidas-ixise-112-ekkenonontai-oikismoi-megali-kinitopoiisi-tis-pyrosvestikis/</t>
  </si>
  <si>
    <t>Χάρτης ΓΓΠΠ 1/8 μη διαθέσιμος· 8 αεροσκ. + 3 ελικ.· εκκένωση 7+ οικισμών</t>
  </si>
  <si>
    <t>11:42</t>
  </si>
  <si>
    <t>Αγία Παρασκευή νότιας Κρήτης</t>
  </si>
  <si>
    <t>Φαιστός</t>
  </si>
  <si>
    <t>https://ua.news/en/world/silnii-viter-rozpaliuie-novi-lisovi-pozhezhi-u-gretsiyi</t>
  </si>
  <si>
    <t>Ισχυροί άνεμοι· 11:42 EEST</t>
  </si>
  <si>
    <t>Attica–Boeotia Mega Fire (Δυτική Αττική – Βοιωτία)</t>
  </si>
  <si>
    <t>Δυτική Αττική</t>
  </si>
  <si>
    <t>22 ομάδες δασοκομάντος</t>
  </si>
  <si>
    <t>πολλαπλές εστίες από καύτρες, ισχυροί άνεμοι, ξηρή βλάστηση</t>
  </si>
  <si>
    <t>112: εκκένωση προς Μέγαρα (κατά τη διάρκεια πυρκαγιάς) | 112 εκκένωση Κανδηλίου, Αγίας Σκέπης, Μπότσικας προς Νέα Πέραμο | 31/7/2026: εκκένωση Πόρτο Γερμενού και Προσήλιου προς Μάνδρα και Βίλια</t>
  </si>
  <si>
    <t>https://en.protothema.gr/2026/08/10/why-attica-and-boeotia-burned-there-was-air-superiority-in-the-sky-but-the-battle-on-the-ground-led-to-deafeat/ ; https://civilprotection.gov.gr/ ; https://www.ertnews.gr/eidiseis/pyrkagia-attikovoiotias-to-55-tis-kamenis-ektasis-kaike-mesa-sti-nyxta-apeleytherose-energeia-toulaxiston-380-tj/ ; https://www.ertnews.gr/eidiseis/ellada/pyrinos-olethros-sti-dytiki-attiki-112-gia-ekkenosi-pros-megara-anekselegktes-oi-floges-se-pollapla-metopa/ ; https://www.ertnews.gr/roi-idiseon/live-fotia-sti-dytiki-attiki-adiakopi-maxi-se-kandili-kai-agia-skepi-kindynos-anazopyroseon-synexeis-ripseis-kai-isxyres-epigeies-dynameis/ ; https://www.ertnews.gr/eidiseis/live-maxi-me-ta-pyrina-metopa-sti-dytiki-attiki-agios-nektarios-kai-kandili-oi-megales-esties/ ; https://www.skai.gr/news/greece/fotia-se-attiki-kai-voiotia-55-tis-ektasis-kaike-se-dyo-nyxtes</t>
  </si>
  <si>
    <t>Follow-up upsert: ανάλυση ζημιών δημοσιεύτηκε 10-11/8/2026. 2 νεκροί. Κτιριακές ζημιές: 118 ερυθρές, 119 κίτρινες, 88 πράσινες. Καμένη έκταση &gt;11.200 ha. Ανακοίνωση οικονομικής ενίσχυσης και προσωρινής στέγασης πυρόπληκτων 10-11/8. | UPSERT — Ανάλυση ζημιών δημοσιεύτηκε 10/8/2026. Καμένη έκταση &gt;11.200 εκτ. σε ~91 ώρες (31 Ιουλ.–4 Αυγ.). 2 νεκροί. Ζημιές κτιρίων: 118 κόκκινα, 119 κίτρινα, 88 πράσινα. 55% της καμένης έκτασης κάηκε σε μία νύχτα· απελευθερώθηκε ενέργεια ≥380 TJ. Αέρια υπεροχή υπήρχε, αλλά ο αγώνας στο έδαφος ήταν καθοριστικός. | UPSERT — ανάλυση ζημιών δημοσιεύθηκε 10/8. &gt;11.200 ha, 2 νεκροί, κτίρια: Κόκκινα 118, Κίτρινα 119, Πράσινα 88. Εστίες: Άγ. Νεκτάριος, Κανδήλι, Δυτ. Αττική. Διάρκεια ~4 ημέρες. | UPSERT νέα ανάλυση 10-11/08. 2 νεκροί (σύγκρουση 2 ελικοπτέρων Ψάθα). Κτίρια: Κόκκινα 118 / Κίτρινα 119 / Πράσινα 88. 55% έκτασης κάηκε σε 1 νύχτα. Ενέργεια ≥380 TJ. | UPSERT — νέα στοιχεία ζημιών από ανάλυση 10/8/2026: &gt;11.200 ha καμένα, 2 νεκροί, 118 κτίρια κόκκινα, 119 κίτρινα, 88 πράσινα. Στεγαστική βοήθεια ανακοινώθηκε 10–11/8. | UPSERT — ανάλυση ζημιών δημοσιεύτηκε 10/8/2026. 2 νεκροί. Κτίρια: 118 κόκκινα, 119 κίτρινα, 88 πράσινα. Κάηκε ~55% της έκτασης σε 2 νύχτες. 254 άτομα διασώθηκαν από θάλασσα (Άγ. Βασίλειος Βοιωτίας). Yutori email 11/8 επικαιροποιεί τα στοιχεία. | Follow-up 10-11 Αυγ 2026. 2 νεκροί. Κτίρια: 118 κόκκινα, 119 κίτρινα, 88 πράσινα. Οικονομική ενίσχυση και προσωρινή στέγαση ανακοινώθηκαν 10-11 Αυγ. Αέρια υπεροχή υπήρχε αλλά η επίθεση εδάφους υπέστη ήττα.</t>
  </si>
  <si>
    <t>Αττικοβοιωτίας (Δυτ. Αττική – Πόρτο Γερμενό Βοιωτίας)</t>
  </si>
  <si>
    <t>Αττικής / Στερεάς Ελλάδας</t>
  </si>
  <si>
    <t>Μέγαρα, Ελευσίνα, Βίλια, Πόρτο Γερμενό</t>
  </si>
  <si>
    <t>112 31/7: εκκένωση Πόρτο Γερμενό, Προσήλι προς Μάνδρα-Βίλια· εκκένωση περιοχών Δυτ. Αττικής προς Μέγαρα</t>
  </si>
  <si>
    <t>https://en.protothema.gr/2026/08/10/why-attica-and-boeotia-burned-there-was-air-superiority-in-the-sky-but-the-battle-on-the-ground-led-to-deafeat/ ; https://www.ertnews.gr/eidiseis/pyrkagia-attikovoiotias-to-55-tis-kamenis-ektasis-kaike-mesa-sti-nyxta-apeleytherose-energeia-toulaxiston-380-tj/ ; https://www.ertnews.gr/eidiseis/ellada/pyrinos-olethros-sti-dytiki-attiki-112-gia-ekkenosi-pros-megara-anekselegktes-oi-floges-se-pollapla-metopa/ ; https://www.ertnews.gr/eidiseis/live-maxi-me-ta-pyrina-metopa-sti-dytiki-attiki-agios-nektarios-kai-kandili-oi-megales-esties/ ; https://civilprotection.gov.gr/</t>
  </si>
  <si>
    <t>2 νεκροί. Κτίρια: Κόκκινα 118, Κίτρινα 119, Πράσινα 88. Απελευθερώθηκε ενέργεια ≥380 TJ· 55% έκαψε τη νύχτα. Κύριες εστίες: Άγιος Νεκτάριος, Κανδήλι. Ανακοινώσεις 10-11/8 για οικονομική ενίσχυση &amp; προσωρινή στέγαση πυρόπληκτων (upsert: ανάλυση 10/8).</t>
  </si>
  <si>
    <t>Ξηρονομή — Ψάθα — Λούμπα — Κιθαιρώνας</t>
  </si>
  <si>
    <t>Μάνδρα-Ειδυλλία / Μέγαρα</t>
  </si>
  <si>
    <t>29</t>
  </si>
  <si>
    <t>εμπρησμός (2 κατηγορούμενοι)</t>
  </si>
  <si>
    <t>31/7: εκκένωση Ψάθας, Άνω Αλεποχωρίου, Μορφέικας → Μέγαρα· 2/8 βράδυ: εκκένωση Λούμπας, Στανών Μόρφα → Μέγαρα· 3/8 03:34: εκκένωση Αγίας Σκέπης, Κανδηλίου, Μπότσικας → Νέα Πέραμο</t>
  </si>
  <si>
    <t>https://www.ertnews.gr/roi-idiseon/live-fotia-sti-dytiki-attiki-akomi-energo-to-metopo-apo-psatha-pros-loumpa-maxi-me-diaspartes-esties-kai-anazopyroseis/ ; https://www.ertnews.gr/roi-idiseon/pyrino-tokso-ston-kithairona-krisimes-ores-gia-veniza-ekkenonontai-kandili-kai-agia-skepi-pros-nea-peramo/ ; https://www.theguardian.com/world/2026/aug/02/western-europe-wildfire-crisis-retreats-greece-evacuates-hundreds-athens ; https://www.cnbc.com/2026/08/03/greece-wildfire-pictures-winds-heatwave.html ; https://www.in.gr/2026/08/08/greece/pyrkagia-attikovoiotias-51-enaeria-mesa-den-mporousan-na-pragmatopoiisoun-ripseis-logo-anemon-eipe-o-tournas/ ; https://www.euronews.com/my-europe/2026/08/02/europes-wildfires-update-greece-still-battling-outbreaks-in-spain</t>
  </si>
  <si>
    <t>144.000 στρέμματα (14.400 ha)· peak 51 εναέρια μέσα (8/8)· &gt;120 σπίτια κατεστραμμένα Πόρτο Γερμενό· 2 Bell ελικ. συγκρούστηκαν 2/8· βοήθεια Γαλλία/Ρουμανία</t>
  </si>
  <si>
    <t>Πόρτο Γερμενό – Κανδήλι – Δυτική Αττική</t>
  </si>
  <si>
    <t>Μεγάρων</t>
  </si>
  <si>
    <t>112 εκκένωση Λούμπας, Άνω Αλεποχωρίου, Μορφέικων, Στάνες Μόρφα → Μέγαρα· 03:34 εκκένωση Αγίας Σκέπης, Κανδηλίου, Μπότσικας → Νέα Πέραμο</t>
  </si>
  <si>
    <t>https://www.in.gr/2026/08/08/greece/pyrkagia-attikovoiotias-51-enaeria-mesa-den-mporousan-na-pragmatopoiisoun-ripseis-logo-anemon-eipe-o-tournas/ ; https://www.ertnews.gr/eidiseis/ellada/pyrinos-olethros-sti-dytiki-attiki-112-gia-ekkenosi-pros-megara-anekselegktes-oi-floges-se-pollapla-metopa/ ; https://www.ertnews.gr/roi-idiseon/live-fotia-sti-dytiki-attiki-adiakopi-maxi-se-kandili-kai-agia-skepi-kindynos-anazopyroseon-synexeis-ripseis-kai-isxyres-epigeies-dynameis/ ; https://www.skai.gr/news/greece/fotia-se-attiki-kai-voiotia-55-tis-ektasis-kaike-se-dyo-nyxtes</t>
  </si>
  <si>
    <t>Έναρξη 31/7 από Ξηρονόμι/Άγ. Βασίλη Βοιωτίας· επέκταση Δυτ. Αττική 2/8· ≈80.800 στρ. Αττική + ≈30.900 στρ. Βοιωτία = 11.170 ha συνολικά· 120+ κατοικίες κατεστράφησαν· 51 εναέρια δεν μπόρεσαν ρίψεις λόγω ακραίων ανέμων· ενεργά μέτωπα Αγ. Νεκτάριος &amp; Κανδήλι· Meteo: ενέργεια ≈6 ατομικές βόμβες Χιροσίμα· κατάσταση 8/8: περιορισμένη (Yutori). Χάρτης ΓΓΠΠ 31/7 μη διαθέσιμος στο παρόν παράθυρο.</t>
  </si>
  <si>
    <t>Πόρτο Γερμενό – Κιθαιρώνας (Αττικοβοιωτίας)</t>
  </si>
  <si>
    <t>Βιλίων / Μεγαρέων</t>
  </si>
  <si>
    <t>112 εκκένωση (12:47) Αγία Παρασκευή, Κρύο Πηγάδι, Άγιος Νεκτάριος → Βίλια· εκκένωση Αγία Σκέπη, Κανδήλι, Μπότσικα → Νέα Πέραμα· πολλαπλά σήματα καθ' όλη τη διάρκεια της μεγαπυρκαγιάς (14:28, 16:37 κ.ά.)</t>
  </si>
  <si>
    <t>https://www.in.gr/2026/08/08/greece/pyrkagia-attikovoiotias-51-enaeria-mesa-den-mporousan-na-pragmatopoiisoun-ripseis-logo-anemon-eipe-o-tournas/ ; https://www.ertnews.gr/roi-idiseon/efialtiko-skiniko-sto-porto-germeno-oi-anemoi-odigoun-ti-fotia-pros-kithairona-kai-psatha-kaigontai-spitia-minyma-112-gia-ekkenosi-pros-ta-vilia/ ; https://www.ertnews.gr/eidiseis/live-maxi-me-ta-pyrina-metopa-sti-dytiki-attiki-agios-nektarios-kai-kandili-oi-megales-esties/ ; https://www.ertnews.gr/eidiseis/pyrkagia-attikovoiotias-to-55-tis-kamenis-ektasis-kaike-mesa-sti-nyxta-apeleytherose-energeia-toulaxiston-380-tj/ ; https://www.newsit.gr/ellada/fotia-sto-porto-germeno-anekselegkto-to-metopo-kaikan-spitia-mazikes-ekkenoseis-oikismon-live-oles-oi-ekselikseis/4741706/ ; https://www.protothema.gr/greece/article/1860478/fotia-stin-attikovoiotia-kaikan-pano-apo-126000-stremmata-mehri-tin-kuriaki-deite-hartes/ ; https://www.documentonews.gr/article/ektos-elegchou-i-fotia-sto-porto-germeno-baraz-112-xekinisan-oi-enaeries-ripseis-agrievei-to-metopo-sti-fokida/</t>
  </si>
  <si>
    <t>Μεγαπυρκαγιά: ξεκίνησε 31/7 στη νότια Βοιωτία, εξαπλώθηκε σε Δ. Αττική. 144.243 στρέμματα ≈ 14.424 ha (εκτίμηση 4/8). 55% καμένης έκτασης τη νύχτα, ενέργεια ≥380 TJ (NOA/FLAME). Δύο χειριστές ελικοπτέρου νεκροί σε σύγκρουση (2/8). Πάνω από 120 κατοικίες κατεστραμμένες. 51 εναέρια αδύνατη ρίψη λόγω ακραίων ανέμων (Τούρνας, 8/8). Yutori email 8/8 ανέφερε status «Περιορισμένη» για δραστηριότητα 7–8/8.</t>
  </si>
  <si>
    <t>14:31</t>
  </si>
  <si>
    <t>Παλαιόπολη Άνδρου</t>
  </si>
  <si>
    <t>Δημοτικά βυτιοφόρα ΟΤΑ</t>
  </si>
  <si>
    <t>112 14:31: εκκένωση Παλαιόπολης προς Μπατσί | μετά 16:30: εκκένωση Κολύμπου | 30/7 14:31 EEST: εκκένωση Παλαιόπολης· 30/7 16:30 EEST: εκκένωση Κολυμπού</t>
  </si>
  <si>
    <t>https://www.protothema.gr/greece/article/1858229/fotia-tora-stin-andro-112-gia-ekkenositis-palaiopolis/ ; https://newpost.gr/eidiseis/minyma-112-gia-fotia-stin-andro-ekkenonetai-i-palaiopoli-ischyroi-anemoi-stin-periochi/ ; https://www.newsbomb.gr/ellada/story/1753411/fotia-stin-andro-minymata-apo-to-112-gia-ekkenoseis-se-palaiopoli-kai-kolympo ; https://www.espressonews.gr/reportaz/498590/fotia-stin-andro-ekkenonetai-palaiopoli/ ; https://naxostimes.gr/kyklades/andros/239288/andros-fotia-palaiopoli-112-ekkenoseis/</t>
  </si>
  <si>
    <t>Χαμηλή βλάστηση. Άνεμοι 7 μποφόρ. Εκκένωση Παλαιόπολης + Κολύμπου (email: Κολυμπός). Ημέρα με Red Code για Κυκλάδες. | 2 διαδοχικά σήματα 112 | Δυνάμεις ενισχύθηκαν από 12 σε 25 πυρ/στές με 2 πεζοπόρες ομάδες, 5 οχήματα, 1 ελικόπτερο και υδροφόρες ΟΤΑ. Δεύτερο 112 για εκκένωση οικισμού Κολύμπου προς Άνδρο. Καμένη έκταση και αιτία αδιευκρίνιστα από διαθέσιμες πηγές.</t>
  </si>
  <si>
    <t>Νάξος</t>
  </si>
  <si>
    <t>υπό διερεύνηση (Κλιμάκιο Εμπρησμών Κυκλάδων)</t>
  </si>
  <si>
    <t>https://www.enikos.gr/society/fotia-sti-naxo-chreiastike-misi-ora-gia-tin-katasvesi-tis/2621909/ ; https://www.naftemporiki.gr/society/2144514/mesa-se-misi-ora-esvise-i-fotia-poy-xespase-sti-chora-tis-naxoy/</t>
  </si>
  <si>
    <t>Χαμηλή βλάστηση. Κατασβέστηκε σε ~30 λεπτά. Μικρή έκταση.</t>
  </si>
  <si>
    <t>2026-07-30</t>
  </si>
  <si>
    <t>Ασώματα — Κουρταλιώτικο Φαράγγι</t>
  </si>
  <si>
    <t>https://www.protothema.gr/greece/article/1858323/video-apo-drone-o-puknos-katapinei-to-kourtaliotiko-faraggi-sto-rethumno-mainetai-i-fotia/</t>
  </si>
  <si>
    <t>Αεροπυρόσβεση διακόπηκε λόγω ισχυρών ανέμων και περιορισμένης ορατότητας</t>
  </si>
  <si>
    <t>Γούδουρας - Ασπρόλιθος / Αγία Τριάδα Σητείας</t>
  </si>
  <si>
    <t>112 ετοιμότητα κατοίκων ευρύτερης περιοχής Σητείας | 112 σήμα ετοιμότητας κατοίκων | 112: εκκένωση Γούδουρας και Ασπρόλιθου προς Μακρύ Γιαλό (29/7) | 112 εκκένωση Γούδουρας + Ασπρόλιθου → Μακρύ Γιαλό</t>
  </si>
  <si>
    <t>https://pelop.gr/fotia-siteia-agia-triada-atherinolakkos-anemoi/ ; https://www.ertnews.gr/eidiseis/ellada/pyrkagia-ston-kserokampo-siteias-ixise-to-112-gia-etoimotita-ton-katoikon/ ; https://www.newsit.gr/ellada/tragodia-sti-fotia-sto-rethymno-nekroi-dyo-pyrosvestes-pyrina-metopa-se-lesvo-lakonia-siteia/4739708/ ; https://www.ereportaz.gr/fotia-sti-siteia-ypo-elencho-i-pyrkagia-ston-xirokampo-apetrepsan-ta-cheirotera-oi-pyrosvestes/ ; https://www.flash.gr/mparaz-112-se-oli-ti-chora-pyrina-metopa-se-kriti-lakonia-lesvo-oles-oi-exelixeis-1074541 ; https://www.neakriti.gr/kriti/lasithi/2192257_nea-fotia-sti-siteia-minyma-112-gia-ekkenosi-se-goydoyra-kai-asprolitho ; https://www.newsbomb.gr/ellada/story/1753225/fotia-sto-lasithi-ekkenothikan-dyo-oikismoi-dyo-pyrosvestes-travmatistikan ; https://www.cretalive.gr/kriti/fotia-stin-agia-triada-siteias-ihise-112 ; https://www.tanea.gr/2026/07/29/greece/neo-minyma-apo-to-112-sto-lasithi-ekkenonontai-goudouras-kai-asprolithos/ ; https://www.in.gr/2026/07/30/greece/mainontai-oi-pyrkagies-se-rethymno-siteia-kai-lesvo-ekkenoseis-xorion-apegklovismoi-dia-thalassis/ ; https://www.newsit.gr/ellada/fotia-sti-siteia-pano-apo-tin-agia-triada-isxyroi-anemoi-stin-perioxi/4739711/ ; https://www.newsit.gr/ellada/fotia-sto-lasithi-dyo-pyrosvestika-oximata-egklovistikan-stis-floges-kai-kaikan-olosxeros/4739853/ ; https://www.tanea.gr/2026/07/29/greece/pyrkagies-sto-lasithi-ypo-elegxo-tethike-i-fotia-stis-malles-dyskoli-i-katastasi-sti-siteia/ ; https://www.tanea.gr/2026/07/30/greece/pyrkagies-se-agio-vasileio-rethymnoy-kai-siteia-i-trexoysa-katastasi-stin-kriti/ ; https://www.neakriti.gr/kriti/lasithi/2192210_nea-mahi-me-tis-floges-stin-agia-triada-siteias-i-fotia-plisiazei-ta-prota ; https://www.emakedonia.gr/nea-fotia-sto-lasithi-ekkenoseis-se-goydoyra-kai-asprolitho</t>
  </si>
  <si>
    <t>Φωτιά σε χαμηλή βλάστηση πάνω από Αγία Τριάδα Σητείας. Μικρή καμένη έκταση, αποτράπηκαν τα χειρότερα. Η φωτιά έφτασε στα 500μ από τον Αθερινόλακκο. | 2 πυροσβέστες τραυματίες με ελαφρά εγκαύματα. 2 πυροσβεστικά οχήματα καταστράφηκαν από τις φλόγες. | 2 τραυματίες πυροσβέστες (εγκαύματα), 2 πυροσβεστικά οχήματα καταστράφηκαν ολοσχερώς. Εκκενώθηκαν 2 οικισμοί. | 2 πυροσβεστικά οχήματα κάηκαν ολοσχερώς· 2 πυροσβέστες ελαφρά εγκαύματα· ισχυροί στροβιλισμοί ανέμου· εναέρια δεν επιχείρησαν λόγω καιρού· βελτίωση κατάστασης 30/7· ξεχωριστή φωτιά στις Μάλλες Λασιθίου τέθηκε υπό έλεγχο</t>
  </si>
  <si>
    <t>Δήμος Ανατολικής Μάνης</t>
  </si>
  <si>
    <t>Δήμος Ανατολικής Μάνης (βυτιοφόρα)</t>
  </si>
  <si>
    <t>112 ετοιμότητα κατοίκων περιοχής Αγερανού Γυθείου | 112 ~15:30 προειδοποίηση ετοιμότητας Αγεράνου (δεν εκδόθηκε εκκένωση) | 112 για ετοιμότητα | 15:20</t>
  </si>
  <si>
    <t>https://www.naftemporiki.gr/society/2144131/fotia-tora-ston-agerano-gytheioy-sti-lakonia/ ; https://www.newsit.gr/ellada/lakonia-fotia-ston-agerano-gytheiou-ixise-to-112-gia-etoimotita/4739610/ ; https://pelop.gr/fotia-lakonia-ageranos/ ; https://www.skai.gr/news/greece/lakonia-fotia-ston-agerano-gytheiou-epixeiroun-enaeria-kai-epigeia-mesa ; https://www.enikos.gr/society/lakonia-fotia-se-chamili-vlastisi-ston-agerano-gytheiou/2621514/ ; https://www.tanea.gr/2026/07/29/greece/fotia-sto-gytheio-megali-kinitopoiisi-tis-pyrosvestikis-ixise-to-112-gia-etoimotita/ ; https://pelop.gr/defteri-tragodia-sti-lakonia-nekros-pyrosvestis-kai-sti-fotia-ston-agerano-gytheiou/ ; https://www.skai.gr/news/greece/fotia-lakonia-anafores-gia-traymatia-pyrosvesti-ston-agerano-gytheiou ; https://www.cnn.gr/ellada/story/545836/nea-tragodia-stin-pyrosvestiki-nekros-apo-pathologika-aitia-pyrosvestis-sto-gytheio ; https://www.tovima.gr/2026/07/29/society/fotia-sto-gytheio-nekros-ena-pyrosvestis-pou-epixeirouse-stin-katasvesi/ ; https://www.cnn.gr/ellada/story/545798/fotia-se-xamili-vlastisi-ston-agerano-gytheiou-ixise-to-112-gia-etoimotita ; https://www.protothema.gr/greece/article/1857747/fotia-tora-ston-agerano-lakonias-sikothikan-3-enaeria/ ; https://www.newsbomb.gr/ellada/story/1753228/nekros-pyrosvestis-sto-gytheio-pos-pethane-sto-pedio-o-26xronos-ypodioikitis ; https://www.anagnostis.org/2026/07/29/gytheio-nekros-30chronos-pyrosvestis/ ; https://www.anagnostis.org/2026/07/29/gytheio-syllipsi-fotia-ageranos/ ; https://www.lakones.gr/2026/07/blog-post_395.html ; https://www.iefimerida.gr/ellada/lakonia-fotia-ston-agerano-gytheioy-epiheiroyn-tria-enaeria-mesa</t>
  </si>
  <si>
    <t>Φωτιά σε χαμηλή βλάστηση. Άνεμοι έως 5 μποφόρ. 112 ετοιμότητα (όχι εκκένωση). | 1 νεκρός πυροσβέστης (26χρονος υποδιοικητής) από παθολογικά αίτια εν ώρα καθήκοντος. Εντοπίστηκε σε σημείο χωρίς ενεργό μέτωπο. | 1 πυροσβέστης 26 ετών (υποδιοικητής) βρέθηκε νεκρός από παθολογικά αίτια (όχι εξαιτίας της φωτιάς)· αρχικά 48 πυρ. + 13 οχ. + 2 αεροσκ. + 1 ελ., αργότερα ενισχύθηκε σε 62/17/2/1 | 1 νεκρός πυροσβέστης (30 ετών, αντιπτέραρχος). Βρέθηκε αναίσθητος εκτός περιμέτρου πυρκαγιάς — μεταφέρθηκε στο Γενικό Νοσοκομείο Σπάρτης. Χαμηλή βλάστηση. 1 σύλληψη. Κατασβέστηκε ίδια βραδινή ώρα. | Πυροσβέστης εντοπίστηκε νεκρός εκτός περιμέτρου από ασφυξία καπνών — μεταφέρθηκε στο ΓΝ Σπάρτης. Συλλήφθηκε ύποπτος για εμπρησμό. Ισχυροί άνεμοι έως 5 μποφόρ.</t>
  </si>
  <si>
    <t>Νέα Κρύα Βρύση Ρεθύμνου</t>
  </si>
  <si>
    <t>Δήμος Αμαρίου</t>
  </si>
  <si>
    <t>8 ομάδες πεζοπόρων (3η &amp; 19η ΕΜΟΔΕ)</t>
  </si>
  <si>
    <t>Δήμος Αγίου Βασιλείου (βυτιοφόρα)</t>
  </si>
  <si>
    <t>περιορίστηκε</t>
  </si>
  <si>
    <t>υπό διερεύνηση (ενεργοποιήθηκε ανακριτική αρχή εμπρησμών)</t>
  </si>
  <si>
    <t>112 15:25 εκκένωση Κρύας Βρύσης → Ρέθυμνο· 15:37 εκκένωση Σακθουριάς &amp; Μελάβων → Αγία Γαλήνη· 16:18 εκκένωση Αγ. Γεωργίου &amp; Αγ. Παύλου → Αγία Γαλήνη (παράκτιος)· 17:13 εκκένωση Τριόπετρας → Κεραμέ (παράκτιος)· 18:49 εκκένωση Αγίας Γαλήνης → Τυμπάκι· 19:20 εκκένωση Ορνέ → Χορδάκι/Αμάρι | 29/7 15:25 EEST: εκκένωση Κρύας Βρύσης → Ρέθυμνο· 29/7 15:37 EEST: εκκένωση Σακτουριάς, Μελάμπων → Αγία Γαλήνη· συνολικά 7 σήματα 112 για εκκένωση Αγίου Γεωργίου, Αγίου Παύλου, Τριόπετρας, Ορνέ, Αγίας Γαλήνης | 29/7: εκκένωση Τριόπετρας, Αγίου Γεωργίου, Αγίου Παύλου, Σακθουριάς, Μελάβων, Κρύας Βρύσης</t>
  </si>
  <si>
    <t>https://gr.euronews.com/my-europe/2026/07/29/ellada-dyo-pyrosbestes-nerkoi-pyrkagia-rethymno ; https://www.ekathimerini.com/news/1310945/wildfire-forces-evacuation-of-five-villages-on-crete/ ; https://www.naftemporiki.gr/society/2144228/fotia-sto-rethymno-allepallila-minymata-apo-to-112-gia-ekkenoseis-oikismon/ ; https://www.enikos.gr/society/kriti-anexelegkti-i-fotia-sto-rethymno-pano-apo-15-chiliometra-to-pyrino-metopo-baraz-minymaton-tou-112-gia-ekkenoseis/2621566/ ; https://www.ertnews.gr/eidiseis/ellada/fotia-sto-rethymno-nekroi-dyo-pyrosvestes-sti-maxi-katasvesis-allepallila-112-gia-ekkenoseis-oikismon/ ; https://www.ertnews.gr/eidiseis/ellada/kriti-se-tria-metopa-i-fotia-stin-krya-vrysi-rethymnou-neo-112-gia-proliptiki-ekkenosi-dyo-oikismon/ ; https://www.newsit.gr/ellada/dyo-pyrosvestes-nekroi-sti-fotia-sto-rethymno-pano-apo-15-xiliometra-to-metopo-stin-krya-vrysi/4739648/ ; https://www.cnn.gr/ellada/story/545812/plirofories-gia-dyo-nekroys-stin-pyrkagia-sto-rethymno-den-epivevaionei-i-pyrosvestiki ; https://www.newsbomb.gr/ellada/story/1753160/fotia-sto-rethymno-minyma-112-gia-ekkenosi-tis-perioxis-triopetras ; https://www.topontiki.gr/2026/07/29/tragodia-sti-fotia-sto-rethimno-entopistikan-nekri-dio-pirosvestes-egklovistikan-sto-ochima-tous/ ; https://www.protothema.gr/greece/article/1857717/fotia-stin-kriti-duo-purina-metopa-sto-moroni-irakleiou-kai-ti-nea-krua-vrusi-rethumnou/ ; https://www.newsit.gr/ellada/tragodia-sti-fotia-sto-rethymno-nekroi-dyo-pyrosvestes-pyrina-metopa-se-lesvo-lakonia-siteia/4739708/ ; https://www.ertnews.gr/eidiseis/ellada/olonyxtia-maxi-me-floges-kai-isxyrous-anemous-sto-rethymno-nekroi-dyo-pyrosvestes-nea-112-gia-ekkenoseis-oikismon-apegklovismos-31atomon-dia-thalassis/ ; https://www.enikos.gr/society/fotia-sto-rethymno-minymata-tou-112-gia-ekkenosi-3-periochon-enischythikan-oi-dynameis-pyrosvesis/2621518/ ; https://www.liberal.gr/ellada/dyo-pyrkagies-stin-kriti-ihise-112-gia-ti-fotia-sto-rethymno-pyrino-metopo-kai-sti-mesara ; https://www.naftemporiki.gr/society/2144830/rethymno-stachti-45-000-stremmata-choris-ti-nea-pyrkagia/ ; https://www.news247.gr/ellada/kriti-peripou-45-000-stremmata-kaikan-apo-tis-foties/ ; https://www.ekriti.gr/kriti/mahi-horis-telos-sto-rethymno-epektathike-i-fotia-pros-tin-prebeli-45000-ta-kamena-stremmata ; https://www.newsbomb.gr/ellada/story/1753452/fotia-sto-rethymno-peripou-45-000-exoun-kaei-apo-xthes ; https://watchers.news/2026/07/30/3-firefighters-confirmed-dead-wildfires-prompt-category-4-fire-risk-in-greece/</t>
  </si>
  <si>
    <t>Πύρινο μέτωπο &gt;15 χλμ σε 3 μέτωπα. Ριπαίοι άνεμοι έως 11 μποφόρ ακινητοποίησαν εναέρια προσωρινά. Δύο πυροσβέστες (26 &amp; 28 ετών) εγκλωβίστηκαν στο όχημά τους και βρήκαν το θάνατο. 17 άτομα διασώθηκαν δια θαλάσσης από Λιμενικό κοντά στον Αγ. Παύλο. Ενισχύσεις από Καλαμάτα &amp; Ρόδο. | 2 πυροσβέστες νεκροί (58 και 25 ετών, εντοπίστηκαν απανθρακωμένοι εκτός οχήματος). Άνεμοι 11-13 μποφόρ (ριπές 90-100 χλμ/ώρα). Μέτωπο ~20 χλμ. 31 άτομα απεγκλωβίστηκαν διά θαλάσσης. ~2.000 τουρίστες εκκενώθηκαν από Αγία Γαλήνη. | ~45.000 στρέμματα (≈4.500 ha) καμένα από αυτήν την πρώτη εστία Ρεθύμνου ως 30/07· αριθμός εξαιρεί τη δεύτερη φωτιά στο Κουρταλιώτικο. Μέτωπο επεκτάθηκε προς Πρέβελη. | 2 πυροσβέστες νεκροί (ηλικίας 58 και 25 ετών)· μέτωπο &gt;15 χλμ· εκκένωση 6 χωριών</t>
  </si>
  <si>
    <t>Δήμος Λέσβου</t>
  </si>
  <si>
    <t>2 ομάδες πεζοπόρων (12η ΕΜΟΔΕ)</t>
  </si>
  <si>
    <t>Δήμος Λέσβου (βυτιοφόρα)</t>
  </si>
  <si>
    <t>ύφεση</t>
  </si>
  <si>
    <t>Ξεκίνησε από παλιά χωματερή πάνω από Μιλιές</t>
  </si>
  <si>
    <t>112 14:13: εκκένωση Πλωμαρίου → Άγιο Ισίδωρο | 29/7 14:13 EEST: πρώτο σήμα 112· 29/7 16:58 EEST: εκκένωση Πλωμαρίου → παραλία Πλωμαρίου και Άγιο Ισίδωρο | 112 ~17:30 προληπτική εκκένωση τμήματος Πλωμαρίου → Άγιος Ισίδωρος | 112: εκκένωση προς παραλία Πλωμαρίου - Άγιο Ισίδωρο (29/7)</t>
  </si>
  <si>
    <t>https://www.efsyn.gr/ellada/1438038/pyrkagia-sto-plomari-lesvoy-ihise-to-112/ ; https://www.newsit.gr/ellada/fotia-sti-lesvo-ixise-to-112-gia-ekkenosi-tou-plomariou-pros-ton-agio-isidoro/4739544/ ; https://www.in.gr/2026/07/29/greece/fotia-sto-plomari-tis-lesvou-ixise-to-112/ ; https://www.lamiareport.gr/ellada/item/lesvos-fotia-tora-sto-plomari-minyma-tou-112-isxyroi-anemoi-kai-fovoi-gia-epektasi/ ; https://www.thetoc.gr/koinwnia/article/sunagermos-gia-megali-fotia-sto-plomari-lesbou---ixise-to-112/ ; https://www.enikos.gr/society/fotia-sto-plomari-lesvou-ichise-to-112-gia-ekkenosi/2621558/ ; https://www.dimokratia.gr/ellada/726521/lesvos-olonychtia-machi-sto-plomari-nees-pyrkagies-sto-lasithi/ ; https://www.thetoc.gr/koinwnia/article/neo-112-gia-ti-fotia-sti-lesvo-ekkenonetai-proliptika-to-plomari-binteo/ ; https://www.thetoc.gr/koinwnia/article/neo-112-gia-ti-fotia-sti-lesbo-ekkenonetai-proliptika-to-plomari-binteo/ ; https://www.ertnews.gr/eidiseis/se-dyo-metopa-i-fotia-sto-plomari-tis-lesvou-proliptiki-ekkenosi-pros-agio-isidoro/ ; https://www.tovima.gr/2026/07/29/society/fotia-sto-plomari-lesvou-enisxythikan-oi-pyrosvestikes-dynameis-minyma-112-gia-apomakrynsi ; https://www.skai.gr/news/greece/fotia-sto-plomari-tis-lesvou-ixise-to-112 ; https://www.aftodioikisi.gr/koinonia/lesvos-krisimi-i-fotia-sto-plomari-neo-112-gia-ekkenosi/ ; https://www.thitanews.gr/lesvos-se-tria-metopa-i-fotia-sto-plomari-112-gia-proliptiki-ekkenosi/ ; https://www.ertnews.gr/eidiseis/veltiomeni-i-eikona-tis-pyrkagias-sto-plomari-lesvou-xoris-energo-metopo-maxi-me-tis-diaspartes-esties/ ; https://www.documentonews.gr/article/lesvos-se-yfesi-ta-pyrina-metopa-sto-plomari-stachti-pano-apo-1-000-stremmata/ ; https://www.newsit.gr/ellada/fotia-sti-lesvo-eos-1-000-stremmata-eginan-staxti-sto-plomari-katastrafikan-elaiones-kai-ktinotrofikes-monades/4740314/ ; https://www.tanea.gr/2026/07/29/greece/lesvos-se-pyrino-kloio-to-plomari-olonyxtia-maxi-me-ta-dyo-metopa-tis-pyrkagias/</t>
  </si>
  <si>
    <t>Φωτιά στην παλαιά χωματερή Πλωμαρίου πάνω από Μηλιές. 6 εναέρια μέσα συνολικά (split αεροσκάφη/ελικόπτερα άγνωστο). Ισχυροί Β-ΒΑ άνεμοι. Φωτιά σε 3 μέτωπα. | 3 ξεχωριστά μέτωπα. Ελαιώνες και δάσος πεύκων. 1 πυροσβέστης τραυματίας (κάταγμα ποδιού). Ολονύχτια μάχη. Άνεμοι έως 6 μποφόρ. | Φωτιά σε 2–3 μέτωπα· 3 Air Tractor αεροσκάφη + 3 υδροφόρες· ισχυροί άνεμοι δυσχέραιναν κατάσβεση | 1 τραυματίας πυροσβέστης (μεταφέρθηκε στη Μυτιλήνη). ~1.000 στρέμματα (100 ha) κάηκαν — ελαιώνες και κτηνοτροφικές μονάδες. Δύο ενεργά μέτωπα. Άνεμοι 7 μποφόρ. Βελτίωση εικόνας 30/7.</t>
  </si>
  <si>
    <t>Κοπανάκιο-Αετός Τριφυλίας Μεσσηνίας</t>
  </si>
  <si>
    <t>Τριφυλία</t>
  </si>
  <si>
    <t>1 ομάδα 9ης ΕΜΟΔΕ</t>
  </si>
  <si>
    <t>εμπρησμός από αμέλεια — σπινθήρες γεωργικού μηχανήματος (τρακτέρ)</t>
  </si>
  <si>
    <t>https://www.ertnews.gr/perifereiakoi-stathmoi/kalamata/messinia-fotia-metaksy-kopanakiou-kai-aetou-isxyres-epigeies-kai-enaeries-dynameis-sto-metopo/ ; https://www.news247.gr/ellada/fotia-sti-messinia-sinelifthi-55xronos-xeiristis-trakter-apo-spinthires-xekinise-i-pirkagia/ ; https://www.ertnews.gr/perifereiakoi-stathmoi/kalamata/apo-ameleia-i-pyrkagia-ston-aeto-messinias-synelifthi-o-xeiristis-georgikou-elkystira/ ; https://www.gargalianoionline.gr/fotia-se-kopanaki-aeto-synelifthi-55chronos-cheiristis-georgikoy-michanimatos/</t>
  </si>
  <si>
    <t>Αγροτική έκταση ~4 στρέμματα. Συνελήφθη 55χρονος χειριστής τρακτέρ. | Η φωτιά ξεκίνησε σε αγροτική έκταση από σπινθήρες καταστροφέα και επεκτάθηκε σε δασική</t>
  </si>
  <si>
    <t>Γένεσι</t>
  </si>
  <si>
    <t>https://www.ertnews.gr/roi-idiseon/pyrkagia-se-xamili-vlastisi-stin-perioxi-genesi-trikalon-synexeis-ripseis-apo-aeros/</t>
  </si>
  <si>
    <t>Πυρκαγιά σε χαμηλή βλάστηση· συνεχείς εναέριες ρίψεις</t>
  </si>
  <si>
    <t>11:26</t>
  </si>
  <si>
    <t>Κοτρώνι, Ερέτρια</t>
  </si>
  <si>
    <t>Ερέτριας</t>
  </si>
  <si>
    <t>αμέλεια — εργασία με γωνιακό τροχό (σύλληψη 77χρονου)</t>
  </si>
  <si>
    <t>https://e-sterea.gr/synelifthi-77chronos-stin-eretria-gia-proklisi-pyrkagias-apo-ameleia/ ; https://www.skai.gr/news/greece/pyrkagia-stin-eretria-eyvoias-exei-paremvei-i-pyrosvestiki ; https://www.ertnews.gr/eidiseis/ellada/okto-syllipseis-gia-tis-foties-se-irakleio-eyvoia-lakonia-kai-paro/</t>
  </si>
  <si>
    <t>1 σύλληψη (αμέλεια). Πρόστιμο €2.625. Εργασία στο σπίτι με μεταλλοκόπτη.</t>
  </si>
  <si>
    <t>Αγερανός Λακωνίας</t>
  </si>
  <si>
    <t>Ανατολική Μάνη</t>
  </si>
  <si>
    <t>κατεσβέσθη</t>
  </si>
  <si>
    <t>https://www.ekathimerini.com/news/1310967/three-firefighters-dead-villages-evacuated-as-wildfires-rip-through-tinder-dry-forests/ ; https://watchers.news/2026/07/30/3-firefighters-confirmed-dead-wildfires-prompt-category-4-fire-risk-in-greece/</t>
  </si>
  <si>
    <t>1 πυροσβέστης νεκρός (27 ετών, εντοπίστηκε αναίσθητος)</t>
  </si>
  <si>
    <t>Γούδουρα-Ασπρόλιθος Λασιθίου</t>
  </si>
  <si>
    <t>112: απομάκρυνση κατοίκων → Μακρύς Γιαλός</t>
  </si>
  <si>
    <t>https://www.flash.gr/mparaz-112-se-oli-ti-chora-pyrina-metopa-se-kriti-lakonia-lesvo-oles-oi-exelixeis-1074541</t>
  </si>
  <si>
    <t>Ξεχωριστό μέτωπο από Αγία Τριάδα Σητείας.</t>
  </si>
  <si>
    <t>Κρύα Βρύση / Ασώματα / Φαράγγι Κουρταλιώτικο</t>
  </si>
  <si>
    <t>11 ομάδες πεζοπόρων</t>
  </si>
  <si>
    <t>ΚΑΤΑΣΤΑΣΗ ΣΥΝΑΓΕΡΜΟΥ (30/7) | ΠΟΛΥ ΥΨΗΛΗ (29/7)</t>
  </si>
  <si>
    <t>112: εκκένωση Τριόπετρας, Αγίου Γεωργίου, Αγίου Παύλου, Σακτουρίας, Μελάβων, Κρύας Βρύσης (29/7)· αναζωπυρώσεις 30/7</t>
  </si>
  <si>
    <t>https://gr.euronews.com/my-europe/2026/07/29/ellada-dyo-pyrosbestes-nerkoi-pyrkagia-rethymno ; https://www.ekathimerini.com/news/1310945/wildfire-forces-evacuation-of-five-villages-on-crete/ ; https://www.ekathimerini.com/news/1310967/three-firefighters-dead-villages-evacuated-as-wildfires-rip-through-tinder-dry-forests/ ; https://www.protothema.gr/greece/article/1858323/video-apo-drone-o-puknos-kapnos-katapinei-to-kourtaliotiko-faraggi-sto-rethumno-mainetai-i-fotia/ ; https://watchers.news/2026/07/30/3-firefighters-confirmed-dead-wildfires-prompt-category-4-fire-risk-in-greece/ ; https://www.newsit.gr/ellada/fotia-sto-rethymno-anisi-maxi-me-tis-floges-kai-tous-maniasmenous-anemous-ekkenonontai-oikismoi-live-oles-oi-ekselikseis/4740055/ ; https://www.dnews.gr/eidhseis/ellada/602511/anekselegkto-to-metopo-tis-fotias-sto-rethymno-kai-simera-apomakrynthikan-2-000-touristes-thrinos-gia-tous-3-nekroys ; https://www.newsit.gr/ellada/fotia-sto-rethymno-pano-apo-12-xiliometra-to-metopo-ta-therma-simeia-pou-apotyponoun-to-megethos-tis-pyrkagias/4740220/ ; https://www.skai.gr/news/greece/mainetai-anekselegkti-i-pyrkagia-sto-rethymno-ekkenoseis-xorion-apegklovismoi-dia-thalassi ; https://www.topontiki.gr/2026/07/30/machi-me-tin-pirini-lelapa-se-rethimno-paro-andro-ke-kalimno-apanota-112-dramatikes-diasosis-oute-mia-ripsi-nerou-apo-ta-enaeria-logo-ton-thiellodon-anemon/ ; https://www.emakedonia.gr/akomi-kaigontai-krya-vrysi-agios-vasileios-siteia-kai-plomari-se-diarki-etoimotita-to-rethymno</t>
  </si>
  <si>
    <t>2 νεκροί πυροσβέστες: Εμμανουήλ Στρατιδάκης (58) και Παντελής Διαμαντάκης (25). Μέτωπο &gt;15χλμ (30/7). Άνεμοι 100-125χλμ/ώρα — αεροπυρόσβεση καθηλωμένη. &gt;8.000 άτομα εκκενώθηκαν ή απεγκλωβίστηκαν δια θαλάσσης. Καταστράφηκε φοινικόδασος Πρέβελης. Pyrocumulonimbus φαινόμενο. | Ανεξέλεγκτη την 30/07· μέτωπο &gt;12 χλμ, άνεμοι 100-120 χλμ/ω, πολλαπλά μέτωπα περιλαμβ. Κουρταλιώτικο Φαράγγι. Εκκενώσεις: Γεφύρα, Μοναστήρι, λίμνη Πρέβελη, Γιαννιού, Λευκόγεια, Δαμνόνι. Απεγκλωβισμοί δια θαλάσσης. Δεύτερη εστία Ρεθύμνου (η πρώτη=Νέα Κρύα Βρύση Αμαρίου).</t>
  </si>
  <si>
    <t>Μορόνι Ηρακλείου</t>
  </si>
  <si>
    <t>Δήμος Φαιστού</t>
  </si>
  <si>
    <t>112 μήνυμα εκκένωσης (ακριβείς οικισμοί δεν επιβεβαιώθηκαν από επίσημη πηγή) | 112 για ετοιμότητα κατοίκων</t>
  </si>
  <si>
    <t>https://www.dnews.gr/eidhseis/ellada/602385/fotia-sto-moroni-irakleiou-sikothikan-2-enaeria ; https://www.libre.gr/2026/07/29/kriti-dyo-foties-se-moroni-irakleiou-k/ ; https://www.tanea.gr/2026/07/29/greece/fotia-sto-irakleio-kritis-sti-maxi-kai-dyo-elikoptera/ ; https://www.efsyn.gr/ellada/1438066/foties-se-irakleio-kai-rethymno/ ; https://pelop.gr/foties-kriti-irakleio-rethymno/ ; https://www.protothema.gr/greece/article/1857717/fotia-stin-kriti-duo-purina-metopa-sto-moroni-irakleiou-kai-ti-nea-krua-vrusi-rethumnou/ ; https://www.ekriti.gr/kriti/se-exelixi-oi-foties-se-moroni-irakleioy-kai-malles-ierapetras-beltiomeni-eikona ; https://www.cnn.gr/ellada/story/545791/pyrkagia-se-xamili-vlastisi-sto-moroni-irakleiou-epixeiroyn-2-elikoptera</t>
  </si>
  <si>
    <t>Πυρκαγιά σε αγροτική έκταση &amp; βοσκότοπο στη Μεσαρά. Βελτιωμένη εικόνα απογευματινές ώρες. Ταυτόχρονα αναφέρεται και φωτιά στις Μάλλες Ιεράπετρας (Λασίθι) — ανεπαρκή στοιχεία για ξεχωριστή εγγραφή. | Χαμηλή βλάστηση. Ταυτόχρονο διπλό μέτωπο με πυρκαγιά Ρεθύμνου. Ομάδες 3ης ΕΜΟΔΕ.</t>
  </si>
  <si>
    <t>Τύρναβος Λάρισας</t>
  </si>
  <si>
    <t>Τύρναβος</t>
  </si>
  <si>
    <t>https://www.tanea.gr/2026/07/29/greece/tyrnavos-fotia-tora-se-xamili-vlastisi-megali-kinitopoiisi-tis-pyrosvestikis/ ; https://www.newsit.gr/ellada/fotia-ston-tyrnavo-megali-kinitopoiisi-tis-pyrosvestikis/4739373/ ; https://www.iefimerida.gr/ellada/fotia-tora-ston-tyrnabo-sikothikan-enaeria</t>
  </si>
  <si>
    <t>Χαμηλή βλάστηση.</t>
  </si>
  <si>
    <t>22:00</t>
  </si>
  <si>
    <t>Λαριανή (Λαράνι) / Δήμος Γόρτυνας</t>
  </si>
  <si>
    <t>2 ομάδες πεζοπόρων (3ης ΕΜΟΔΑ)</t>
  </si>
  <si>
    <t>απόπειρα εμπρησμού εκ προθέσεως (2 συλλήψεις, ηλ. 26 και 24)</t>
  </si>
  <si>
    <t>112 για ετοιμότητα</t>
  </si>
  <si>
    <t>https://www.cnn.gr/ellada/story/545672/fotia-se-agrotodasiki-ektasi-sto-irakleio-kritis-megali-epixeirisi-tis-pyrosvestikis ; https://www.tanea.gr/2026/07/29/greece/fotia-sto-irakleio-kritis-sti-maxi-kai-dyo-elikoptera/ ; https://www.ertnews.gr/eidiseis/ellada/okto-syllipseis-gia-tis-foties-se-irakleio-eyvoia-lakonia-kai-paro/</t>
  </si>
  <si>
    <t>Αγροτοδασική έκταση. 2 συλλήψεις για απόπειρα εμπρησμού εκ προθέσεως. Κατ/νία κινδύνου 4 βάσει χάρτη 29/7 (πλησιέστερος διαθέσιμος).</t>
  </si>
  <si>
    <t>20:50</t>
  </si>
  <si>
    <t>Ασπρόπυργος Αττικής</t>
  </si>
  <si>
    <t>Ασπροπύργου</t>
  </si>
  <si>
    <t>https://www.enikos.gr/society/fotia-se-chamili-vlastisi-ston-aspropyrgo-attikis-megali-kinitopoiisi-tis-pyrosvestikis/2621142/ ; https://www.news247.gr/ellada/fotia-ston-aspropirgo-megali-kinitopoiisi-tis-pirosvestikis-2/ ; https://www.ertnews.gr/eidiseis/ellada/oriothetimeni-i-pyrkagia-se-xamili-vlastisi-ston-aspropyrgo/ ; https://www.newsit.gr/ellada/ypo-elegxo-i-fotia-ston-aspropyrgo-konta-se-spitia-kai-ypodomes/4739035/ ; https://www.cnn.gr/ellada/story/545690/fotia-se-xamili-vlastisi-ston-aspropyrgo-megali-epixeirisi-tis-pyrosvestikis ; https://newpost.gr/eidiseis/oriothetithike-pyrkagia-ston-aspropyrgo-amesi-epemvasi-tis-pyrosvestikis/ ; https://www.naftemporiki.gr/society/2143853/fotia-tora-ston-aspropyrgo-kaiei-konta-se-katoikies/</t>
  </si>
  <si>
    <t>Πυρκαγιά σε χαμηλή βλάστηση. Τέθηκε υπό μερικό έλεγχο εντός ~20 λεπτών. | Χαμηλή βλάστηση. Κοντά σε κατοικίες και υποδομές. Τέθηκε υπό έλεγχο σε ~20 λεπτά. | Φωτιά σε χαμηλή βλάστηση κοντά σε κατοικίες και υποδομές. Οριοθετήθηκε σε ~20 λεπτά. Συνδρομή υδροφόρων Δήμου Ασπροπύργου.</t>
  </si>
  <si>
    <t>2026-07-29</t>
  </si>
  <si>
    <t>Φαβριανά Ηρακλείου</t>
  </si>
  <si>
    <t>2 ομάδες 3ης ΕΜΟΔΕ</t>
  </si>
  <si>
    <t>https://www.tanea.gr/2026/07/28/greece/synagermos-sto-irakleio-megali-fotia-se-agrotodasiki-ektasi-sti-maxi-32-pyrosvestes-kai-enaeria-mesa/ ; https://www.ertnews.gr/eidiseis/ellada/epta-syllipseis-gia-pyrkagies-apo-ameleia-se-mia-imera-prostimo-9-360-eyro-gia-ti-fotia-sto-irakleio/ ; https://www.cretalive.gr/kriti/irakleio-oriothetimeni-i-pyrkagia-sta-fabriana-paramenoyn-pyrosbestikes-dynameis</t>
  </si>
  <si>
    <t>Αγροτοδασική. Εναέρια μέσα επιχείρησαν (αδιευκρίνιστος αριθμός). Πρόστιμο 9.360€ για εμπρησμό εξ αμελείας. | Οριοθετήθηκε βράδυ 28/07· δυνάμεις παρέμειναν overnight για αναζωπυρώσεις. Δεν απειλήθηκαν κατοικίες.</t>
  </si>
  <si>
    <t>14:25</t>
  </si>
  <si>
    <t>Λαβάρα Έβρου</t>
  </si>
  <si>
    <t>Αλεξανδρούπολη</t>
  </si>
  <si>
    <t>https://www.ekathimerini.com/news/1310827/ground-air-forces-battle-wildfire-near-turkish-border/ ; https://www.euronews.com/my-europe/2026/07/28/europe-is-burning-how-bad-could-this-wildfire-crisis-get</t>
  </si>
  <si>
    <t>Πλησίον τουρκικών συνόρων</t>
  </si>
  <si>
    <t>Κάμπι (ΧΥΤΑ Πάρου)</t>
  </si>
  <si>
    <t>Πάρος</t>
  </si>
  <si>
    <t>4 ομάδες δασοκομάντος από Αττική</t>
  </si>
  <si>
    <t>υδροφόρες Δήμου Πάρου</t>
  </si>
  <si>
    <t>ναι (Σύρος, Νάξος, Πειραιάς)</t>
  </si>
  <si>
    <t>σε υποχώρηση</t>
  </si>
  <si>
    <t>112 ~14:42: εκκένωση Αγίου Χαραλάμπους Κάμπι, Μπουγάδου, Ανεράτζιας προς Αλυκή· ~15:28: εκκένωση Καμαρίου προς Αλυκή. Συνολικά 4 οικισμοί εκκενώθηκαν. | 112 14:42 28/7: εκκένωση Αγ.Χαράλαμπου, Καμπί, Μπούγαδου, Ανερατζιάς προς Αλυκή· 112 15:28 28/7: εκκένωση Καμαρίου προς Αλυκή· 112 01:30 29/7: εκκένωση Αγκαιριάς· 112 02:15 29/7: εκκένωση Τρυπητής, Άσπρου Χωριού, Γλυφάς, Πυργακίου | 112 14:42 (28/7): εκκένωση Αγίου Χαράλαμπου, Καμπί, Μπουγάδου, Ανερατζιάς → Αλυκή· 112 15:28 (28/7): εκκένωση Καμαρίου → Αλυκή· 112 01:30 (29/7): εκκένωση Αγκαιριάς → παραλία Αλυκής· 112 02:15 (29/7): εκκένωση Τρυπητής, Άσπρου Χωριού, Γλυφάς, Πυργακίου → Δρυό | 112 14:42 28/07: εκκένωση Αγ. Χαράλαμπου, Κάμπι, Μπουγάδος, Ανεράτζιας → Αλυκή· 112 15:28 28/07: εκκένωση Καμαρίου → Αλυκή· νύχτα 28-29/07: εκκένωση Αγκαιριάς → Αλυκή· εκκένωση Τρυπητής, Άσπρου Χωριού, Γλύφας, Πυργακίου → Δρυός | 28/7 14:42 EEST: εκκένωση Αγ.Χαράλαμπου, Καμπί, Μπουγάδου, Ανερατζιάς → Αλυκή· 28/7 15:28 EEST: εκκένωση Καμαρίου → Αλυκή· 29/7 01:30 EEST: εκκένωση Αγκαιριάς → παραλία Αλυκής· 29/7 02:15 EEST: εκκένωση Τρυπητής, Άσπρου Χωριού, Γλυφών, Πυργακίου → Δρυό | 112 (28/7) 14:42: εκκένωση Αγίου Χαραλάμπου, Κάμπι, Μπουγάδου, Ανεράτζιας, Καμαρίου | 15:28: επιπλέον εκκενώσεις Τρυπητής, Γλύφας, Πυργακίου, Άσπρου Χωριού, Αγκαριάς | (29/7) νέα μηνύματα | (30/7) εκκένωση Άσπρου Χωριού προς Δρυό, νέα εστία Δαμάλια | 28/7 14:42 EEST: εκκένωση Αγίου Χαραλάμπους, Κάμπου, Μπουγάδου, Ανεράτζιας, Καμαρίου· 28/7 15:28 EEST: εκκένωση Τρυπητής, Γλύφας, Πυργακίου, Άσπρου Χωριού, Αγκαριάς</t>
  </si>
  <si>
    <t>https://www.newsit.gr/ellada/fotia-stin-paro-minyma-112-gia-ekkenosi-4-perioxon-pros-alyki-stin-maxi-kai-enaeria-mesa/4738798/ ; https://www.enikos.gr/society/paros-se-exelixi-fotia-sto-kabi-minyma-apo-to-112-gia-ekkenosi/2620937/ ; https://www.news247.gr/ellada/fotia-stin-paro-enisxithikan-oi-dinameis-sto-kampi/ ; https://www.newsbomb.gr/ellada/story/1752895/fotia-stin-paro-12-enaeria-mesa-sti-maxi-me-tis-floges-ekkenoseis-oikismon ; https://www.ekathimerini.com/news/1310827/ground-air-forces-battle-wildfire-near-turkish-border/ ; https://www.in.gr/2026/07/28/greece/fotia-stin-paro-sikothikan-3-enaeria/ ; https://www.enikos.gr/society/mainetai-i-fotia-stin-paro-neo-minyma-tou-112-gia-ekkenosi-tis-periochis-kamari/2620962/ ; https://www.news247.gr/ellada/fotia-stin-paro-dodeka-enaeria-sti-maxi-me-tis-floges-ekkenothikan-5-perioxes/ ; https://www.ertnews.gr/eidiseis/ellada/paros-olonyxtia-i-maxi-me-tis-floges-ekkenothikan-oikismoi-enisxyontai-tin-tetarti-oi-anemoi/ ; https://www.protothema.gr/greece/article/1857479/mainetai-i-fotia-stin-paro-ekkenothikan-4-oikismoi-fovoi-gia-enishusi-anemon-sikothikan-7-enaeria/ ; https://www.tanea.gr/2026/07/29/greece/dyskoli-nyxta-stin-paro-mainetai-i-megali-fotia-ekkenoseis-5-oikismon/ ; https://www.ertnews.gr/eidiseis/ellada/maxi-me-tis-floges-stin-paro-ekkenothikan-oikismoi-nea-minymata-tou-112-enisxymenoi-simera-oi-anemoi/ ; https://www.ertnews.gr/perifereia/se-ekseliksi-i-fotia-stin-paro-isxyroi-anemoi-dyskoleyoun-tin-katasvesi-enisxyontai-synexos-oi-pyrosvestikes-dynameis/ ; https://www.documentonews.gr/article/fotia-tora-stin-paro-ston-chyta-tou-dimou/ ; https://pelop.gr/fotia-paros-ekkenoseis-112-kampi-kamari/ ; https://www.euronews.com/my-europe/2026/07/29/major-wildfire-breaks-out-on-greek-island-paros-as-villages-evacuated ; https://www.independent.co.uk/news/world/europe/paros-greece-wildfire-island-fires-evacuations-b3023837.html ; https://www.ertnews.gr/eidiseis/ellada/paros-olonyxtia-i-maxi-me-tis-floges-ekkenothikan-oikismoi-nea-minymata-tou-112/ ; https://www.cnn.gr/ellada/story/545775/paros-doryfiki-eikona-katagrafei-ta-simeia-apo-opou-perase-i-fotia-epireastikan-10-000-stremmata ; https://www.skai.gr/news/greece/fotia-se-xamili-vlastisi-stin-paro-1 ; https://www.in.gr/2026/07/29/greece/mainetai-i-fotia-stin-paro-nea-minymata-apo-to-112-to-vrady-sti-maxi-apo-to-proi-kai-eksi-enaeria/ ; https://www.zougla.gr/greece/fotia-sto-kabi-parou/ ; https://www.ifarsala.gr/2026/07/29/mainetai-i-fotia-stin-paro-nees-ekkenoseis-oikismon/ ; https://www.mononews.gr/society/fotia-ston-chyta-tis-parou-canadair-apo-tin-athina-sto-nisi-gia-tin-katasvesi ; https://www.cnn.gr/ellada/story/545660/fotia-stin-paro-ekkenothikan-tesseris-oikismoi-epixeiroyn-12-enaeria-mesa ; https://gr.euronews.com/my-europe/2026/07/30/pyrkagia-sthn-paro-synelhfthhsan-o-dhmarxos-kai-alla-tria-atoma ; https://www.newsit.gr/ellada/anazopyrosi-tis-fotias-sti-paro-ixise-to-112-gia-ekkenosi-ton-perioxon-aspro-xorio-kai-kamari/4740352/ ; https://www.capital.gr/epikairotita/4008400/nea-anazopurosi-tis-fotias-stin-paro-minuma-tou-112-gia-ekkenosi-apo-to-aspro-xorio-pros-ton-druo/ ; https://www.in.gr/2026/07/30/greece/paros-nea-fotia-konta-stin-trypiti-minyma-apo-to-112/ ; https://www.ekathimerini.com/news/1310967/three-firefighters-dead-villages-evacuated-as-wildfires-rip-through-tinder-dry-forests/</t>
  </si>
  <si>
    <t>Πυρκαγιά σε σκουπιδότοπο/χαμηλή βλάστηση. Άνεμοι 7 μποφόρ. Ενισχύσεις από Νάξο, Σύρο, Πειραιά. Yutori αναφέρει 3 αεροσκάφη (αρχική ενημέρωση), πηγές ΜΜΕ μέχρι 12 εναέρια. | Μεγάλη πυρκαγιά στην Πάρο – ξεκίνησε στο ΧΥΤΑ Κάμπι. Εκκενώθηκαν 9 οικισμοί συνολικά. Ολονύχτια μάχη 28-29/7. Ισχυροί άνεμοι δυσκόλεψαν κατάσβεση. 29/7 πρωί βελτίωση εικόνας αλλά χωρίς οριοθέτηση. Εναέρια μέσα αποχώρησαν μετά τη δύση ηλίου λόγω ανέμων. | Ξεκίνησε ΧΥΤΑ Δήμου Πάρου. Μέτωπο πέρασε Αγκαιριά→Τρυπητή. 9 οικισμοί εκκενώθηκαν. Κατ. 3 Κυκλάδες 28/7 και 29/7. Αεροπορικά (12 εναέρια στο αποκορύφωμα κατά pelop.gr). 20 επιπλέον πυρ. + 8 οχ. ενίσχυση αναμενόταν πρωί 29/7. | 10 χωριά εκκενώθηκαν συνολικά. ~10.000 στρέμματα = ~1.000 ha επηρεασμένη έκταση κατά δορυφορική εκτίμηση CNN.gr/meteo.gr (δεν είναι τελική καμένη έκταση). Ισχυροί άνεμοι συνέχιζαν 29/07. Αρχικές δυνάμεις: 66 πυροσβέστες, 2 Canadair, 5 ελικόπτερα· ενισχύθηκαν σε 86/24 οχ. Συνεχίζεται 29/07. | Στις 29/7 πρωί η φωτιά παρέμενε ανεξέλεγκτη· πέρασε από Αγκαιριά κινούμενη προς Τρυπητή. Συνολικά 10 οικισμοί εκκενώθηκαν μέσω 4 διαδοχικών μηνυμάτων 112. Ισχυροί βόρειοι άνεμοι (6-7 μποφόρ) δυσχέραιναν τις επιχειρήσεις. Νέες ενισχύσεις αναμένονταν πρωί 29/7. | Εκκενώθηκαν 10 οικισμοί: Τρυπητή, Γλύφα, Πυργάκι, Άσπρο Χωριό, Αγκαριά, Άγ.Χαράλαμπος, Κάμπος, Μπουγάδος, Ανεράτζια, Καμάρι. Δύο ξεχωριστά μέτωπα λόγω αναγλύφου. Ισχυροί άνεμοι. Δεν αναφέρθηκαν ζημιές σε σπίτια. | Συνολικά 10 χωριά εκκενώθηκαν (Τρυπητή, Γλύφα, Πυργάκι, Άσπρο Χωριό, Αγκαριά, Άγιος Χαράλαμπος, Κάμπος, Μπουγάδος, Ανεράτζια, Καμάρι). Κατηγορία 3 αρχικά (email). Αναζωπύρωση 30/7. Φωτιά έφτασε έως θάλασσα. 5 συνολικά 112 από έναρξη έως 30/7. Πρόστιμα: €8.437,50. | 2 Canadair, 5 ελικόπτερα· εκκένωση 10 χωριών</t>
  </si>
  <si>
    <t>Λαβάρα Σουφλίου</t>
  </si>
  <si>
    <t>Σουφλί</t>
  </si>
  <si>
    <t>ορεινή ομάδα 7ης ΕΜΟΔΕ</t>
  </si>
  <si>
    <t>υδροφόρες Δήμου Διδυμοτείχου</t>
  </si>
  <si>
    <t>https://www.ekathimerini.com/news/1310827/ground-air-forces-battle-wildfire-near-turkish-border/ ; https://www.in.gr/2026/07/28/greece/evros-synagermos-gia-fotia-se-agrotiki-ektasi-sto-soufli/ ; https://www.lamiareport.gr/ellada/item/fotia-tora-stin-perioxi-lavara-ston-evro/ ; https://www.radioevros.gr/fwtia-lavara-konta-psils-stalos/ ; https://www.protothema.gr/greece/article/1857182/fotia-tora-sto-soufli-evrou-kaiei-se-agrotiki-ektasi/ ; https://www.madata.gr/epikairotita/social/970932-pyrkagia-sta-lavara-soyflioy-stis-floges-kthnotrofikh-monada-%E2%80%93-apomakrynthhkan-egkairos-200-zoa.html ; https://www.efsyn.gr/ellada/1437281/fotia-sto-soyfli-epi-topoy-epigeies-dynameis-tis-pyrosvestikis/ ; https://www.evros24.gr/evros-fotia-se-agrotodasiki-ektasi-st/ ; https://www.documentonews.gr/article/fotia-tora-sto-soufli-se-agrotiki-ektasi-sta-lavara/ ; https://www.neolaia.gr/2026/07/28/fotia-tora-sto-soufli-epi-podos-i-pyrosvestiki/ ; https://www.news247.gr/ellada/fotia-se-agrotiki-ektasi-sto-soufli/</t>
  </si>
  <si>
    <t>Αγροτοδασική έκταση κοντά στα ελληνοτουρκικά σύνορα, πεδίο βολής Ψηλός Στάλος. Yutori 14:25 EEST. | Κτηνοτροφική μονάδα στις φλόγες — απομακρύνθηκαν εγκαίρως ~200 ζώα. Πυρκαγιά κοντά στο πεδίο βολής «Ψηλός Στάλος». | Αγροτοδασική έκταση κοντά στα ελληνοτουρκικά σύνορα (πεδίο βολής Ψηλός Στάλος). Οριοθετήθηκε. | Γεωργικές εκτάσεις κοντά στα ελληνοτουρκικά σύνορα. Ενεργοποιήθηκε Υπηρεσία Εγκληματολογίας Εμπρησμών Έβρου. | Αγροτική έκταση κοντά στα ελληνοτουρκικά σύνορα. Πληροφορία 14:25 EEST. | Κοντά στα ελληνοτουρκικά σύνορα. Δασική έκταση. Κίνδυνος εκτιμήθηκε ΜΕΣΗ βάσει χάρτη 29/7 για Έβρο (μπλε ζώνη).</t>
  </si>
  <si>
    <t>Καλλίδρομο Φθιώτιδας</t>
  </si>
  <si>
    <t>Αμφίκλεια-Ελάτεια</t>
  </si>
  <si>
    <t>2 ομάδες πεζοπόρων 4ης ΕΜΟΔΕ, εθελοντές, αντλιοφόρα ΓΓΠΠ</t>
  </si>
  <si>
    <t>υπό διερεύνηση (ανακριτική αρχή εμπρησμών Φθιώτιδος)</t>
  </si>
  <si>
    <t>https://www.efsyn.gr/ellada/1435938/oriothetithike-i-pyrkagia-se-dasiki-ektasi-sto-kallidromo-fthiotidas/ ; https://www.thestival.gr/eidiseis/astynomika/oriothetithike-i-pyrkagia-se-dasiki-ekt-3/ ; https://www.madata.gr/epikairotita/social/971484-megalh-kinhtopoihsh-gia-fotia-sto-oros-kallidromo-sth-fthiotida-ischyres-epigeies-kai-enaeries-dynameis-sto-shmeio.html ; https://www.skai.gr/news/greece/fthiotida-fotia-se-dasiki-ektasi-sto-oros-kallidromo ; https://www.thetoc.gr/koinwnia/article/fthiotida-oriothetithike-i-fotia-se-dasiki-ektasi-sto-oros-kallidromo/</t>
  </si>
  <si>
    <t>Δασική έκταση. | Δύσβατο σημείο, δεν απειλήθηκαν κατοικίες. Πηγές αναφέρουν έναρξη 12:30 26/07 — ενδεχόμενη απόκλιση ημερομηνίας batch.</t>
  </si>
  <si>
    <t>αγροτοδασική έκταση Ηρακλείου Κρήτης</t>
  </si>
  <si>
    <t>Ηράκλειο</t>
  </si>
  <si>
    <t>υδροφόρες Δήμου Μινώα Πεδιάδας</t>
  </si>
  <si>
    <t>https://www.skai.gr/news/greece/fotia-sto-irakleio-kritis-se-agrotodasiki-ektasi-epixeiroun-enaeria ; https://www.cnn.gr/ellada/story/545672/fotia-se-agrotodasiki-ektasi-sto-irakleio-kritis-megali-epixeirisi-tis-pyrosvestikis ; https://www.newsit.gr/ellada/irakleio-fotia-se-agrotodasiki-ektasi-megali-i-kinitopoiisi-tis-pyrosvestikis/4738964/ ; https://www.newsbeast.gr/greece/arthro/13262391/fotia-irakleio-kritis-pyrosvestiki-elikoptera ; https://www.thestival.gr/eidiseis/astynomika/fotia-se-agrotodasiki-ektasi-sto-irak/</t>
  </si>
  <si>
    <t>Οριοθέτηση ~17:45 EEST. Διαφορετικό συμβάν από Μπάδια (25/7) και Μορόνι (29/7). | Φωτιά στην περιοχή Φαβριανά Ηρακλείου. Δύο εναέρια μέσα (ελικόπτερα) ενισχύθηκαν με επίγειες δυνάμεις.</t>
  </si>
  <si>
    <t>αγροτοδασική έκταση Κέρκυρας</t>
  </si>
  <si>
    <t>Κέρκυρα</t>
  </si>
  <si>
    <t>https://www.skai.gr/news/greece/pyrkagia-se-agrotodasiki-ektasi-stin-kerkyra</t>
  </si>
  <si>
    <t>18:20</t>
  </si>
  <si>
    <t>Σταυρός Διρφύων-Μεσσαπίων</t>
  </si>
  <si>
    <t>2 ομάδες πεζοπόρων 4ης &amp; 20ης ΕΜΟΔΕ</t>
  </si>
  <si>
    <t>υδροφόρες Δήμου Διρφύων-Μεσσαπίων</t>
  </si>
  <si>
    <t>https://www.newsit.gr/ellada/fotia-stin-eyvoia-stin-perioxi-stayros-epixeiroun-enaeria-mesa/4738217/ ; https://www.ertnews.gr/eidiseis/ellada/pyrkagia-ston-stayro-eyvoias-sti-maxi-kai-enaeria-mesa/ ; https://www.ertnews.gr/eidiseis/ellada/ypo-elegxo-i-pyrkagia-ston-stayro-eyvoias/ ; https://www.cnn.gr/ellada/story/545544/fotia-se-dasiki-ektasi-ston-stavro-stin-eyvoia-sikothikan-enaeria-mesa ; https://www.lifo.gr/now/greece/eyboia-fotia-se-dasiki-ektasi-ston-stayro-epiheiroyn-42-pyrosbestes ; https://www.naftemporiki.gr/society/2143387/fotia-tora-ston-stayro-eyvoias/ ; https://www.cnn.gr/ellada/story/545551/ypo-elegxo-i-pyrkagia-ston-stavro-evvoias ; https://www.in.gr/2026/07/27/greece/fotia-se-dasiki-ektasi-stin-eyvoia-epixeiroun-enaeria-mesa-2/ ; https://www.skai.gr/news/greece/fotia-stin-eyvoia-3 ; https://www.enikos.gr/society/fotia-se-dasiki-ektasi-stin-evvoia-epicheiroun-kai-3-enaeria-mesa-2/2620496/ ; https://athina984.gr/2026/07/27/pyrkagia-se-agrotodasiki-ektasi-ston-stayro-eyvoias/ ; https://www.efsyn.gr/ellada/1436742/pyrkagia-se-dasiki-ektasi-stin-eyvoia-epiheiroyn-kai-enaeria-mesa/ ; https://www.newsbeast.gr/greece/arthro/13260373/evvoia-esvise-i-fotia-ston-stavro-23-pyrkagies-se-24-ores-se-oli-tin-ellada ; https://www.protothema.gr/greece/article/1856793/fotia-se-dasiki-ektasi-ston-stauro-stin-euvoia-epiheiroun-3-enaeria/ ; https://www.skai.gr/news/greece/fotia-se-agrotodasiki-ektasi-ston-stayro-tou-dimou-dirfyon-messapion ; https://www.news24world.com/evvoia-esvise-i-fotia-ston-stavro-23-pyrkagies-se-24-ores-se-oli-tin-ellada/</t>
  </si>
  <si>
    <t>Δύσβατο σημείο, δεν απειλούνται κατοικίες. | Αγροτοδασική έκταση. Drone παρακολούθηση ΕΣΚΕΙΔΙΚ. Πυρκαγιά τέθηκε υπό έλεγχο. | Αγροτοδασική έκταση σε δύσβατη περιοχή. Δεν απειλήθηκαν κατοικίες ή υποδομές. | Newsbeast: «Έσβησε η φωτιά στον Σταυρό». Μία εκ των 23 αγροτοδασικών πυρκαγιών σε 24ωρο εθνικά.</t>
  </si>
  <si>
    <t>Σταυρός Ευβοίας</t>
  </si>
  <si>
    <t>Δήμος Διρφύων-Μεσσαπίων</t>
  </si>
  <si>
    <t>2 ομάδες πεζοπόρων 20ης ΕΜΟΔΕ</t>
  </si>
  <si>
    <t>υδροφόρες</t>
  </si>
  <si>
    <t>https://athina984.gr/2026/07/27/pyrkagia-se-agrotodasiki-ektasi-ston-stayro-eyvoias/ ; https://www.in.gr/2026/07/27/greece/fotia-se-dasiki-ektasi-stin-eyvoia-epixeiroun-enaeria-mesa-2/ ; https://www.ertnews.gr/eidiseis/ellada/pyrkagia-ston-stayro-eyvoias-sti-maxi-kai-enaeria-mesa/ ; https://www.tovima.gr/2026/07/27/society/fotia-tora-stin-eyvoia-isxyres-dynameis-tis-pyrosvestikis/ ; https://www.tanea.gr/2026/07/27/greece/fotia-tora-se-dasiki-ektasi-stin-eyvoia-epixeiroun-kai-tria-enaeria-mesa/ ; https://www.newsbeast.gr/greece/arthro/13260373/evvoia-esvise-i-fotia-ston-stavro-23-pyrkagies-se-24-ores-se-oli-tin-ellada ; https://www.cnn.gr/ellada/story/545551/ypo-elegxo-i-pyrkagia-ston-stavro-evvoias ; https://www.protothema.gr/greece/article/1856793/fotia-se-dasiki-ektasi-ston-stauro-stin-euvoia-epiheiroun-3-enaeria/ ; https://www.lifo.gr/now/greece/eyboia-fotia-se-dasiki-ektasi-ston-stayro-epiheiroyn-42-pyrosbestes ; https://www.news24world.com/evvoia-esvise-i-fotia-ston-stavro-23-pyrkagies-se-24-ores-se-oli-tin-ellada/</t>
  </si>
  <si>
    <t>Ενεργοποιήθηκε Ανακριτικό Κλιμάκιο Εμπρησμών για διερεύνηση αιτιών. | Αγροτοδασική. ΕΣΚΕΔΙΚ drone (οπτική+θερμική). Ενεργοποιήθηκε κλιμάκιο εμπρησμών. | Πανομοιότυπο περιστατικό με 'Σταυρός Διρφύων-Μεσσαπίων' (ίδια ημ/νία, ώρα, δυνάμεις) — πιθανή διπλοεγγραφή. Newsbeast: «Έσβησε η φωτιά στον Σταυρό».</t>
  </si>
  <si>
    <t>13:41</t>
  </si>
  <si>
    <t>14:32</t>
  </si>
  <si>
    <t>Αληθινή</t>
  </si>
  <si>
    <t>υδροφόρες Δήμου Φαιστού</t>
  </si>
  <si>
    <t>112 ετοιμότητα: «Πυρκαγιά στην περιοχή Αληθινή — Παραμείνετε σε ετοιμότητα» | 112: «Πυρκαγιά στην περιοχή Αληθινή της ΠΕ Ηρακλείου. Μείνετε σε ετοιμότητα και ακολουθήστε τις οδηγίες των Αρχών.»</t>
  </si>
  <si>
    <t>https://www.protothema.gr/greece/article/1856634/fotia-tora-sto-irakleio-kritis-112-gia-etoimotita-stin-periohi-tis-alithinis-sikothikan-2-elikoptera/ ; https://www.newsbomb.gr/ellada/story/1752603/irakleio-fotia-stin-alithini-ixise-to-112-gia-etoimotita-epixeiroyn-enaeria-mesa ; https://www.newsit.gr/ellada/fotia-sto-irakleio-stin-perioxi-alithini-minyma-tou-112-gia-etoimotita/4737972/ ; https://www.in.gr/2026/07/27/greece/fotia-sto-irakleio-kritis-ixise-to-112/ ; https://www.thetoc.gr/koinwnia/article/purkagia-stin-alithini-irakleiou-kritis-kai-enaeria-mesa-stin-katasbesi---estali-minuma-112/ ; https://www.vradini.gr/ellada/kriti-pyrkagia-sto-irakleio-minyma-apo-to-112-gia-etoimotita-stin-perioxi-tis-alithinis-sikothikan-2-elikoptera/1610420/ ; https://athina984.gr/2026/07/27/pyrkagia-se-agrotodasiki-ektasi-ston-stayro-eyvoias/ ; https://www.eleftherostypos.gr/ellada/fotia-tora-sto-irakleio-sto-simeio-ischyres-pyrosvestikes-dynameis ; https://www.sofokleousin.gr/node/439285</t>
  </si>
  <si>
    <t>Αγροδασική έκταση στα Αστερούσια, μεταξύ Πομπίας και Αληθινής. Τελευταία ενημέρωση 27/7 19:44 με 90 πυροσβέστες (αρχικά 54). Δεν απειλούνταν οικίες. | Πολλαπλά σημεία αναζωπύρωσης και ενεργά σημεία καπνού. Απείλησε κτηνοτροφικές εγκαταστάσεις και αποθήκες χωρίς αναφορά υλικών ζημιών. Μία από τις 2 ενεργές φωτιές στο 24ωρο 26-27/07. | Πρόστιμο 9.360€ επιβλήθηκε σύμφωνα με ertnews. 7 συλλήψεις για αμέλεια σε πυρκαγιές ίδια ημέρα. | Πυρκαγιά σε χαμηλή βλάστηση/αγροτοδασική έκταση. Protothema: «Σε ύφεση». 112 για ετοιμότητα στην περιοχή Φαιστού.</t>
  </si>
  <si>
    <t>https://www.ertnews.gr/roi-idiseon/evros-synagermos-stin-pyrosvestiki-gia-fotia-se-agrotiki-ektasi-sto-soufli/ ; https://www.ertnews.gr/perifereiakoi-stathmoi/orestiada/soufli-ypo-elegxo-i-fotia-pou-ksespase-konta-sto-pedio-volis-psilos-stalos/ ; https://www.in.gr/2026/07/28/greece/evros-synagermos-gia-fotia-se-agrotiki-ektasi-sto-soufli/ ; https://www.ekathimerini.com/news/1310827/ground-air-forces-battle-wildfire-near-turkish-border/ ; https://www.skai.gr/news/greece/fotia-se-agrotiki-ektasi-sto-soufli ; https://www.madata.gr/epikairotita/social/970932-pyrkagia-sta-lavara-soyflioy-stis-floges-kthnotrofikh-monada-%E2%80%93-apomakrynthhkan-egkairos-200-zoa.html ; https://www.newsit.gr/ellada/fotia-sta-lavara-evrou-epixeiroun-22-pyrosvestes/4738722/</t>
  </si>
  <si>
    <t>~300 στρέμματα = 30 ha. Κοντά στο πεδίο βολής «Ψηλός Σταλός» και ελληνοτουρκικά σύνορα. Yutori email (28/7): 26 πυρ., 7 οχ., 1 ελικ. Οριοθετήθηκε 28/7. | Συνδρομή υδροφόρων Δήμου Διδυμοτείχου. Κτηνοτροφική μονάδα εντός της ζώνης – 200 ζώα απομακρύνθηκαν εγκαίρως.</t>
  </si>
  <si>
    <t>Παλαιοπαναγιά</t>
  </si>
  <si>
    <t>Σπάρτης</t>
  </si>
  <si>
    <t>υδροφόρες Δήμου Σπάρτης</t>
  </si>
  <si>
    <t>https://www.naftemporiki.gr/society/2143145/fotia-tora-sti-sparti/ ; https://www.skai.gr/news/greece/sparti-ypo-elegxo-i-fotia-stin-palaiopanagia-den-yparxei-pleon-energo-metopo ; https://www.anagnostis.org/2026/07/27/fotia-stin-palaiopanagia-spartis-machi-me-28-pyrosvestes-6-aeroskafi/ ; https://www.tanea.gr/2026/07/27/greece/fotia-tora-sti-sparti-sti-maxi-kai-eksi-enaeria-mesa/ ; https://www.inewsgr.com/227/fotia-se-dasiki-ektasi-sti-sparti--epicheiroun-4-aeroskafi-kai-2-elikoptera.htm ; https://www.enikos.gr/society/fotia-se-dasiki-ektasi-sti-sparti-epicheiroun-4-aeroskafi-kai-2-elikoptera/2620317/ ; https://www.sport-fm.gr/article/5138125 ; https://www.firefightingreece.gr/2026/07/27/pyrkagia-se-agrotodasiki-ektasi-stin-palaiopanagia-lakonias/ ; https://www.notospress.gr/peloponnisos/story/130956/sparti-deyteri-fotia-se-liga-24ora-ligo-elleipse-pyrkagia-na-apeilisei-xorio</t>
  </si>
  <si>
    <t>Αγροτοδασική έκταση, περιοχή Αγίας Τριάδας Παλαιοπαναγιάς. Χωρίς ενεργό μέτωπο. 6 εναέρια μέσα (4 αεροσκ. + 2 ελικ.). | Δεν απειλούνται κατοικίες ή υποδομές. | Δεν υπάρχει πλέον ενεργό μέτωπο (ΣΚΑΙ). Ανακριτικό Κλιμάκιο Λακωνίας ενεργοποιήθηκε. Χωρίς απειλή για οικισμούς. | Δεν υπάρχει πλέον ενεργό μέτωπο (ΣΚΑΪ). Δεύτερη πυρκαγιά στην περιοχή μέσα σε λίγα 24ωρα. Δυνάμεις παραμένουν για διαβροχές και αντιμετώπιση μικρών εστιών.</t>
  </si>
  <si>
    <t>Άγιος Δημήτριος Κοζάνης</t>
  </si>
  <si>
    <t>1 ομάδα πεζοπόρων 8ης ΕΜΟΔΕ</t>
  </si>
  <si>
    <t>https://www.newsbomb.gr/ellada/story/1752565/fotia-tora-se-dasiki-ektasi-stin-kozani-epixeirei-kai-elikoptero ; https://www.in.gr/2026/07/27/greece/fotia-stin-perioxi-tou-agiou-dimitriou-stin-kozani/ ; https://newpost.gr/eidiseis/kozani-pyrkagia-se-dasiki-ektasi-stin-periochi-agioy-dimitrioy/ ; https://athina984.gr/2026/07/27/pyrkagia-se-agrotodasiki-ektasi-ston-stayro-eyvoias/ ; https://www.skai.gr/news/greece/fotia-se-dasiki-ektasi-stin-kozani-sikothike-elikoptero ; https://www.newsbomb.gr/oles-oi-eidhseis/story/1752565/fotia-tora-se-dasiki-ektasi-stin-kozani-epixeirei-kai-elikoptero ; https://www.ertnews.gr/perifereia/kozani-fotia-se-dysvati-perioxi-tou-agiou-dimitriou/ ; https://www.protothema.gr/greece/article/1856587/fotia-tora-ston-agio-dimitrio-kozanis-sikothike-ena-elikoptero/ ; https://www.cnn.gr/ellada/story/545461/pyrkagia-se-dasiki-ektasi-stin-perioxi-tou-agiou-dimitriou-stin-kozani ; https://www.firefightingreece.gr/2026/07/27/pyrkagia-se-dasiki-ektasi-ston-agio-dimitrio-kozanis/</t>
  </si>
  <si>
    <t>Δασική έκταση. Δεν απειλούνταν κατοικίες ή υποδομές. | Φωτιά εξελίχθηκε μακριά από κατοικίες και υποδομές. Ενεργοποιήθηκε Ανακριτικό Κλιμάκιο Εμπρησμών. Μία από τις 2 ενεργές φωτιές στο 24ωρο 26-27/07 (από συνολικά 23). | Δύσβατη περιοχή, δεν απειλούνται κατοικίες. | Πυρκαγιά σε δύσβατη περιοχή, χωρίς απειλή οικισμών. Ανακριτικό Κλιμάκιο Εμπρησμού Κοζάνης ενεργοποιήθηκε.</t>
  </si>
  <si>
    <t>18:55</t>
  </si>
  <si>
    <t>Μονόλοφος Ωραιοκάστρου Θεσσαλονίκης</t>
  </si>
  <si>
    <t>Ωραιοκάστρου</t>
  </si>
  <si>
    <t>υδροφόρες Δήμου Θεσσαλονίκης</t>
  </si>
  <si>
    <t>υπό διερεύνηση (ενεργοποίηση ΚΛΑΕ Θεσσαλονίκης)</t>
  </si>
  <si>
    <t>112 ήχησε (ώρα ΔΓ): εκκένωση/προειδοποίηση κοντά σε κατοικίες Μονόλοφου</t>
  </si>
  <si>
    <t>https://www.topontiki.gr/2026/07/26/thessaloniki-sinagermos-gia-nea-fotia-ston-monolofo-epichiroun-5-enaeria-mesa/ ; https://www.skai.gr/news/greece/pyrkagia-sto-monolofo-oraiokastrou-thessalonikis-sikothikan-dyo-elikoptera ; https://www.libre.gr/2026/07/26/foties-sto-oraiokastro-kai-stin-pylai/ ; https://www.newsit.gr/ellada/fotia-sto-oraiokastro-thessalonikis-stin-perioxi-monolofos-epixeiroun-kai-enaeria-mesa/4737471/ ; https://civilprotection.gov.gr/sites/default/files/2026-07/260726.jpg ; https://www.newsbomb.gr/ellada/story/1752436/thessaloniki-oriothetithikan-oi-foties-se-pylaia-kai-monolofo-oraiokastrou ; https://www.real.gr/koinonia/arthro/thessaloniki-pyrkagies-se-pylaia-kai-oraiokastro-ichise-to-112-vinteo-890389-890389/ ; https://www.huffingtonpost.gr/kinonia/fotia-sto-oraiokastro-thessalonikis-stin-periochi-monolofos-epicheiroun-kai-enaeria-mesa/ ; https://www.makedonikanea.gr/ellada/thessaloniki-pyrkagia-se-hamili-blastisi-ston-monolofo-oraiokastroy ; https://ecozen.gr/2026/07/thessaloniki-foties-se-oraiokastro-kai-pylaia/ ; https://www.news247.gr/ellada/fotia-sto-oraiokastro-thessalonikis-epixeiroun-kai-enaeria-mesa/ ; https://grtimes.gr/thessaloniki/oriothetithikan-oi-epikindynes-foties-se-pylaia-kai-monolofo-thessalonikis-anakoufisi-meta-ti-megali-machi/ ; https://www.in.gr/2026/07/26/greece/thessaloniki-oriothetithikan-oi-pyrkagies-se-pylaia-kai-monolofo-oraiokastrou/ ; https://www.rthess.gr/ellada/nea-pyrkagia-sti-thessaloniki-petaxan-enaeria-mesa/</t>
  </si>
  <si>
    <t>Ξεχωριστό συμβάν από Πυλαία· σχεδόν ταυτόχρονη εκδήλωση· 5 εναέρια μέσα συνολικά (3 αεροσκάφη + 2 ελικόπτερα) | Ξεχωριστό μέτωπο από Πυλαία που ξέσπασε λίγα λεπτά αργότερα ίδια ημέρα | Δεν απειλήθηκαν κατοικίες. Ενεργοποιήθηκε Ανακριτικό Κλιμάκιο Εμπρησμών Θεσσαλονίκης. Ταυτόχρονη εκδήλωση με φωτιά Πυλαίας το ίδιο απόγευμα. | Χαμηλή βλάστηση.</t>
  </si>
  <si>
    <t>Ωραιόκαστρο — Μόνολοφος / Λητή / Δερβένι</t>
  </si>
  <si>
    <t>Ωραιόκαστρο</t>
  </si>
  <si>
    <t>αναμμένο τσιγάρο</t>
  </si>
  <si>
    <t>https://www.skai.gr/news/greece/pyrkagia-sto-monolofo-oraiokastrou-thessalonikis-sikothikan-dyo-elikoptera ; https://www.ekathimerini.com/news/1310967/three-firefighters-dead-villages-evacuated-as-wildfires-rip-through-tinder-dry-forests/</t>
  </si>
  <si>
    <t>2 νεκροί πολίτες (πατέρας &amp; γιος) που εγκλωβίστηκαν στις φλόγες· ~17:30 EEST</t>
  </si>
  <si>
    <t>Βατερό – Τραπεζίτσα Κοζάνης</t>
  </si>
  <si>
    <t>https://www.tanea.gr/2026/07/26/greece/fotia-tora-stin-kozani-sto-simeio-epigeies-kai-enaeries-dynameis ; https://www.enikos.gr/society/fotia-se-chamili-vlastisi-stin-trapezitsa-kozanis-epicheiroun-kai-4-enaeria-mesa/2620007/ ; https://www.documentonews.gr/article/fotia-tora-stin-kozani-epicheiroun-epigeies-kai-enaeries-dynameis/ ; https://www.newsit.gr/ellada/fotia-stin-kozani-stin-perioxi-trapezitsa-enaeria-mesa-sto-simeio/4737495/ ; https://www.documentonews.gr/article/fotia-tora-se-dasiki-ektasi-stin-kozani/ ; https://www.naftemporiki.gr/society/2143106/fotia-tora-stin-kozani/ ; https://www.tanea.gr/2026/07/26/greece/ypo-elegxo-i-fotia-stin-trapezitsa-kozanis-sto-nosokomeio-traymatias-me-egkaymata/ ; https://civilprotection.gov.gr/sites/default/files/2026-07/260726.jpg</t>
  </si>
  <si>
    <t>Χαμηλή βλάστηση/αγροδασική. Δεν απειλούνταν οικίες. Πιθανή σχέση με πυρκαγιά Τραπεζίτσας Βοΐου ίδιας ημέρας (αδιευκρίνιστη). | 1 τραυματίας με εγκαύματα νοσηλεύθηκε στο Μαμάτσειο Νοσοκομείο Κοζάνης. Δεν απειλήθηκαν κατοικίες ή υποδομές. Αναφέρεται και ως «Τραπεζίτσα» σε ορισμένες πηγές. | 1 τραυματίας κτηνοτρόφος (εγκαύματα) — νοσηλεύεται στο Μαμάτσειο Νοσοκομείο Κοζάνης | 1 τραυματίας με εγκαύματα νοσηλεύτηκε. Δασική έκταση.</t>
  </si>
  <si>
    <t>Πυλαία Θεσσαλονίκης – περιοχή Μουσικού Σχολείου</t>
  </si>
  <si>
    <t>Πυλαίας-Χορτιάτη</t>
  </si>
  <si>
    <t>3 ομάδες πεζοπόρων 2ης &amp; 21ης ΕΜΟΔΕ + Ευρωπαίοι πυροσβέστες (προτοποθέτηση)</t>
  </si>
  <si>
    <t>Υδροφόρες Δήμου Θεσσαλονίκης</t>
  </si>
  <si>
    <t>16:58 προειδοποίηση ετοιμότητας (ευρύτερη Πυλαία)· αμέσως μετά εκκένωση περιοχής «Μουσικό Σχολείο» προς Πυλαία | 112 ~16:58: ετοιμότητα κατοίκων γύρω περιοχών· εκκένωση περιοχής Μουσικού Σχολείου Πυλαίας (2 μηνύματα συνολικά) | 112 16:58: προειδοποίηση ετοιμότητας ευρύτερης Πυλαίας· ~17:10: εκκένωση περιοχής Μουσικό Σχολείο προς Πυλαία | 112 16:58 ετοιμότητα Πυλαία· 17:12 εκκένωση περιοχής Μουσικό Σχολείο Πυλαίας προς Πυλαία | 112 16:58: προειδοποίηση/ενημέρωση για ευρύτερη περιοχή Πυλαίας· 17:12: εκκένωση όσων βρίσκονται στην περιοχή Μουσικό Σχολείο Πυλαίας προς Πυλαία | 112 x2: πρώτο μήνυμα ετοιμότητας στις 17:00, δεύτερο μήνυμα εκκένωσης αμέσως μετά. Σε διασκορπισμένες κατοικίες στην περιοχή. | ναι — εκκένωση περιοχής Μουσικό Σχολείο Πυλαίας (17:12)</t>
  </si>
  <si>
    <t>https://www.topontiki.gr/2026/07/26/fotia-tora-stin-pilea-thessalonikis-ichise-to-112-mesa-stin-poli-gia-tin-etimotita-ton-katikon/ ; https://www.protothema.gr/greece/article/1856313/fotia-tora-stin-pulaia-ihise-to-112-gia-etoimotita/ ; https://www.newsit.gr/ellada/fotia-stin-pylaia-minyma-tou-112-gia-ekkenosi-tis-perioxis-mousiko-sxoleio/4737436/ ; https://www.theopinion.gr/thessaloniki-makedonia/thessaloniki-fotia-stin-pylaia-ichise-to-112/ ; https://www.tanea.gr/2026/07/26/greece/fotia-tora-stin-pylaia-thessalonikis-ixise-to-112/ ; https://www.newsbomb.gr/ellada/story/1752420/fotia-tora-stin-pylaia-thessalonikis-ixise-to-112-gia-ekkenosi ; https://civilprotection.gov.gr/sites/default/files/2026-07/260726.jpg ; https://www.in.gr/2026/07/26/greece/fotia-stin-pylaia-thessalonikis-simane-synagermos-minyma-apo-to-112/ ; https://www.thestival.gr/eidiseis/astynomika/ektato-thessaloniki-fotia-tora-stin-py/ ; https://www.ertnews.gr/ert3/fotia-tora-se-xamili-vlastisi-stin-pylaia-thessalonikis-dyo-minymata-apo-to-112-gia-proliptiki-apomakrynsi/ ; https://www.newsbomb.gr/ellada/story/1752436/thessaloniki-oriothetithikan-oi-foties-se-pylaia-kai-monolofo-oraiokastrou ; https://www.ertnews.gr/ert3/thessaloniki/ ; https://www.naftemporiki.gr/society/2142912/fotia-tora-stin-pylaia-thessalonikis-dyo-minymata-apo-to-112/ ; https://parallaximag.gr/thessaloniki-news/thessaloniki-pyrkagia-stin-pylaia-ichise-to-112 ; https://www.emakedonia.gr/thessaloniki-synagermos-gia-fotia-stin-pylaia-ichise-dyo-fores-to-112-megali-kinitopoiisi-tis-pyrosvestikis-vinteo ; https://ecozen.gr/2026/07/thessaloniki-foties-se-oraiokastro-kai-pylaia/ ; https://www.newsbeast.gr/greece/arthro/13258026/fotia-stin-pylaia-thessalonikis-minyma-112-gia-ekkenosi-megali-kinitopoiisi-tis-pyrosvestikis ; https://grtimes.gr/thessaloniki/oriothetithikan-oi-epikindynes-foties-se-pylaia-kai-monolofo-thessalonikis-anakoufisi-meta-ti-megali-machi/ ; https://voicenews.gr/thessaloniki-pyrkagia-se-dasiki-ektasi-stin-pylaia-synagermos-stin-pyrosvestiki/ ; https://www.in.gr/2026/07/26/greece/thessaloniki-oriothetithikan-oi-pyrkagies-se-pylaia-kai-monolofo-oraiokastrou/ ; https://www.naftemporiki.gr/society/2142970/thessaloniki-ypo-elegcho-oi-pyrkagies-se-pylaia-kai-monolofo/</t>
  </si>
  <si>
    <t>Χαμηλή βλάστηση σε αραιοκατοικημένη περιοχή νότια Πυλαίας, κοντά Μουσικό Σχολείο. Φωτιά επεκτάθηκε προς βενζινάδικο λόγω αδιαχείριστων αγροτεμαχίων. Αρχικά 27 πυρ. → ενισχύθηκαν σε 72. Κλιμάκιο εμπρησμού Θεσσαλονίκης ενεργοποιήθηκε. ~8.000 καταγγελίες για αδέσποτα οικόπεδα φέτος. | Χαμηλή βλάστηση κοντά σε κατοικίες και πρατήριο υγρών καυσίμων· υπό έλεγχο σε &lt;1 ώρα· Διεύθυνση Αντιμετώπισης Εγκλημάτων Εμπρησμού ενεργοποιήθηκε | Χαμηλή βλάστηση κοντά σε διάσπαρτες κατοικίες· απεγκλωβισμοί κατοίκων | Χαμηλή βλάστηση κοντά σε κατοικίες. 7 εναέρια μέσα συνολικά (4 ελικ. + 3 αεροσκ.). 72 πυροσβέστες. | Φωτιά σε χαμηλή βλάστηση, απειλή προς βενζινάδικο. Ενεργοποιήθηκε Ανακριτικό Κλιμάκιο Εμπρησμών. Ταυτόχρονα με φωτιά Μονόλοφου Ωραιοκάστρου. Αρχικές δυνάμεις 27 πυροσβέστες/12 οχήματα/3 αεροσκάφη/4 ελικόπτερα ενισχύθηκαν. | Φωτιά κινδύνευσε να φτάσει σε βενζινάδικο. Αδέσποτα οικόπεδα αύξησαν εξάπλωση. 221 συλλήψεις πυρκαγιών από Ιανουάριο–Ιούλιο 2026 στη χώρα. | Τέθηκε υπό έλεγχο σε λιγότερο από μία ώρα μετά από άμεση επέμβαση (Newsbeast). Εκκένωση περιοχής Μουσικού Σχολείου μέσω 112. | Δασική έκταση δήμου Πυλαίας-Χορτιάτη.</t>
  </si>
  <si>
    <t>Βασιλικά - Ρεγγίνι</t>
  </si>
  <si>
    <t>Καμένων Βούρλων</t>
  </si>
  <si>
    <t>Υδροφόρες ΓΓΠΠ</t>
  </si>
  <si>
    <t>https://www.ilamia.gr/2026/07/26/fthiotida-pyrkagia-konta-sto-reggini-epicheiroyn-kai-enaeria-mesa/ ; https://newpost.gr/eidiseis/fthiotida-fotia-se-dasiki-ektasi-sta-vasilika-_epicheiroyn-enaeria-mesa/ ; https://www.newsit.gr/ellada/fotia-sta-vasilika-fthiotidas-enisxyontai-oi-dynameis/4737333/ ; https://www.topontiki.gr/2026/07/26/fotia-tora-sta-vasilika-fthiotidas-kei-dasiki-ektasi-4-enaeria-mesa-sti-machi-me-tis-floges/ ; https://www.eleftherostypos.gr/ellada/fotia-sti-fthiotida-oriothetithike-to-pyrino-metopo-sto-kallidromo ; https://civilprotection.gov.gr/sites/default/files/2026-07/260726.jpg</t>
  </si>
  <si>
    <t>Δασική έκταση ανάμεσα Ρεγγίνι και Βασιλικά, χωρίς κατοικίες. Αρχικά 4 εναέρια. Ο eleftherostypos αναφέρει οριοθέτηση μετώπου. Δυνάμεις πιθανώς κοινές με πυρκαγιά Καλλίδρομου (ίδιες ΕΜΟΔΕ, ίδιοι αριθμοί).</t>
  </si>
  <si>
    <t>2026-07-26</t>
  </si>
  <si>
    <t>Δήμος Αμφίκλειας-Ελάτειας</t>
  </si>
  <si>
    <t>Υδροφόρες και βαρύ μηχανικό ΓΓΠΠ</t>
  </si>
  <si>
    <t>υπό διερεύνηση (Κλιμάκιο Εμπρησμών Φθιώτιδας)</t>
  </si>
  <si>
    <t>https://www.ertnews.gr/eidiseis/pyrkagia-sto-oros-kallidromo-fthiotidas-enisxythikan-oi-dynameis/ ; https://www.skai.gr/news/greece/fthiotida-fotia-se-dasiki-ektasi-sto-oros-kallidromo ; https://www.in.gr/2026/07/26/greece/fthiotida-fotia-sta-vasilika-sikothikan-tessera-enaeria-mesa/ ; https://civilprotection.gov.gr/sites/default/files/2026-07/260726.jpg ; https://www.ilamia.gr/2026/07/26/fthiotida-pyrkagia-konta-sto-reggini-epicheiroyn-kai-enaeria-mesa/ ; https://www.capital.gr/epikairotita/4007155/purkagia-sto-oros-kallidromo-fthiotidas-megali-kinitopoiisi-tis-purosbestikis-me-epigeies-kai-enaeries-dunameis/ ; https://www.cretalive.gr/ellada/pyrkagia-sto-oros-kallidromo-fthiotidas ; https://www.thetoc.gr/koinwnia/article/fthiotida-oriothetithike-i-fotia-se-dasiki-ektasi-sto-oros-kallidromo/ ; https://www.pontosnews.gr/854962/ellada/fotia-sti-fthiotida-se-dysvato-simeio-sto-kallidromo/</t>
  </si>
  <si>
    <t>Ιδιαίτερα δυσπρόσιτη τοποθεσία· δεν απειλούνται κατοικίες ή υποδομές | Δυνάμεις ενισχύθηκαν: αρχικά 43 πυροσβέστες/12 οχήματα/3 αεροσκάφη/1 ελικόπτερο. Δεν απειλήθηκαν κατοικίες. Αεροπυρόσβεση περιοδικά στο Καλλίδρομο. | Ιδιαίτερα δύσβατο σημείο. Δεν απειλούνται κατοικίες ή υποδομές. | Δυσπρόσιτη ορεινή δασική περιοχή χωρίς κατοικίες πλησίον. Drone ΕΣΚΕΙΔΙΚ. Ομάδα ερευνών εμπρησμού ενεργοποιήθηκε.</t>
  </si>
  <si>
    <t>14:14</t>
  </si>
  <si>
    <t>Καλλίδρομο – Αμφίκλεια-Ελάτεια Φθιώτιδας</t>
  </si>
  <si>
    <t>Υδροφόρες &amp; ΜΕ ΓΓΠΠ</t>
  </si>
  <si>
    <t>υπό διερεύνηση (ΚΛΑΕ Φθιώτιδας)</t>
  </si>
  <si>
    <t>https://www.ertnews.gr/eidiseis/pyrkagia-sto-oros-kallidromo-fthiotidas-enisxythikan-oi-dynameis/ ; https://www.skai.gr/news/greece/fthiotida-fotia-se-dasiki-ektasi-sto-oros-kallidromo ; https://www.thetoc.gr/koinwnia/article/purkagia-sto-oros-kallidromo-fthiotidas-megali-kinitopoiisi-tis-purosbestikis-me-epigeies-kai-enaeries-dunameis/ ; https://civilprotection.gov.gr/sites/default/files/2026-07/260726.jpg ; https://www.capital.gr/epikairotita/4007155/purkagia-sto-oros-kallidromo-fthiotidas-megali-kinitopoiisi-tis-purosbestikis-me-epigeies-kai-enaeries-dunameis/ ; https://www.zougla.gr/greece/fotia-sta-vasilika-fthiotidas/ ; https://www.efsyn.gr/ellada/1435938/oriothetithike-i-pyrkagia-se-dasiki-ektasi-sto-kallidromo-fthiotidas/ ; https://www.thetoc.gr/koinwnia/article/fthiotida-oriothetithike-i-fotia-se-dasiki-ektasi-sto-oros-kallidromo/ ; https://www.pontosnews.gr/854962/ellada/fotia-sti-fthiotida-se-dysvato-simeio-sto-kallidromo/ ; https://www.capital.gr/epikairotita/4007155/purkagia-sto-oros-kallidromo-fthiotidas-megali-kinitopoiisi-tis-pyrosvestikis-me-epigeies-kai-enaeries-dunameis/</t>
  </si>
  <si>
    <t>Δύσβατο σημείο· χωρίς κοντινές κατοικίες/υποδομές. ΕΣΚΕΔΙΚ παρακολουθεί με drone (οπτική+θερμική). ΑΚΑΕ Φθιώτιδας ενεργοποιήθηκε. Αρχικές δυνάμεις: 43 πυρ., 12 οχ., 3 αεροσκ., 1 ελικ. Οι τελικές δυνάμεις (55/19/6/1) ενδέχεται να αντιπροσωπεύουν το σύνολο και με την πυρκαγιά Βασιλικών. | Ιδιαίτερα δύσβατη τοποθεσία· ενεργοποίηση Ανακριτικού Κλιμακίου Φθιώτιδας· χωρίς κίνδυνο για κατοικίες | Δασική έκταση σε ιδιαίτερα δύσβατο σημείο όρους Καλλίδρομο. Δεν απειλήθηκαν κατοικίες ή υποδομές.</t>
  </si>
  <si>
    <t>Πυλαία–Μονόλοφος Ωραιοκάστρου</t>
  </si>
  <si>
    <t>Δήμος Πυλαίας-Χορτιάτη / Δήμος Ωραιοκάστρου</t>
  </si>
  <si>
    <t>οριοθετήθηκαν</t>
  </si>
  <si>
    <t>https://www.in.gr/2026/07/26/greece/thessaloniki-oriothetithikan-oi-pyrkagies-se-pylaia-kai-monolofo-oraiokastrou/</t>
  </si>
  <si>
    <t>Δύο χωριστές πυρκαγιές που οριοθετήθηκαν ταυτόχρονα. Την ίδια ημέρα αναφέρεται νέα φωτιά στην Κοζάνη (ανεπαρκή στοιχεία για ξεχωριστή εγγραφή).</t>
  </si>
  <si>
    <t>Προφήτης Ηλίας - Καρβούνη</t>
  </si>
  <si>
    <t>1 ομάδα πεζοπόρου 14ης ΕΜΟΔΕ</t>
  </si>
  <si>
    <t>Υπό διερεύνηση (Ανακριτικό Κλιμάκιο Εμπρησμού Λέσβου)</t>
  </si>
  <si>
    <t>https://www.ertnews.gr/eidiseis/ypo-meriko-elegxo-i-pyrkagia-se-dasiki-ektasi-sti-samo/</t>
  </si>
  <si>
    <t>Δυσπρόσιτη περιοχή, μακριά από κατοικίες. Παρακολούθηση με drone (οπτική &amp; θερμική κάμερα) ΕΣΚΕΔΙΚ. Κατάσταση: Υπό μερικό έλεγχο. | Δασική πυρκαγιά σε δυσπρόσιτη δασική περιοχή, μακριά από κατοικίες. ΕΣΚΕΙΔΙΚ παρακολουθούσε με drone. Ομάδα ερευνών εμπρησμού από Λέσβο ενεργοποιήθηκε.</t>
  </si>
  <si>
    <t>Λογγάδες Ιωαννίνων</t>
  </si>
  <si>
    <t>Ζίτσας</t>
  </si>
  <si>
    <t>Υδροφόρες Δήμου Ιωαννιτών</t>
  </si>
  <si>
    <t>https://www.in.gr/2026/07/25/greece/ioannina-fotia-se-dasiki-ektasi-stous-loggades-diaspartes-oikies-stin-perioxi/ ; https://www.tanea.gr/2026/07/25/greece/ioannina-se-ekseliksi-fotia-stin-perioxi-loggades ; https://www.skai.gr/news/greece/fotia-se-dasiki-ektasi-stous-loggades-ioanninon ; https://www.epiruspost.gr/apo-kerayno-i-fotia-stoys-loggades-apo/ ; https://civilprotection.gov.gr/sites/default/files/2026-07/260725.jpg</t>
  </si>
  <si>
    <t>Διάσπαρτες οικίες στην περιοχή. | Φωτιά κοντά σε διάσπαρτες οικίες. Αίτιο κεραυνός κατά ΑΚΑΕ. Ίδια ημέρα άλλη φωτιά στη Λαψίστα Ιωαννίνων από σπινθήρες ΔΕΔΔΗΕ. | Διάσπαρτες κατοικίες στην ευρύτερη περιοχή· φλόγες κοντά σε σπίτια | Διάσπαρτες κατοικίες στην περιοχή | Διάσπαρτες κατοικίες στην περιοχή. Αιτία κεραυνός (επιβεβαιώθηκε από Κλιμάκιο Εμπρησμών). | Πυρκαγιά σε εξέλιξη στις 18:00 βάσει ρεπορτάζ.</t>
  </si>
  <si>
    <t>Μόλα Καλυβά Χαλκιδικής</t>
  </si>
  <si>
    <t>Υδροφόρα Δήμου Κασσάνδρας</t>
  </si>
  <si>
    <t>Υπό διερεύνηση (Ανακριτικό Κλιμάκιο Χαλκιδικής)</t>
  </si>
  <si>
    <t>https://www.topontiki.gr/2026/07/25/chalkidiki-fotia-se-dasiki-ektasi-stin-kassandra/ ; https://www.newsit.gr/ellada/fotia-stin-xalkidiki-stin-perioxi-mola-kalyva-megali-kinitopoiisi-tis-pyrosvestikis/4736912/ ; https://www.skai.gr/news/world/i-ellada-stelnei-dyo-canadair-gia-tis-dasikes-pyrkagies ; https://www.skai.gr/news/greece/pyrkagia-se-dasiki-ektasi-sti-mola-kalyva-sti-xalkidiki ; https://www.protothema.gr/greece/article/1856025/fotia-sti-mola-kaluva-halkidikis-ishures-purosvestikes-dunameis-sto-simeio-ek/ ; https://civilprotection.gov.gr/sites/default/files/2026-07/260725.jpg ; https://www.xalkidikipolitiki.com/amesi-katasvesi-pyrkagias-sti-mola-kalyva/ ; https://www.naftemporiki.gr/society/2142548/fotia-sti-mola-kalyva-chalkidikis-epicheiroyn-ischyres-dynameis-tis-pyrosvestikis/ ; https://pelop.gr/fotia-sti-chalkidiki-synagermos-sti-mola-kalyva-sti-machi-60-pyrosvestes-kai-elikoptero/ ; https://www.capital.gr/epikairotita/4007080/sunagermos-gia-fotia-sti-mola-kaluba-xalkidikis-megali-kinitopoiisi-tis-purosbestikis/ ; https://www.ertnews.gr/ert3/thessaloniki/ypo-elegxo-i-fotia-sti-mola-kalyva-xalkidikis/ ; https://www.iefimerida.gr/ellada/fotia-mola-kalyba-halkidikis ; https://www.huffingtonpost.gr/kinonia/fotia-se-dasos-sti-mola-kalyva-sti-chalkidiki/</t>
  </si>
  <si>
    <t>Δασική έκταση. Περιορισμένα στοιχεία — «υπό έλεγχο» 16:47 EEST (Yutori email). | Ώρα πληροφορίας email 16:47 EEST. Δεν βρίσκεται κοντά σε οικιστικές περιοχές. | Ώρα πληροφορίας Yutori: 16:47 EEST. | Ώρα πληροφορίας 16:47 EEST· λεπτομέρειες μόνο από Yutori email 25/7 | Ορεινή περιοχή, μακριά από οικίες | Γρήγορη κατάσβεση χάρη στη συντονισμένη κινητοποίηση. Συμμετείχαν 2 ομάδες πεζοπόρων 2ης ΕΜΟΔΕ, εθελοντές, δημοτική πολιτική προστασία (φορτωτές, βυτιοφόρο). | Δασική πυρκαγιά στη Χαλκιδική. Κατάσταση υπό έλεγχο ώρα 16:47 EEST. | Πληροφορία 16:47 EEST. | Άμεση κατάσβεση χάρη σε συντονισμένη επιχείρηση. Δεν επεκτάθηκε η φωτιά. Ανακριτικό Κλιμάκιο Εγκλημάτων Εμπρησμού Χαλκιδικής διενεργεί έρευνα αιτίας. | Υπό έλεγχο 16:47 EEST</t>
  </si>
  <si>
    <t>14:33</t>
  </si>
  <si>
    <t>Λευκίμη</t>
  </si>
  <si>
    <t>2 ομάδες πεζοπόρων (7η ΕΜΟΔΕ)</t>
  </si>
  <si>
    <t>αμέλεια – βλάβη οχήματος</t>
  </si>
  <si>
    <t>https://www.newsbomb.gr/oles-oi-eidhseis/story/1752191/dyo-syllipseis-gia-pyrkagies-apo-ameleia-se-evro-kai-grevena-apo-ameleia-to-88-ton-pyrkagion-fetos ; https://www.in.gr/2026/07/25/greece/pyrkagies-dyo-syllipseis-gia-emprismo-apo-ameleia-se-evro-kai-grevena/ ; https://www.skai.gr/news/greece/soufli-pyrkagia-se-dasiki-ektasi-sti-leykimmi ; https://www.tanea.gr/2026/07/24/greece/me-ti-voitheia-tis-vroxis-esvise-i-fotia-sti-leykimi-soyflioy/ ; https://www.thetoc.gr/koinwnia/article/ebros-summaxos-o-kairos-stin-epixeirisi-katasbesis-tis-fotias-sti-leukimi-soufliou/</t>
  </si>
  <si>
    <t>Σύλληψη για εμπρησμό από αμέλεια. | Συνελήφθη 19χρονος Καναδός υπήκοος: αντρέτσα οχήματος αποσυμπιέστηκε και υπερθερμάνθηκε, ανάφλεξη χόρτων. Κατάσβεση με βοήθεια ελαφράς βροχόπτωσης και άπνοιας το απόγευμα/βράδυ. Τροφοδοσία εναέριων από φράγματα Πεσάνης και Δέλτα Έβρου. | 19χρονος αλλοδαπός (Καναδός υπήκοος) συνελήφθη αυθημερόν: απώλεια πίεσης τροχού/υπερθέρμανση οχήματος ανέφλεξε ξηρά χόρτα. Γρήγορη κατάσβεση.</t>
  </si>
  <si>
    <t>17:26</t>
  </si>
  <si>
    <t>Μπάδια (Badia)</t>
  </si>
  <si>
    <t>3 ομάδες πεζοπόρων 3ης ΕΜΟΠΕ</t>
  </si>
  <si>
    <t>Δημοτικά βυτιοφόρα Ηρακλείου</t>
  </si>
  <si>
    <t>Υπό διερεύνηση (ανακριτικό κλιμάκιο)</t>
  </si>
  <si>
    <t>https://www.skai.gr/news/greece/irakleio-fotia-se-elaiodendra-kai-kalliergeies-stin-perioxi-mpadia ; https://www.ertnews.gr/roi-idiseon/irakleio-kritis-pyrkagia-stin-perioxi-mpadia/ ; https://www.skai.gr/news/world/i-ellada-stelnei-dyo-canadair-gia-tis-dasikes-pyrkagies ; https://www.lifo.gr/now/greece/kriti-fotia-tora-stin-mpadia-irakleioy ; https://www.newsbeast.gr/greece/arthro/13256955/fotia-tora-stin-periochi-badia-sto-irakleio-kritis ; https://civilprotection.gov.gr/sites/default/files/2026-07/260725.jpg ; https://www.newsbomb.gr/ellada/story/1752233/fotia-stin-perioxi-badia-sto-irakleio</t>
  </si>
  <si>
    <t>Φωτιά σε ελαιώνες και καλλιέργειες (μη αμιγώς δασική έκταση). Οριοθέτηση 17:26 EEST (Yutori email). | Καύση σε ελαιώνες και καλλιέργειες. Ώρα email: 17:26 EEST (κατάσταση: Οριοθετήθηκε). | Ελαιώνες και καλλιέργειες. Ώρα πληροφορίας Yutori 17:26 EEST. Ομάδα διακρίβωσης εμπρησμού ενεργοποιήθηκε. | Χαμηλή βλάστηση, ελαιώνες, καλλιέργειες. Κλιμάκιο εμπρησμού ενεργοποιήθηκε. Ο νομός Ηρακλείου ήταν σε επίπεδο 3 (κίτρινο) στις 25/7. | Ελαιώνες και καλλιέργειες· control_time είναι η ώρα πληροφορίας οριοθέτησης (17:26 EEST) από Yutori email | Έκαψε ελαιόδενδρα και καλλιέργειες· από email Yutori 25/7: ώρα πληροφορίας 17:26 EEST | Ελαιώνες και καλλιέργειες. Ώρα πληροφορίας Yutori: 17:26 EEST. | Ελαιώνες και καλλιέργειες. Αναφορά Yutori 17:26 EEST. | Ελαιώνες και καλλιέργειες. Πληροφορία 17:26 EEST. | Έναρξη 17:26 EEST</t>
  </si>
  <si>
    <t>13:53</t>
  </si>
  <si>
    <t>Γρεβενά</t>
  </si>
  <si>
    <t>αμέλεια – χρήση τροχού</t>
  </si>
  <si>
    <t>https://www.newsbomb.gr/oles-oi-eidhseis/story/1752191/dyo-syllipseis-gia-pyrkagies-apo-ameleia-se-evro-kai-grevena-apo-ameleia-to-88-ton-pyrkagion-fetos ; https://www.iefimerida.gr/ellada/grebena-synelifthi-88hronos-pyrkagias-apo-ameleia ; https://www.skai.gr/news/greece/dyo-syllipseis-gia-pyrkagies-apo-ameleia-se-evro-kai-grevena ; https://www.reporter.gr/eidhseis/679799-epixeirisi-katasvesis-sti-rodo-ypo-elegxo-oi-foties-se-grevena-kerkyra-kai-attiki ; https://www.in.gr/2026/07/25/greece/pyrkagies-dyo-syllipseis-gia-emprismo-apo-ameleia-se-evro-kai-grevena/ ; https://www.lamiareport.gr/ellada/item/pyrkagia-sta-grevena-sikothike-elikoptero/</t>
  </si>
  <si>
    <t>Σύλληψη 88χρονου αυτόφωρο. | Συνελήφθη 69χρονος μετά από έρευνα του Ανακριτικού Τμήματος Πυροσβεστικής Γρεβενών. Τίτλος reporter.gr επιβεβαιώνει 'υπό έλεγχο' για φωτιές Γρεβενών. | ΝΕΟΣ – Δεν ήταν στη λίστα. 69χρονος συνελήφθη αυθημερόν από Ανακριτικό Κλιμάκιο Πυροσβεστικής Γρεβενών. | Θέση Αυγό, δασική ζώνη Βαλία Κάλντα, δυσπρόσιτη ορεινή περιοχή μακριά από οικισμούς. Συνελήφθη 88χρονος για εμπρησμό εξ αμελείας (χρήση τροχού). Εντοπίστηκε κεραυνική δραστηριότητα στην ευρύτερη περιοχή πριν την έναρξη.</t>
  </si>
  <si>
    <t>Κινέτα Αττικής</t>
  </si>
  <si>
    <t>Μεγαρέων</t>
  </si>
  <si>
    <t>Δημοτικά βυτιοφόρα Μεγάρων</t>
  </si>
  <si>
    <t>Υπό διερεύνηση (Ομάδα Εμπρησμών Δυτικής Αττικής)</t>
  </si>
  <si>
    <t>https://www.skai.gr/news/greece/fotia-se-dasiki-ektasi-stin-kineta-attikis ; https://www.newsit.gr/ellada/fotia-stin-kineta-kinitopoiisi-tis-pyrosvestikis/4736857/ ; https://www.in.gr/2026/07/25/greece/fotia-se-dasiki-ektasi-stin-kineta/ ; https://www.ertnews.gr/eidiseis/pyrkagia-se-dasiki-ektasi-stin-kineta-attikis/ ; https://www.topontiki.gr/2026/07/25/fotia-se-dasiki-ektasi-stin-kineta-attikis-sinagermos-stin-pirosvestiki/ ; https://www.naftemporiki.gr/society/2142783/fotia-tora-sti-fthiotida/ ; https://civilprotection.gov.gr/sites/default/files/2026-07/260725.jpg ; https://www.capital.gr/epikairotita/4007068/purkagia-se-dasiki-ektasi-stin-kineta/ ; https://www.huffingtonpost.gr/kinonia/pyrkagia-se-dasiki-ektasi-stin-kineta/ ; https://www.protothema.gr/greece/article/1856007/fotia-tora-se-dasiki-ektasi-stin-kineta-sikothike-kai-elikoptero/</t>
  </si>
  <si>
    <t>Ορεινή δασική έκταση μακριά από κατοικίες. Οριοθέτηση επιβεβαιώθηκε από ΣΚΑΪ (https://www.skai.gr/news/greece/fotia-se-dasiki-ektasi-stin-kineta-attikis). | Δασώδης ορεινή περιοχή, μακριά από κατοικίες και υποδομές. | Ενεργοποίηση Τμήματος Διακρίβωσης Εμπρηστικών Πυρκαγιών Δυτ. Αττικής. | Δασική έκταση, ορεινό σημείο μακριά από κατοικίες/υποδομές. ΑΚΑΕ Δυτικής Αττικής ενεργοποιήθηκε για διερεύνηση αιτίας. | Δασική έκταση σε ορεινή περιοχή· μακριά από κατοικίες και υποδομές | Δασική έκταση σε ορεινή περιοχή, μακριά από οικίες και υποδομές. | Φωτιά σε ορεινή δασική περιοχή, μακριά από κατοικίες και υποδομές. Ενεργοποιήθηκε Ανακριτικό Κλιμάκιο Εμπρησμών Δυτ. Αττικής. | Δασική πυρκαγιά σε ορεινή περιοχή, μακριά από κατοικίες και υποδομές. Ομάδα ερευνών εμπρησμού Δυτικής Αττικής ενεργοποιήθηκε.</t>
  </si>
  <si>
    <t>Λιβάδι Ρόπα</t>
  </si>
  <si>
    <t>Κεντρικής Κέρκυρας</t>
  </si>
  <si>
    <t>υδροφόρες Δήμου Κέρκυρας</t>
  </si>
  <si>
    <t>αμέλεια – αγροτικές εργασίες</t>
  </si>
  <si>
    <t>https://www.ertnews.gr/eidiseis/ellada/kerkyra-ypo-elegxo-i-fotia-sto-livadi-ropa-kaikan-pano-apo-pente-stremmata-apagoreysi-kykloforias-se-dasi-kai-perioxes-natura/ ; https://www.tovima.gr/2026/07/25/society/fotia-tora-stin-kerkyra-sikothikan-enaeria-mesa ; https://corfutvnews.gr/kerkyra-nea-fotia-sto-livadi-tou-ropa/ ; https://www.kerkyrasimera.gr/kerkyra-dyo-syllipseis-gia-tin-fotia-sto-livadi-toy-ropa/ ; https://www.libre.gr/2026/07/25/kerkyra-ypo-elegcho-i-fotia-sto-livadi-r/</t>
  </si>
  <si>
    <t>&gt;5 στρέμματα (&gt;0.5 ha). Απαγόρευση κυκλοφορίας δάση/Natura. Δεύτερη εκδήλωση στο Λιβάδι Ρόπα σε 24 ώρες. | 2 άτομα συνελήφθησαν από Ανακριτικό Κλιμάκιο Εμπρησμών: προκάλεσαν πυρκαγιά κατά τη διάρκεια αγροτικών εργασιών. | Δύο Έλληνες υπήκοοι συνελήφθησαν από την Ανακριτική Υπηρεσία Εμπρησμών Κέρκυρας· η ανάφλεξη αποδόθηκε σε αγροτικές εργασίες υπό καθεστώς απαγόρευσης λόγω υψηλού δείκτη επικινδυνότητας.</t>
  </si>
  <si>
    <t>Προφήτης Ηλίας - Καρβούνης</t>
  </si>
  <si>
    <t>Ανατολικής Σάμου</t>
  </si>
  <si>
    <t>1 ομάδα πεζοπόρου (14ης ΕΜΟΔΕ)</t>
  </si>
  <si>
    <t>Υπό διερεύνηση (Ομάδα Εμπρησμών Λέσβου)</t>
  </si>
  <si>
    <t>112 ενεργοποιήθηκε (ώρα αδιευκρίνιστη — αναφέρεται σε ertnews)</t>
  </si>
  <si>
    <t>https://www.topontiki.gr/2026/07/25/pirkagia-se-disprositi-dasiki-ektasi-sti-samo/ ; https://www.in.gr/2026/07/25/greece/samos-ypo-meriko-elegxo-i-pyrkagia-ston-profiti-ilia-tou-orous-karvouni/ ; https://www.capital.gr/epikairotita/4007015/fotia-se-dasiki-ektasi-sti-samo-epixeiroun-32-purosbestes/ ; https://www.tanea.gr/2026/07/24/greece/samos-fotia-se-dysvati-dasiki-ektasi-ston-profiti-ilia-epi-topou-isxyres-dynameis-tis-pyrosvestikis/ ; https://www.sport-fm.gr/article/5137758 ; https://www.enikos.gr/society/samos-pyrkagia-se-dasiki-ektasi-ston-profiti-ilia-ischyres-dynameis-tis-pyrosvestikis-sto-simeio/2619315/ ; https://www.ertnews.gr/roi-idiseon/ypo-meriko-elegxo-i-pyrkagia-se-dasiki-ektasi-sti-samo/ ; https://www.newsit.gr/ellada/fotia-se-dasos-sti-samo-stin-perioxi-profitis-ilias/4736610/ ; https://www.documentonews.gr/article/fotia-se-dasiki-ektasi-ston-profiti-ilia-samou/ ; https://civilprotection.gov.gr/sites/default/files/2026-07/260724.jpg ; https://www.ertnews.gr/eidiseis/ypo-meriko-elegxo-i-pyrkagia-se-dasiki-ektasi-sti-samo/ ; https://www.ertnews.gr/perifereiakoi-stathmoi/samos-pyrkagia-se-dasiki-ektasi-sti-thesi-profitis-ilias-sto-oros-karvouni/</t>
  </si>
  <si>
    <t>Δυσπρόσιτη δασική έκταση πάνω από Αρβανίτες. Ενεργή 25/7 υπό μερικό έλεγχο. Μακριά από κατοικίες και υποδομές. | Δυσπρόσιτη δασική έκταση, μακριά από οικισμούς και υποδομές. ΕΣΚΕΔΙΚ παρακολουθεί με drone (οπτική + θερμική κάμερα). Ανακριτικό κλιμάκιο εμπρησμού Λέσβου ενεργοποιήθηκε. Κατάσταση 25/07: υπό μερικό έλεγχο. | Υπό μερικό έλεγχο στις 02:07 EEST 25/7. Δύσβατη δασική έκταση, παρακολούθηση με drone (οπτικό + θερμικό) από ΕΣΚΕΔΙΚ. Εφαρμόστηκαν αντιπυρικές ζώνες. | Δυσπρόσιτη δασική έκταση, μακριά από οικισμούς. Ομάδα πεζοπόρων 14ης ΕΜΟΔΕ. Drone ΕΣΚΕΔΙΚ (οπτική &amp; θερμική κάμερα). Στις 25/7 αναφέρεται 'υπό μερικό έλεγχο' (in.gr). | Θέση Προφήτης Ηλίας, όρος Καρβούνης. Δύσβατο σημείο, χωρίς κατοικίες. Υπό μερικό έλεγχο στις 25/7 (update in.gr). ΑΚΑΕ Λέσβου ενεργοποιήθηκε. ΕΣΚΕΔΙΚ με drone. | Πολλαπλές πηγές επιβεβαιώνουν: δεν χρησιμοποιήθηκαν αεροσκάφη ή ελικόπτερα - μόνο drone με οπτικές+θερμικές κάμερες (ΕΣΚΕΔΙΚ). Δυσπρόσιτη έκταση μακριά από οικίες. Πιθανή ταύτιση με καταχώρηση 2026-07-25 ίδιας περιοχής.</t>
  </si>
  <si>
    <t>20:45</t>
  </si>
  <si>
    <t>Άγιος Μέρκουρης - Πάρνηθα</t>
  </si>
  <si>
    <t>1 ομάδα πεζοπόρων 1ης ΕΜΟΔΕ</t>
  </si>
  <si>
    <t>Πιθανός κεραυνός</t>
  </si>
  <si>
    <t>https://www.tanea.gr/2026/07/24/greece/fotia-stin-parnitha-se-dysvati-perioxi-megali-kinitopoiisi-tis-pyrosvestikis/ ; https://newpost.gr/eidiseis/pyrkagia-stin-parnitha-se-dysvati-periochi/ ; https://www.newsit.gr/ellada/fotia-stin-parnitha-se-dysvati-perioxi/4736598/ ; https://www.enikos.gr/society/lixi-synagermou-stin-parnitha-katasvestike-i-fotia-pou-xespase-ston-agio-merkourio/2619321/ ; https://www.businessdaily.gr/koinonia/222912_amesi-katasbesi-pyrkagias-se-dasiki-ektasi-ston-agio-merkoyrio-parnithas ; https://civilprotection.gov.gr/sites/default/files/2026-07/260724.jpg ; https://www.topontiki.gr/2026/07/25/esvise-amesa-i-pirkagia-stin-periochi-agios-merkourios-stin-parnitha/</t>
  </si>
  <si>
    <t>Εκδηλώθηκε βράδυ 24/7 σε δύσβατη περιοχή — αντιμετωπίστηκε άμεσα πριν επεκταθεί. Δεν απειλήθηκαν κατοικίες. | Δύσβατη περιοχή, μακριά από κατοικίες. Την ίδια νύχτα καταγράφηκαν 58.000 κεραυνοί και 940 κλήσεις στην Πυροσβεστική (Τα Νέα). Έσβησε πριν πάρει διαστάσεις. | Σβήστηκε άμεσα σε δυσπρόσιτη δασική περιοχή. Πιθανολογείται κεραυνός. | Δύσβατη δασική περιοχή, μακριά από κατοικίες. Κατασβέστηκε γρήγορα πριν πάρει διαστάσεις. Πιθανή αιτία κεραυνός (24/7 καταγράφηκαν &gt;55.000 κεραυνοί σε όλη την Ελλάδα). | Κατασβέστηκε άμεσα. Απομακρυσμένη δύσβατη δασική περιοχή, χωρίς κίνδυνο οικισμών. Αιτία πιθανώς κεραυνός (επιβεβαιώνεται από πολλαπλές πηγές).</t>
  </si>
  <si>
    <t>Πυρκαγιά Αγίου Μερκουρίου – Πάρνηθα</t>
  </si>
  <si>
    <t>πληρώματα Πολιτικής Προστασίας Δήμου Ωρωπού</t>
  </si>
  <si>
    <t>https://www.newsit.gr/ellada/fotia-stin-parnitha-se-dysvati-perioxi/4736598/ ; https://www.cnn.gr/ellada/story/545230/pyrkagia-stin-parnitha-kaiei-se-dysvati-perioxi-kai-para-ti-vroxoptosi ; https://www.tanea.gr/2026/07/24/greece/fotia-stin-parnitha-se-dysvati-perioxi-megali-kinitopoiisi-tis-pyrosvestikis/ ; https://www.iefimerida.gr/ellada/esbise-amesa-i-pyrkagia-stin-parnitha</t>
  </si>
  <si>
    <t>Δύσβατη δασική περιοχή, μακριά από κατοικίες. Συνέχιζε να καίει παρά τη βροχόπτωση. Έσβησε αμέσως μετά τη μεγάλη κινητοποίηση.</t>
  </si>
  <si>
    <t>2026-07-28</t>
  </si>
  <si>
    <t>Επισκοπή</t>
  </si>
  <si>
    <t>Βορείου Κέρκυρας</t>
  </si>
  <si>
    <t>1 ομάδα πεζοπόρου (15ης ΕΜΟΔΕ)</t>
  </si>
  <si>
    <t>Υδροφόρες Δήμου Κέρκυρας</t>
  </si>
  <si>
    <t>Κεραυνός</t>
  </si>
  <si>
    <t>https://www.newsbomb.gr/ellada/story/1752037/pyrosvestiki-oriothetithikan-ta-metopa-se-oinofyta-kai-xalkidiki-kalyteri-i-eikona-stin-kerkyra ; https://www.skai.gr/news/greece/pyrkagia-se-agrotodasiki-ektasi-stin-kerkyra ; https://www.flash.gr/fotia-stin-kerkyra-sti-machi-katasvesis-18-pyrosvestes-kai-5-ochimata-1073807 ; https://parallaximag.gr/epikairotita/greece/ichise-to-112-gia-fotia-sto-kilkis-i-katastasi-sta-pyrina-metopa-se-thessaloniki-rodo-kai-kerkyra ; https://www.kerkyrasimera.gr/v-kerkyra-fotia-stin-episkopi-pyrosvestes-ethelontes-sto-simeio/ ; https://civilprotection.gov.gr/sites/default/files/2026-07/260724.jpg</t>
  </si>
  <si>
    <t>Βόρεια Κέρκυρα, κοντά στον οικισμό Επισκοπή. Εκδηλώθηκε κατά τη διάρκεια καταιγίδας. | Οριοθετήθηκε σε σύντομο χρονικό διάστημα. 15η ΕΜΟΔΕ. Υδροφόρες Δ. Βόρειας Κέρκυρας. Drone παρακολούθηση (ΕΣΚΕΔΙΚ). | Αγροτοδασική έκταση. ΕΣΚΕΔΙΚ παρακολουθούσε με drone (οπτική+θερμική). ΑΚΑΕ ενεργοποιήθηκε. Επίπεδο κινδύνου 3 (κίτρινο) στα Ιόνια Νησιά στις 24/7 επιβεβαιώνεται και από SKAI.</t>
  </si>
  <si>
    <t>Ακόντιο Ορχομενού</t>
  </si>
  <si>
    <t>Ορχομενού</t>
  </si>
  <si>
    <t>δημοτικά βυτία</t>
  </si>
  <si>
    <t>υπό εξέταση — ομάδα εμπρησμών Βοιωτίας</t>
  </si>
  <si>
    <t>https://www.ertnews.gr/eidiseis/ellada/fotia-se-agrotodasiki-ektasi-ston-orxomeno-den-apeilountai-oikismoi-leei-sto-ertnews-o-antiperifereiarxis-voiotias/ ; https://www.cnn.gr/ellada/story/544184/xoris-energo-metopo-i-fotia-se-agrotodasiki-ektasi-sto-akontio-voiotias ; https://www.zougla.gr/greece/oriothetimeni-i-pyrkagia-se-agrotodasiki-ektasi-ston-orchomeno-voiotias/</t>
  </si>
  <si>
    <t>Αγροτοδασική έκταση στο Ακόντιο. Δεν απειλούνται οικισμοί (δήλωση αντιπεριφερειάρχη Βοιωτίας Γ. Ντασιώτη). Drone εποπτεία. Ημερομηνία εξαχθείσα από search context 24/7/2026 — το WebFetch ανέγνωσε «Ιούνιος» αντί «Ιούλιος». Χάρτης ΓΓΠΠ 24/7: Βοιωτίας=2/ΜΕΣΗ. | Αναφέρεται «χωρίς ενεργό μέτωπο» (CNN.gr). Αγροτοδασική έκταση μακριά από οικισμούς.</t>
  </si>
  <si>
    <t>Μαρμαράς - Παράδεισος</t>
  </si>
  <si>
    <t>1 ομάδα πεζοπόρου</t>
  </si>
  <si>
    <t>https://www.newsbomb.gr/ellada/story/1752037/pyrosvestiki-oriothetithikan-ta-metopa-se-oinofyta-kai-xalkidiki-kalyteri-i-eikona-stin-kerkyra ; https://www.ertnews.gr/ert3/xalkidiki-pyrkagia-se-dasiki-ektasi-ston-marmara/ ; https://civilprotection.gov.gr/sites/default/files/2026-07/260724.jpg</t>
  </si>
  <si>
    <t>Εκδηλώθηκε κατά τη διάρκεια έντονης καταιγίδας με κεραυνοπτώσεις. Άμεση κατάσβεση, χωρίς απειλή κατοικιών. | Έντονη καταιγιδική δραστηριότητα. Χάρτης 24/07 με σημείωση αυξημένου κινδύνου από κεραυνούς. | Θέση «Παράδεισος», Μαρμαράς Χαλκιδικής. Εκδηλώθηκε κατά έντονη ηλεκτρική καταιγίδα.</t>
  </si>
  <si>
    <t>Οινόφυτα</t>
  </si>
  <si>
    <t>υδροφόρες Δήμου Τανάγρας</t>
  </si>
  <si>
    <t>Υπό διερεύνηση (Ανακριτικό Κλιμάκιο Φθιώτιδας)</t>
  </si>
  <si>
    <t>https://www.skai.gr/news/greece/fotia-sta-oinofyta-voiotias ; https://www.focusfm.gr/pyrosvestiki-70-agrotodasikes-pyrkagies-se-ena-24oro/ ; https://www.tanea.gr/2026/07/24/greece/foties-70-agrotodasikes-pyrkagies-se-24-ores-se-ekseliksi-okto-metopa/ ; https://www.naftemporiki.gr/society/2141566/fotia-sta-oinofyta-choris-energo-metopo-i-pyrkagia/ ; https://www.cnn.gr/ellada/story/545173/pyrkagia-se-dasiki-ektasi-sta-oinofyta-stin-katasvesi-isxyri-dynami-tis-pyrosvestikis ; https://www.newsbeast.gr/greece/arthro/13255519/synagermos-sta-oinofyta-fotia-se-dasiki-ektasi-gia-defteri-synechomeni-imera ; https://www.newsbomb.gr/ellada/story/1752037/pyrosvestiki-oriothetithikan-ta-metopa-se-oinofyta-kai-xalkidiki-kalyteri-i-eikona-stin-kerkyra ; https://www.protothema.gr/greece/article/1855630/fotia-se-dasiki-ektasi-sta-oinofuta-voiotias-epiheiroun-dunameis-tis-purosvestikis/ ; https://www.eleftherostypos.gr/ellada/fotia-sta-oinofyta-voiotias</t>
  </si>
  <si>
    <t>Μεταξύ των 70 πυρκαγιών 24ωρου 23–24/7 (8 μέτωπα σε εξέλιξη). Δασική έκταση. | Χωρίς ενεργό μέτωπο κατά την τελευταία αναφορά. Δεύτερο συνεχόμενο περιστατικό στον Δ. Τανάγρας (23/07 Άγιο Θωμά, 24/07 Οινόφυτα). Συνδρομή υδροφόρων Δήμου Τανάγρας. | Δεύτερη πυρκαγιά στα Οινόφυτα σε δύο συνεχόμενες ημέρες. Χωρίς ενεργό μέτωπο αργά το απόγευμα. | Πληροφορία στο ΚΕΠΕ Πυροσβεστικού γύρω στις 15:00. Περιορισμένα στοιχεία. | Δεύτερη συνεχόμενη ημέρα πυρκαγιών στην ευρύτερη περιοχή (Αγ. Θωμάς Τανάγρας 23/7). Υδροφόρες Δ. Τανάγρας συνέδραμαν. 4η ΕΜΟΔΕ (2 ομάδες).</t>
  </si>
  <si>
    <t>Γρεβενά (θέση άγνωστη)</t>
  </si>
  <si>
    <t>αμέλεια – καύση σωρού φυτικής βλάστησης (σύλληψη 69χρονου)</t>
  </si>
  <si>
    <t>https://www.newsbomb.gr/oles-oi-eidhseis/story/1752191/dyo-syllipseis-gia-pyrkagies-apo-ameleia-se-evro-kai-grevena-apo-ameleia-to-88-ton-pyrkagion-fetos ; https://workenter.gr/dyo-syllipseis-gia-pyrkagies-apo-ameleia-se-evro-kai-grevena-982552 ; https://www.skai.gr/news/greece/dyo-syllipseis-gia-pyrkagies-apo-ameleia-se-evro-kai-grevena</t>
  </si>
  <si>
    <t>Νέο περιστατικό εντοπίστηκε από άρθρο 25/7/2026 για δύο συλλήψεις αμέλειας (Έβρος + Γρεβενά). 69χρονος συνελήφθη επ' αυτοφώρω από Ομάδα Έρευνας Εμπρησμών Γρεβενών. Ακριβής τοποθεσία/Δήμος/καμένη έκταση άγνωστα.</t>
  </si>
  <si>
    <t>13:10</t>
  </si>
  <si>
    <t>Πυρκαγιά Κορωπίου – οδός Πεισίστρατος</t>
  </si>
  <si>
    <t>Υπό διερεύνηση (Ανακριτικό Κλιμάκιο Εμπρησμών Ανατολικής Αττικής)</t>
  </si>
  <si>
    <t>https://www.lifo.gr/now/greece/fotia-tora-sto-koropi-4 ; https://www.newsit.gr/ellada/fotia-sto-koropi-pano-apo-45-pyrosvestes-gia-tin-katasvesi-tis/4736087/ ; https://www.topontiki.gr/2026/07/24/fotia-tora-se-chamili-vlastisi-sto-koropi-epichiroun-45-pirosvestes/ ; https://pelop.gr/fotia-sto-koropi-stis-floges-xera-chorta-kai-elaiodentra-45-pyrosvestes-sti-machi/ ; https://www.irafina.gr/fotia-sto-koropi-stin-odo-peisistratou/ ; https://www.news247.gr/ellada/koropi-sinelifthi-27xronos-gia-pirkagia-apo-ameleia-proklithike-apo-egkatastasi-revmatoklopis/ ; https://athina984.gr/2026/07/24/koropi-synelifthi-27chronos-gia-pyrkagia-apo-ameleia-proklithike-apo-egkatastasi-reymatoklopis/</t>
  </si>
  <si>
    <t>Ξερά χόρτα και ελαιόδεντρα. Αεροπορική υποστήριξη δεν είχε ακόμα αναπτυχθεί κατά τη δημοσίευση. | Κατάσβεση σε ~30 λεπτά από έναρξη (12:40). Έκαιγαν ξερά χόρτα και ελαιόδεντρα. Ενεργοποιήθηκε ΑΚΑΕΕ Ανατολικής Αττικής για διερεύνηση αιτίας (υπό έρευνα). | Κάηκαν ξερά χόρτα και ελαιόδεντρα (χαμηλή βλάστηση)</t>
  </si>
  <si>
    <t>Δαδιά – Λευκίμη (θέση Πεσσάνη)</t>
  </si>
  <si>
    <t>Δημοτικά βυτιοφόρα Σουφλίου</t>
  </si>
  <si>
    <t>Υπό διερεύνηση (Ομάδα Εμπρησμών Έβρου)</t>
  </si>
  <si>
    <t>https://www.iefimerida.gr/ellada/fotia-dasos-tis-dadias-sto-soyfli-enaeria-mesa ; https://www.tanea.gr/2026/07/24/greece/me-ti-voitheia-tis-vroxis-esvise-i-fotia-sti-leykimi-soyflioy/ ; https://www.evros-news.gr/2026/07/24/soufli-tora-pyrkagia-sto-dasos-dadias-lefkimis-stin-periochi-pessani-lefkimis-eftasan-idi-pyrosvestika-aeroplana/ ; https://www.skai.gr/news/greece/soufli-pyrkagia-se-dasiki-ektasi-sti-leykimmi ; https://www.thepresident.gr/2026/07/24/choris-energo-metopo-pyrkagia-sti-leykimi-soyflioy/ ; https://www.thetoc.gr/koinwnia/article/ebros-summaxos-o-kairos-stin-epixeirisi-katasbesis-tis-fotias-sti-leukimi-soufliou/ ; https://www.evros-news.gr/2026/07/24/lefkimi-oi-synecheis-ripseis-enaerion-meson-pyrosvesis-periorisan-tin-pyrkagia-sto-dasos-lefkimis-dadias/ ; https://civilprotection.gov.gr/sites/default/files/2026-07/260724.jpg ; https://www.evros-news.gr/2026/07/25/272824/ ; https://www.firefightingreece.gr/2026/07/24/pyrkagia-se-agrotodasiki-ektasi-stin-pessani-soufliou/ ; https://geopolitico.gr/2026/07/soufli-synelifthi-19chronos-kanados-gia-ti-fotia-sti-lefkimi-pos-xekinise-apo-ochima-tou/</t>
  </si>
  <si>
    <t>Δυσπρόσιτο έδαφος — αδύνατη άμεση επαφή επίγειων δυνάμεων. Έσβησε με τη βοήθεια βροχής (Τα Νέα). | Δάσος Δαδιάς-Λευκίμης, θέση Πεσσάνη. Δύσβατο, αδύνατη επίγεια επέμβαση. Τουλάχιστον 2 αεροσκάφη. Κατασβέστηκε νύχτα με βοήθεια βροχής + άπνοιας. Επίγεια φύλαξη για αναζωπυρώσεις. Γειτνιάζει με περιοχή της καταστροφικής πυρκαγιάς Έβρου 2023. | Υποβαθμισμένο δάσος πλατυφύλλων· κατάσβεση ευνοήθηκε από βροχή· αδύνατη η πρόσβαση επίγειων αρχικά — επιχείρησαν αποκλειστικά εναέρια | Βροχόπτωση συνέβαλε αποφασιστικά στην κατάσβεση. 19χρονος αλλοδαπός συνελήφθη την 25/7 για εμπρησμό από αμέλεια (χθεσινή φωτιά Λευκίμης). | Κατασβέστηκε με βοήθεια βροχόπτωσης (Tanea). Δύσπρόσιτη περιοχή – κύρια αντιμετώπιση με εναέρια μέσα λόγω αδυναμίας πρόσβασης πεζοπόρων. | Κατασβέστηκε με βοήθεια βροχόπτωσης το απόγευμα/βράδυ της 24/7. Σε παρακείμενη περιοχή Λευκίμης (ίδια ημέρα, ~14:33) συνελήφθη 19χρονος Καναδός υπήκοος για πυρκαγιά από υπερθέρμανση/βλάβη ελαστικού οχήματος — πιθανή σύνδεση με παρόν περιστατικό υπό αξιολόγηση.</t>
  </si>
  <si>
    <t>Ανθόφυτο Ναυπακτίας</t>
  </si>
  <si>
    <t>Ναυπακτίας</t>
  </si>
  <si>
    <t>υδροφόρες Δήμου Ναυπακτίας</t>
  </si>
  <si>
    <t>Υπό διερεύνηση (Ανακριτικό Κλιμάκιο Εμπρησμού Αιτωλοακαρνανίας)</t>
  </si>
  <si>
    <t>https://www.in.gr/2026/07/24/greece/aitoloakarnania-fotia-stin-perioxi-anthofyto-sikothikan-6-enaeria-mesa/ ; https://newpost.gr/eidiseis/aitoloakarnania-fotia-se-dasiki-ektasi-sto-anthofyto-epicheiroyn-6-enaeria-mesa/ ; https://www.eleftherostypos.gr/ellada/fotia-tora-se-dasiki-ektasi-stin-aitoloakarnania-40-pyrosvestes-kai-exi-enaeria-mesa-sto-simeio ; https://www.news247.gr/ellada/fotia-sto-anthofito-nafpaktias-sikothikan-enaeria/ ; https://www.newsit.gr/ellada/fotia-tora-sto-anthofyto-aitoloakarnanias-epixeiroun-6-enaeria-mesa/4736197/ ; https://www.naftemporiki.gr/society/2142266/fotia-sto-anthofyto-naypaktias-choris-energo-metopo-i-pyrkagia/ ; https://www.skai.gr/news/greece/fotia-stin-perioxi-anthofytos-sti-naypakto-sikothikan-9-enaeria-mesa ; https://pelop.gr/nafpaktia-i-vrochi-voithise-sto-ergo-ton-pyrosveston-veltiomeni-i-eikona-tis-fotias-sto-anthofyto/ ; https://www.cnn.gr/ellada/story/545168/fotia-sto-anthofyto-nafpaktou-sti-maxi-40-pyrosvestes-synexeis-ripseis-apo-ennea-enaeria-mesa ; https://www.newsit.gr/uncategorized/fotia-tora-sto-anthofyto-aitoloakarnanias-epixeiroun-6-enaeria-mesa/4736197/ ; https://www.agriniosite.gr/fotia-stin-oreini-naypaktia-se-dasiki-ektasi-stin-periochi-anthofyto-sikothikan-4-aeroskafi-kai-2-elikoptera/</t>
  </si>
  <si>
    <t>6 εναέρια συνολικά (4 αεροσκάφη + 2 ελικόπτερα). Παρακολούθηση με drone θερμικής κάμερας από ΕΣΚΕΔΙΚ. Μεταξύ των 8 ενεργών μετώπων 24/7. | Χωρίς ενεργό μέτωπο από ~17:46. Τελικά 9 εναέρια (6 αεροσκάφη + 3 ελικόπτερα). Βροχόπτωση βοήθησε στο έργο πυροσβεστών. Υδροφόρες Δ. Ναυπάκτου. | Χωρίς ενεργό μέτωπο (Naftemporiki). Συμμετείχαν υδροφόρες Δήμου Ναυπακτίας. Σύνολο 9 εναέρια μέσα (6 αεροσκάφη + 3 ελικόπτερα) επιβεβαιώνεται από CNN/newsit.</t>
  </si>
  <si>
    <t>Λιβάδι Θέρμης</t>
  </si>
  <si>
    <t>Θέρμης</t>
  </si>
  <si>
    <t>5 ομάδες πεζοπόρων 2ης και 8ης ΕΜΟΔΕ</t>
  </si>
  <si>
    <t>δημοτικά βυτία και μηχανήματα Δήμου Θέρμης</t>
  </si>
  <si>
    <t>https://www.in.gr/2026/07/23/greece/fotia-se-dasiki-ektasi-sto-livadi-thessalonikis/ ; https://www.tanea.gr/2026/07/23/greece/thessaloniki-fotia-se-dasiki-ektasi-sto-livadi-thermis-megali-kinitopoiisi-tis-pyrosvestikis/ ; https://www.newsbomb.gr/ellada/story/1751842/thessaloniki-nea-estia-fotias-sto-livadi-51-foties-se-ena-24oro ; https://www.ertnews.gr/eidiseis/thessaloniki-oriothetithike-i-fotia-sto-livadi-meta-apo-megali-epixeirisi-tis-pyrosvestikis/ ; https://www.naftemporiki.gr/society/2141864/pyrkagia-tora-se-dasiki-ektasi-sto-livadi-toy-dimoy-thermis/ ; https://www.firefightingreece.gr/2026/07/23/pyrkagia-se-agrotodasiki-ektasi-stin-periochi-livadi-thessalonikis/ ; https://www.lifo.gr/now/greece/thessaloniki-fotia-tora-se-dasiki-ektasi-sto-libadi-thermis ; https://www.enikos.gr/society/thessaloniki-se-exelixi-i-pyrkagia-se-dasiki-ektasi-sto-livadi-tou-dimou-thermis/2618729/ ; https://www.zougla.gr/greece/oriothetithike-i-pyrkagia-sto-livadi-thessalonikis/ ; https://www.thestival.gr/eidiseis/astynomika/livadi-thessalonikis-enischythikan-oi-d/ ; https://www.enikos.gr/society/thessaloniki-se-exelixi-i-pyrkagia-se-dasiki-ektasi-sto-livadi-tou-dimoy-thermis/2618729/</t>
  </si>
  <si>
    <t>Αρχικές δυνάμεις: 46 πυροσβέστες/11 οχήματα (ενισχύθηκαν). Ομάδα ανάκρισης εμπρησμών Θεσσαλονίκης. Χάρτης ΓΓΠΠ 23/7: Θεσσαλονίκης=3/ΥΨΗΛΗ. | Δασική πυρκαγιά ΤΚ Λιβαδίου, Θέρμη. Ξεκίνησε λίγο πριν 22:00 (πιθανώς εκτείνεται στις πρώτες ώρες 24/7). Οριοθετήθηκε μετά από μεγάλη επιχείρηση. Δεν αναφέρθηκε 112. Χάρτης ΓΓΠΠ 23/7: νομός Θεσσαλονίκης ΚΙΤΡΙΝΟ = Κατ. 3. | Νυχτερινή πυρκαγιά — αδυναμία χρήσης εναέριων μέσων λόγω ορατότητας. Μεταξύ των 51 πυρκαγιών 24ωρου 22–23/7. | Δύσβατη χαράδρα, δασική έκταση. Δεν απειλήθηκαν κατοικίες. Ανακριτικό κλιμάκιο εμπρησμού ενεργοποιήθηκε. | Ξέσπασε λίγο πριν τις 22:00. Ξεχωριστό περιστατικό από την πυρκαγιά Εφκαρπίας της ίδιας ημέρας. | Φωτιά σε δασική έκταση· ενισχύθηκαν πυροσβεστικές δυνάμεις. Νέα περίπτωση — δεν συμπεριλαμβανόταν στη λίστα του batch.</t>
  </si>
  <si>
    <t>20:15</t>
  </si>
  <si>
    <t>Φίλυρο/Πεύκη/Ασβεστοχώρι</t>
  </si>
  <si>
    <t>Νεάπολης-Συκεών</t>
  </si>
  <si>
    <t>https://www.newsbomb.gr/ellada/story/1751839/thessaloniki-ypo-elegxo-oi-esties-fotias-pou-ksespasan-sto-filyro ; https://www.naftemporiki.gr/society/2141830/pyrkagia-tora-se-dasiki-ektasi-sto-filyro-thessalonikis/ ; https://www.news247.gr/ellada/thessaloniki-fotia-se-dasiki-ektasi-sto-filyro-epixeiroun-4-enaeria/ ; https://www.cnn.gr/ellada/story/545069/thessaloniki-fotia-se-dasiki-ektasi-sto-filyro-isxyres-epigeies-kai-enaeries-dynameis ; https://www.makedonikanea.gr/ellada/thessaloniki-fotia-se-hortolibadiki-ektasi-sta-peyka-sikothikan-enaeria-mesa ; https://www.news247.gr/ellada/thessaloniki-fotia-se-dasiki-ektasi-sto-filiro-epixeiroun-4-enaeria/ ; https://www.alphatv.gr/koinonia/pirkagia-se-dasiki-ektasi-stin-evriteri-perioxi-filiro-tis-dimotikis-enotitas-pefkon-tou-dimou-sikeon-thessalonikis/ ; https://www.newsbomb.gr/ellada/story/1751818/dyo-foties-sti-thessaloniki-epixeiroyn-tessera-enaeria-mesa ; https://www.cnn.gr/ellada/story/545072/ypo-elegxo-i-fotia-se-dasiki-ektasi-sto-filyro-thessalonikis ; https://www.tanea.gr/2026/07/23/greece/pyrkagia-tora-se-peyka-kai-asvestoxori-thessalonikis ; https://www.cnn.gr/ellada/story/545072/ypo-elegxo-i-fotia-se-dasiki-ektasi-sto-filyro-thessalonikis/ ; https://www.cnn.gr/ellada/story/545069/thessaloniki-fotia-se-dasiki-ektasi-sto-filyro-isxyres-epigeies-kai-enaeries-dynameis/ ; https://parallaximag.gr/thessaloniki-news/ypo-elegcho-i-pyrkagia-sto-filyro-thessalonikis-paramenoyn-ischyres-dynameis-sto-simeio/ ; https://www.emakedonia.gr/thessaloniki-amesa-ipo-eleghcho-i-fotia-se-dasiki-ektasi-sto-filiro/ ; https://www.makedonikanea.gr/ellada/thessaloniki-fotia-se-hortolibadiki-ektasi-sta-peyka-sikothikan-enaeria-mesa/ ; https://www.emakedonia.gr/thessaloniki-amea-ipo-eleghcho-i-fotia-se-dasiki-ektasi-sto-filiro</t>
  </si>
  <si>
    <t>Δύο ξεχωριστές εστίες σε Φίλυρο (Δ.Ε. Πεύκων, Δήμος Νεάπολης-Συκεών) και Ασβεστοχώρι — τέθηκαν άμεσα υπό έλεγχο. Χάρτης ΓΓΠΠ 23/7: Θεσσαλονίκης=3/ΥΨΗΛΗ. | Δύο εστίες στη Δημοτική Ενότητα Πευκών (Δήμος Συκεών) και Ασβεστοχώρι ξέσπασαν βραδινές ώρες 23/7. Ελέγχθηκαν άμεσα. Σύνολο 4 εναέρια μέσα (2 αεροσκάφη + 2 ελικόπτερα). Χάρτης ΓΓΠΠ 23/7: νομός Θεσσαλονίκης ΚΙΤΡΙΝΟ = Κατ. 3. | Δύο ξεχωριστές εστίες στο Φίλυρο (Δ.Ε. Πεύκων): μία στα Πεύκα και μία στο Ασβεστοχώρι. Αντιμετωπίστηκαν άμεσα. | Διπλή εστία: Πεύκη και Ασβεστοχώρι. Άμεσα τέθηκαν και οι δύο υπό έλεγχο. 2η ΕΜΟΔΕ (2 ομάδες). Ανακριτικό Κλιμάκιο Θεσσαλονίκης διερευνά αίτια. | Δύο εστίες: Πεύκα (Δ.Ε. Πεύκων, κοντά σε κοιμητήριο) και Ασβεστοχώρι. Άμεσα τέθηκαν υπό έλεγχο (emakedonia).</t>
  </si>
  <si>
    <t>Ασπρόχωμα Μεσσηνίας</t>
  </si>
  <si>
    <t>https://www.naftemporiki.gr/society/2141831/fotia-tora-se-chamili-vlastisi-sto-asprochoma-messinias/ ; https://www.firefightingreece.gr/2026/07/23/amesa-tethike-ypo-elegcho-pyrkagia-se-chamili-vlastisi-stin-periochi-asprochoma-messinias/</t>
  </si>
  <si>
    <t>Μικρή πυρκαγιά σε χαμηλή βλάστηση, ελέγχθηκε άμεσα. Χάρτης ΓΓΠΠ 23/7: Περιφέρεια Πελοποννήσου ΚΙΤΡΙΝΟ = Κατ. 3 (Υψηλός κίνδυνος). | Άμεσα τέθηκε υπό έλεγχο. Χαμηλή βλάστηση. Έγκαιρη επέμβαση απέτρεψε επέκταση. | Άμεσα τέθηκε υπό έλεγχο χωρίς σημαντική επέκταση (firefightingreece). Χαμηλή βλάστηση.</t>
  </si>
  <si>
    <t>Ποτιστικά Πλαγιάς</t>
  </si>
  <si>
    <t>Πλαγιάς</t>
  </si>
  <si>
    <t>υπό εξέταση — ομάδα εμπρησμών Αιτωλοακαρνανίας</t>
  </si>
  <si>
    <t>https://www.skai.gr/news/greece/pyrkagia-se-xamili-vlastisi-sti-thesi-potistika-stin-plagia-aitoloakarnanias-epixeiroun-tr ; https://www.newsit.gr/ellada/oriothetithike-i-fotia-stin-plagia-aitoloakarnanias/4735489/ ; https://www.agriniosite.gr/plagia-i-egkairi-epemvasi-apetrepse-tin-epektasi-tis-fotias/</t>
  </si>
  <si>
    <t>Χαμηλή βλάστηση, θέση «Ποτιστικά». Δεν απειλήθηκαν κατοικίες ή υποδομές. Χάρτης ΓΓΠΠ 23/7: Αιτωλοακαρνανίας=3/ΥΨΗΛΗ (επιβεβαιώνεται και από το άρθρο). | Χαμηλή βλάστηση, θέση Ποτίστικα. Δεν απειλήθηκαν κατοικίες ή υποδομές. Ανακριτικό κλιμάκιο εμπρησμού ενεργοποιήθηκε. | Τελικές δυνάμεις 38 πυροσβέστες με 2 πεζοπόρα τμήματα (5ης ΕΜΟΔΕ), 10 οχήματα, 2 αεροσκάφη, 1 ελικόπτερο. Δεν απειλήθηκαν κατοικίες ή υποδομές.</t>
  </si>
  <si>
    <t>Άγιος Θωμάς Οινοφύτων (Τανάγρα)</t>
  </si>
  <si>
    <t>2 ομάδες πεζοπόρων (4η ΕΜΟΔΑ)</t>
  </si>
  <si>
    <t>Υπό διερεύνηση (Ανακριτικό Κλιμάκιο Εμπρησμών Εύβοιας)</t>
  </si>
  <si>
    <t>https://www.ertnews.gr/eidiseis/ellada/xoris-energo-metopo-i-fotia-stin-tanagra-voiotias/ ; https://www.in.gr/2026/07/23/greece/fotia-sta-oinofyta-epixeiroun-4-enaeria-mesa/ ; https://www.naftemporiki.gr/society/2141566/fotia-sta-oinofyta-choris-energo-metopo-i-pyrkagia/ ; https://www.news247.gr/ellada/fotia-sta-oinofita-voiotias-sikothikan-enaeria/ ; https://www.eleftherostypos.gr/ellada/fotia-tora-stin-tanagra-voiotias-epicheiroun-4-enaeria-mesa</t>
  </si>
  <si>
    <t>Αγροτική έκταση. Κατασβέστηκε σε ~30 λεπτά. Αρχικά αναφέρθηκε ως 4 εναέρια (2 αεροσκ. + 2 ελικ.). | Χωρίς ενεργό μέτωπο εντός 30 λεπτών. Αγροτική έκταση (Άγιος Θωμάς). Επίπεδο κινδύνου 4 επιβεβαιώθηκε από δημοσίευμα.</t>
  </si>
  <si>
    <t>2026-07-25</t>
  </si>
  <si>
    <t>10:27</t>
  </si>
  <si>
    <t>Πυρκαγιά Εφκαρπίας – Λαγύνα/Δερβένι</t>
  </si>
  <si>
    <t>μηχανήματα έργου Δήμου Θεσσαλονίκης</t>
  </si>
  <si>
    <t>αμέλεια – χρήση θραυστήρα κατά γεωργικές εργασίες από 51χρονο (συνελήφθη)</t>
  </si>
  <si>
    <t>112: παραμονή σε κλειστούς χώρους λόγω πυκνών καπνών | 112 ~10:07 23/07: Ευκαρπία/Δερβένι/Ωραιόκαστρο — παραμείνετε σε εσωτερικούς χώρους, κλείστε πόρτες και παράθυρα λόγω καπνού (πηγή @112Greece)· νεότερο μήνυμα 112: Ανθούπολη-Ωραιόκαστρο, ίδιες οδηγίες</t>
  </si>
  <si>
    <t>https://www.ertnews.gr/ert3/thessaloniki-120-pyrosvestes-kai-10-enaeria-mesa-anekopsan-ti-fotia-prin-epektathei/ ; https://www.ertnews.gr/video/thessaloniki-megali-epixeirisi-tis-pyrosvestikis-gia-tin-pyrkagia-stin-eykarpia-aslanidis-elpizoume-sta-enaeria-mesa-gia-na-einai-i-fotia-elegxomeni/ ; https://www.newsbomb.gr/ellada/story/1751725/i-fotia-stin-efkarpia-thessalonikis-proklithike-apo-georgikes-ergasies-51xronou ; https://www.airmedandrescue.com/latest/news/greece-dispatches-aircraft-battle-wildfires ; https://www.ertnews.gr/ert3/thessaloniki-fotia-se-dasiki-ektasi-stin-eykarpia-ixise-to-112/ ; https://www.newsbomb.gr/ellada/story/1751640/ixise-to-112-gia-ti-fotia-sto-derveni-thessalonikis-symmetexoun-kai-pyrosvestes-apo-ti-moldavia ; https://www.newsbomb.gr/ellada/story/1751688/oriothetithike-i-fotia-stin-efkarpia-thessalonikis ; https://x.com/112Greece/status/2080189505407979787</t>
  </si>
  <si>
    <t>Στα όρια Δήμου Παύλου Μελά &amp; Ωραιοκάστρου. Οριοθετήθηκε το μεσημέρι χωρίς απειλή κατοικιών. 51 περιστατικά σε Ελλάδα στο ίδιο 24ωρο (23–24/07). | 120 πυροσβέστες + διεθνής συνδρομή Μολδαβίας ανέκοψαν τη φωτιά πριν επεκταθεί. Follow-up email: 19f94d2c6528f1e9.</t>
  </si>
  <si>
    <t>Δερβένι - Ευκαρπία Θεσσαλονίκης</t>
  </si>
  <si>
    <t>12 πυροσβέστες + 3 οχήματα Μολδαβίας (Μηχανισμός Πολιτικής Προστασίας ΕΕ)</t>
  </si>
  <si>
    <t>ναι (εθελοντές πυρόσβεσης)</t>
  </si>
  <si>
    <t>Αμέλεια κατά γεωργικές εργασίες (θαμνοκοπτικό) — σύλληψη 51χρονου επ' αυτοφώρω</t>
  </si>
  <si>
    <t>112 09:56: καπνός στην περιοχή — παραμονή σε εσωτερικούς χώρους, κλείσιμο θυρών/παραθύρων, ετοιμότητα | 112 ~09:56: ενημέρωση για πυκνό καπνό — παραμείνετε σε κλειστούς χώρους, κλείστε πόρτες/παράθυρα, σε ετοιμότητα (χωρίς εκκένωση) | 112 ~10:00 23/7: ετοιμότητα/παραμείνετε σε εσωτερικούς χώρους λόγω καπνών (Δερβένι)· νέο μήνυμα ~03:06 24/7: παραμείνετε σε εσωτερικούς χώρους, κλείστε πόρτες/παράθυρα (Ωραιόκαστρο/Ανθούπολη)· χωρίς εκκένωση | 112 09:56: προειδοποίηση παραμονής σε εσωτερικούς χώρους με κλειστά παράθυρα/πόρτες λόγω καπνών (περιοχή Δερβενίου/Εφκαρπίας) | 112 προειδοποίηση (ώρα μη επιβεβαιωμένη): «Παραμείνετε σε ετοιμότητα εσωτερικά λόγω καπνών» — δεν εκδόθηκε εντολή εκκένωσης | 112 (ώρα αδιευκρίνιστη): προειδοποίηση κατοίκων «παραμείνετε εντός οικιών, κλείστε πόρτες/παράθυρα» λόγω πυκνού καπνού — χωρίς εκκένωση | 112 πρωί 23/07: προειδοποίηση – παραμείνετε εντός, κλείστε πόρτες/παράθυρα λόγω καπνού (δεν εκδόθηκε εντολή εκκένωσης)</t>
  </si>
  <si>
    <t>https://www.ertnews.gr/ert3/thessaloniki-se-ekseliksi-fotia-stin-eykarpia-den-apeilountai-katoikimenes-perioxes-ixise-to-112/ ; https://www.in.gr/2026/07/23/greece/thessaloniki-fotia-se-agrotodasiki-ektasi-sto-derveni/ ; https://www.protothema.gr/greece/article/1854929/purkagia-sto-parko-derveniou-sti-thessaloniki-epiheiroun-kai-enaeria-mesa/ ; https://www.news247.gr/ellada/thessaloniki-pirkagia-konta-sto-derveni-sikothikan-dio-elikoptera/ ; https://www.newsit.gr/ellada/fotia-sto-derveni-thessalonikis-sikothikan-enaeria-mesa-pano-apo-50-pyrosvestes-sti-maxi/4735017/ ; https://www.efsyn.gr/ellada/1433828/thessaloniki-fotia-sto-derveni-epiheiroyn-dyo-elikoptera/ ; https://www.ertnews.gr/ert3/thessaloniki-kata-ti-diarkeia-ektelesis-georgikon-ergasion-proklithike-i-fotia-konta-sto-derveni-syllipsi-51xronou/ ; https://www.ertnews.gr/ert3/thessaloniki-se-ekseliksi-fotia-stin-eykarpia-ixise-to-112-kai-enisxythikan-oi-dynameis-pyrosvesis/ ; https://www.ertnews.gr/video/thessaloniki-megali-epixeirisi-tis-pyrosvestikis-gia-tin-pyrkagia-stin-eykarpia-aslanidis-elpizoume-sta-enaeria-mesa-gia-na-einai-i-fotia-elegxomeni/ ; https://www.tanea.gr/2026/07/23/greece/fotia-sto-derveni-thessalonikis-sikothikan-enaeria-mesa/ ; https://www.huffingtonpost.gr/kinonia/fotia-sto-derveni-sti-thessaloniki-epicheiroun-enaeria-mesa-ichise-112/ ; https://athina984.gr/2026/07/23/pyrkagia-sto-perivallontiko-parko-dervenioy-epicheiroyn-enaeria-mesa/ ; https://www.eleftherostypos.gr/ellada/fotia-sti-thessaloniki-oriothetithike-i-pyrkagia-se-efkarpia-derveni ; https://www.newsbomb.gr/ellada/story/1751725/i-fotia-stin-efkarpia-thessalonikis-proklithike-apo-georgikes-ergasies-51xronou ; https://thepressproject.gr/fotia-sto-derveni-efkarpias-thessalonikis-megali-kinitopoiisi-tis-pyrosvestikis-minyma-apo-to-112/ ; https://www.ertnews.gr/ert3/thessaloniki-120-pyrosvestes-kai-10-enaeria-mesa-anekopsan-ti-fotia-prin-epektathei/ ; https://www.newsit.gr/ellada/fotia-sto-derveni-thessalonikis-minyma-tou-112-gia-kapnous-kai-etoimotita-10-enaeria-mesa-sti-maxi/4735017/ ; https://www.newsbeast.gr/greece/arthro/13252119/fotia-tora-sto-derveni-thessalonikis-2 ; https://www.newsbomb.gr/ellada/story/1751640/ixise-to-112-gia-ti-fotia-sto-derveni-thessalonikis-symmetexoun-kai-pyrosvestes-apo-ti-moldavia ; https://www.ertnews.gr/eidiseis/thessaloniki-neo-minyma-tou-112-gia-ti-fotia-sto-oraiokastro-parameinete-se-esoterikous-xorous-kleiste-portes-parathyra/ ; https://www.news.gr/ellada/article/4183395/fotia-se-chamili-vlastisi-sto-perivallontiko-parko-derveniou.html ; https://x.com/112Greece/status/2080189505407979787 ; https://x.com/pyrosvestiki/status/2080201214797517140 ; https://www.newsbomb.gr/ellada/story/1751688/oriothetithike-i-fotia-stin-efkarpia-thessalonikis ; https://grtimes.gr/thessaloniki/choris-kindyno-pleon-i-efkarpia-thessalonikis-oriothetithike-i-fotia-se-pliri-yfesi-to-metopo/</t>
  </si>
  <si>
    <t>Αγροτοδασική έκταση στο Περιβαλλοντικό Πάρκο Δερβενίου. Δεν απειλούνται κατοικίες ή εγκαταστάσεις του Πάρκου. Δήμαρχος: «ελπίζουμε στα εναέρια μέσα». Συμμετοχή μολδαβικών δυνάμεων μέσω Μηχανισμού ΕΕ. | Αγροτοδασική έκταση, Περιβαλλοντικό Πάρκο Δερβενίου. Δεν απειλήθηκαν κατοικίες/εγκαταστάσεις. Αρχικά 7+3 εναέρια, αναφέρθηκαν και 10 σε νεότερες εκθέσεις. Ισχυροί άνεμοι στην περιοχή. | Σύνολο 10 εναέρια (7 αεροσκάφη + 3 ελικόπτερα)· συμπεριλαμβάνεται μολδαβική ομάδα 12 πυροσβεστών με 3 οχήματα στο σύνολο 132/36 | Μολδαβοί πυροσβέστες: 12 άτομα + 3 οχήματα (επιπλέον των 120/33 ελληνικών δυνάμεων). Σύνολο εναερίων: 10 (7+3). Δεν απειλήθηκαν κατοικίες. Χάρτης ΓΓΠΠ 23/7: Θεσσαλονίκης=3/ΥΨΗΛΗ. | 33 οχήματα εκ των οποίων 3 από Μολδαβία (12 πυροσβέστες). 10 εναέρια συνολικά (7 αεροσκάφη + 3 ελικόπτερα). Δεν απειλήθηκαν κατοικημένες περιοχές. Αναφέρεται και ως «Δερβένι» ή «Λαγύνα-Δερβένι Ωραιοκάστρου». | Πυρκαγιά στο περιβαλλοντικό πάρκο Δερβενίου. 12 πυροσβέστες + 3 οχήματα από Μολδαβία. Yutori (24/7) αναφέρει επίσης ξεχωριστή «Πυρκαγιά Εχεδώρου» 23/7 (πηγή: AirMed&amp;Rescue· ελάχιστα στοιχεία· πιθανώς ίδιο γεγονός ή γειτονικό). 51 συνολικά περιστατικά 24ωρου 23–24/7. | Περιβαλλοντικό Πάρκο Δερβενίου. Ο Δήμαρχος Ωραιοκάστρου προειδοποίησε για κίνδυνο εκατοντάδων εκταρίων αν η φωτιά ξεφύγει. Σταθεροποίηση κατά τη διάρκεια 24/7 (Yutori email). | Συνελήφθη 51χρονος. 12 πυροσβέστες+3 οχήματα από Μολδαβία. Καμία εκκένωση.</t>
  </si>
  <si>
    <t>Ευκαρπία – Περιβαλλοντικό Πάρκο Δερβενίου</t>
  </si>
  <si>
    <t>Ωραιόκαστρο / Παύλος Μελάς</t>
  </si>
  <si>
    <t>Αγροτικές εργασίες (σύλληψη 51χρονου)</t>
  </si>
  <si>
    <t>112 ~09:56: προειδοποίηση κατοίκων ευρύτερης περιοχής Ευκαρπίας/Ωραιοκάστρου να παραμείνουν σε εσωτερικούς χώρους, να κλείσουν πόρτες και παράθυρα λόγω καπνών · «Παραμείνετε σε ετοιμότητα»</t>
  </si>
  <si>
    <t>https://www.ertnews.gr/ert3/thessaloniki-se-ekseliksi-fotia-stin-eykarpia-den-apeilountai-katoikimenes-perioxes-ixise-to-112/ ; https://www.ertnews.gr/video/thessaloniki-oriothetithike-i-fotia-pou-ksespase-stin-eykarpia/ ; https://www.ertnews.gr/ert3/thessaloniki-120-pyrosvestes-kai-10-enaeria-mesa-anekopsan-ti-fotia-prin-epektathei/ ; https://www.ertnews.gr/ert3/thessaloniki-katasvestike-egkairos-i-fotia-pou-ksespase-sto-derveni/ ; https://www.ertnews.gr/ert3/thessaloniki-kata-ti-diarkeia-ektelesis-georgikon-ergasion-proklithike-i-fotia-konta-sto-derveni-syllipsi-51xronou/ ; https://www.ertnews.gr/video/thessaloniki-megali-epixeirisi-tis-pyrosvestikis-gia-tin-pyrkagia-stin-eykarpia-aslanidis-elpizoume-sta-enaeria-mesa-gia-na-einai-i-fotia-elegxomeni/ ; https://www.in.gr/2026/07/23/greece/thessaloniki-fotia-se-agrotodasiki-ektasi-sto-derveni/ ; https://www.newsbomb.gr/ellada/story/1751640/ixise-to-112-gia-ti-fotia-sto-derveni-thessalonikis-symmetexoun-kai-pyrosvestes-apo-ti-moldavia/ ; https://www.news247.gr/ellada/thessaloniki-pirkagia-konta-sto-derveni-sikothikan-dio-elikoptera/ ; https://www.thetoc.gr/koinwnia/610756/mainetai-i-fotia-sto-derbeni-thessalonikis-parameinete-se-etoimotita---ixise-to-112-isxuroi-anemoi-stin-perioxi ; https://www.huffingtonpost.gr/kinonia/fotia-sto-derveni-sti-thessaloniki-epicheiroun-enaeria-mesa-ichise-112/ ; https://www.protothema.gr/greece/article/1854929/purkagia-sto-parko-derveniou-sti-thessaloniki-epiheiroun-kai-enaeria-mesa/ ; https://www.newsbomb.gr/ellada/story/1751640/ixise-to-112-gia-ti-fotia-sto-derveni-thessalonikis-symmetexoun-kai-pyrosvestes-apo-ti-moldavia ; https://www.newsbomb.gr/ellada/story/1751688/oriothetithike-i-fotia-stin-efkarpia-thessalonikis ; https://www.newsbomb.gr/ellada/story/1751725/i-fotia-stin-efkarpia-thessalonikis-proklithike-apo-georgikes-ergasies-51xronou</t>
  </si>
  <si>
    <t>Μεγάλη επιχείρηση στο Περιβαλλοντικό Πάρκο Δερβενίου (Ευκαρπία), στα όρια δήμων Ωραιοκάστρου–Παύλου Μελά. Συμμετείχαν 12 πυροσβέστες+3 οχήματα από Μολδαβία (διμερής συνεργασία). Σύνολο 10 εναέρια μέσα (7 αεροσκάφη + 3 ελικόπτερα). Σημαντικό τμήμα του Πάρκου κάηκε, οι φλόγες δεν απείλησαν κατοικημένες περιοχές. Ανακριτικό Κλιμάκιο Εμπρησμού Θεσσαλονίκης ανέλαβε έρευνα. Χάρτης ΓΓΠΠ 23/7 (έκδοση 22/07 12:30): νομός Θεσσαλονίκης ΚΙΤΡΙΝΟ = Κατ. 3. | Στην κατάσβεση συμμετείχαν Μολδαβικές δυνάμεις (12 πυροσβέστες, 3 οχήματα) — ενσωματωμένες στα συνολικά 132 πυροσβέστες / 36 οχήματα.</t>
  </si>
  <si>
    <t>Εχεδώρος</t>
  </si>
  <si>
    <t>ελικόπτερα ανεπτυγμένα</t>
  </si>
  <si>
    <t>https://www.airmedandrescue.com/latest/news/greece-dispatches-aircraft-battle-wildfires ; https://www.ertnews.gr/ert3/pyrkagia-se-xamili-vlastisi-ston-exedoro-thessalonikis-sikothikan-elikoptera/ ; https://www.newsbomb.gr/ellada/story/1751818/dyo-foties-sti-thessaloniki-epixeiroyn-tessera-enaeria-mesa</t>
  </si>
  <si>
    <t>Πυρκαγιά σε χαμηλή βλάστηση. Αναφέρθηκε ενεργή 23/07/2026 στο email Yutori 24/07. Ελικόπτερα επιχείρησαν. | Ελάχιστα στοιχεία. Αναφορά Yutori ως ενεργή στις 23/07.</t>
  </si>
  <si>
    <t>Θερμοπηγές - Άγιος Βασίλειος Καλύμνου</t>
  </si>
  <si>
    <t>Κάλυμνος</t>
  </si>
  <si>
    <t>https://www.newsbomb.gr/ellada/story/1751572/fotia-stin-kalymno-maxi-me-tis-floges-dinoun-pyrosvestes-kai-ethelontes---agonia-gia-to-pefkodasos ; https://www.tanea.gr/2026/07/23/greece/megali-pyrkagia-se-dasiki-ektasi-stin-kalymno-video/ ; https://www.tanea.gr/2026/07/23/greece/kalymnos-xoris-energo-metopo-i-fotia/ ; https://www.newsit.gr/ellada/fotia-stin-kalymno-stin-perioxi-tou-agiou-savva-eftase-sta-ypsomata-pano-apo-ti-gefyra/4734907/ ; https://athina984.gr/2026/07/23/kalymnos-se-exelixi-megali-pyrkagia-sto-nisi/ ; https://www.ertnews.gr/eidiseis/ellada/kalymnos-megali-pyrkagia-se-ekseliksi-maxi-na-min-ftasoun-oi-floges-sto-peykodasos/ ; https://www.newsbomb.gr/ellada/story/1751602/xoris-energo-metopo-i-fotia-sti-kalymno ; https://www.documentonews.gr/article/kalymnos-choris-energo-metopo-i-fotia-ischyres-dynameis-paramenoun-sto-simeio/ ; https://www.emakedonia.gr/kalymnos-ypo-pliri-elegcho-i-pyrkagia-den-apeilithikan-dasikes-ektaseis-kai-katoikies-vinteo ; https://www.protothema.gr/greece/article/1854830/se-exelixi-megali-fotia-stin-kalumno-apeilei-peukodasos/ ; https://www.zougla.gr/greece/kalymnos-megali-pyrkagia-se-exelixi/ ; https://www.dimokratiki.gr/23-07-2026/kalymnos-choris-energo-metopo-i-fotia/ ; https://www.parapolitika.gr/ellada/article/1766305/xespase-megali-fotia-stin-kalumno-mahi-ton-purosveston-gia-na-min-ftasei-sto-peukodasos-eikones-video/ ; https://www.newsbeast.gr/greece/arthro/13251656/megali-pyrkagia-stin-kalymno-machi-gia-na-perioristei-to-metopo</t>
  </si>
  <si>
    <t>Έναρξη βράδυ Τετάρτης 22/7 κοντά στις Θερμοπηγές, με κατεύθυνση προς πευκοδάσος Αγίου Βασιλείου. Δήμαρχος: «αν κατεβεί λίγα μέτρα ακόμα στο πευκοδάσος δεν ξέρω τι θα γίνει». Χαμηλοί άνεμοι βοήθησαν. Χωρίς ενεργό μέτωπο έως πρωί 23/7. | Απειλούσε πευκοδάσος ως Άγιο Βασίλειο· δεν εισήλθε στη δασική έκταση. Χωρίς ενεργό μέτωπο 23/7 πρωί. | Φωτιά κοντά στις Θερμοπηγές, απειλούσε πευκοδάσος Αγ. Βασίλειου. Δήμαρχος Γ. Μαστρόκουκος εξέφρασε σοβαρή ανησυχία. Κατάσταση κατά τη δημοσίευση (ξημέρωμα 23/07): ενεργό μέτωπο, χαμηλοί άνεμοι παρείχαν κάποια αισιοδοξία, εθελοντές συμμετείχαν στη μάχη. | Ξεκίνησε 22/07 μετά τις 22:30. Χωρίς ενεργό μέτωπο πρωί 23/07. Δεν απειλήθηκαν δάση ή κατοικίες. Danger level από χάρτη ΓΓΠΠ 23/07 (Δωδεκάνησα=4). | Χωρίς ενεργό μέτωπο από 23/7 (tanea.gr, dimokratiki.gr). Αποτράπηκε η εξάπλωση στο πευκοδάσος, περιπολίες παρέμειναν. | Ισχυρές επίγειες δυνάμεις Εθελοντικού Πυροσβεστικού Σταθμού Καλύμνου με πυροσβεστικά οχήματα. Χωρίς ενεργό μέτωπο το πρωί 23/7. Ανησυχία για απειλή στο πευκοδάσος Αγίου Βασιλείου.</t>
  </si>
  <si>
    <t>Άγιος Σάββας Καλύμνου</t>
  </si>
  <si>
    <t>Καλύμνου</t>
  </si>
  <si>
    <t>Καλυμνίων</t>
  </si>
  <si>
    <t>δασοκομάντος 11ης ΕΜΟΔΕ</t>
  </si>
  <si>
    <t>υδροφόρες Δήμου Καλυμνίων</t>
  </si>
  <si>
    <t>υπό διερεύνηση (Ανακριτική Υπηρεσία Δωδεκανήσου)</t>
  </si>
  <si>
    <t>https://www.newsit.gr/ellada/fotia-stin-kalymno-stin-perioxi-tou-agiou-savva-eftase-sta-ypsomata-pano-apo-ti-gefyra/4734907/ ; https://www.cnn.gr/ellada/story/544909/fotia-se-dasiki-ektasi-stin-kalymno-sto-simeio-i-pyrosvestiki ; https://www.tanea.gr/2026/07/23/greece/kalymnos-xoris-energo-metopo-i-fotia/ ; https://www.tanea.gr/2026/07/23/greece/megali-pyrkagia-se-dasiki-ektasi-stin-kalymno-video/ ; https://www.dimokratiki.gr/23-07-2026/kalymnos-choris-energo-metopo-i-fotia/ ; https://www.iefimerida.gr/ellada/kalymnos-horis-energo-metopo-fotia ; https://www.ertnews.gr/perifereiakoi-stathmoi/notio_aigaio/kalymnos-katasvestike-i-pyrkagia-sto-dasaki-tou-agiou-savva/</t>
  </si>
  <si>
    <t>Δεύτερη πυρκαγιά στην ίδια περιοχή εντός ολίγων ημερών (προηγούμενη 15/7 στον Αγ. Σάββα). Χωρίς ενεργό μέτωπο το πρωί 23/7. Δεν επεκτάθηκε στο δάσος.</t>
  </si>
  <si>
    <t>Άγιος Σάββας – Γέφυρα</t>
  </si>
  <si>
    <t>Δήμος Καλύμνου</t>
  </si>
  <si>
    <t>Πυροσβεστικός Σταθμός Καλύμνου</t>
  </si>
  <si>
    <t>Εθελοντικός Πυροσβεστικός Σταθμός Καλύμνου</t>
  </si>
  <si>
    <t>https://www.newsbomb.gr/ellada/story/1751572/fotia-stin-kalymno-maxi-me-tis-floges-dinoun-pyrosvestes-kai-ethelontes---agonia-gia-to-pefkodasos ; https://www.newsit.gr/ellada/fotia-stin-kalymno-stin-perioxi-tou-agiou-savva-eftase-sta-ypsomata-pano-apo-ti-gefyra/4734907/ ; https://www.tanea.gr/2026/07/23/greece/megali-pyrkagia-se-dasiki-ektasi-stin-kalymno-video/ ; https://www.tanea.gr/2026/07/23/greece/kalymnos-xoris-energo-metopo-i-fotia/ ; https://www.newsbomb.gr/ellada/story/1751602/xoris-energo-metopo-i-fotia-sti-kalymno ; https://www.topontiki.gr/2026/07/23/choris-energo-metopo-i-fotia-stin-kalimno/ ; https://www.cnn.gr/ellada/story/544924/xoris-energo-metopo-i-fotia-pou-ksespase-stin-kalymno ; https://www.emakedonia.gr/kalymnos-ypo-pliri-elegcho-i-pyrkagia-den-apeilithikan-dasikes-ektaseis-kai-katoikies-vinteo ; https://www.iefimerida.gr/ellada/kalymnos-horis-energo-metopo-fotia ; https://kalymnos-news.gr/2026/07/%CE%B1%CE%BD%CE%B1%CE%B6%CF%89%CF%80%CF%8D%CF%81%CF%89%CF%83%CE%B7-%CF%84%CE%B7%CF%82-%CF%86%CF%89%CF%84%CE%B9%CE%AC%CF%83%CF%84%CE%B7%CE%BD-%CF%80%CE%BB%CE%B1%CE%B3%CE%B9%CE%AC-%CF%80%CE%AC/ ; https://www.enikos.gr/society/kalymnos-se-exelixi-fotia-se-dasiki-ektasi-ston-agio-savva-epicheirei-i-pyrosvestiki/2618056/ ; https://www.naftemporiki.gr/society/2141418/kalymnos-choris-energo-metopo-i-fotia-poy-xespase-sto-dasaki-toy-agioy-savva/ ; https://www.ertnews.gr/perifereiakoi-stathmoi/notio_aigaio/kalymnos-katasvestike-i-pyrkagia-sto-dasaki-tou-agiou-savva/</t>
  </si>
  <si>
    <t>Πευκοδάσος πλησίον Αγ. Βασιλείου. Χωρίς ενεργό μέτωπο πρωί 23/7. Αποτράπηκε εξάπλωση σε οικισμό και πυκνή βλάστηση. Επίπεδο κινδύνου από χάρτη ΓΓΠΠ 22/7 (Δωδεκάνησα). | Έναρξη 22/7 ~22:30 (Αγ. Σάββας), έλεγχος 23/7 ~01:30 (πριν επεκταθεί σε πευκοδάσος). Αναζωπύρωση στις πλαγιές πάνω από Γέφυρα το μεσημέρι 23/7. Δεν απειλήθηκαν κατοικίες. danger_level βάσει χάρτη 22/07 (Δωδεκάνησα = πορτοκαλί). | Δυνάμεις: 9 πυροσβέστες με 4 οχήματα Εθελοντικού Πυροσβεστικού Κλιμακίου Καλύμνου + 1 υδροφόρα δήμου Καλύμνου (σύνολο 5 οχήματα). Κανένα εναέριο μέσο. Πυρκαγιά σε πευκοδάσος (δασάκι Αγίου Σάββα). Αγωνία για διείσδυση στο πευκοδάσος προς Άγιο Βασίλειο.</t>
  </si>
  <si>
    <t>Πυρκαγιά Αγίου Σάββα Καλύμνου</t>
  </si>
  <si>
    <t>βυτία Δήμου Καλύμνου</t>
  </si>
  <si>
    <t>υπό διερεύνηση (ΑΚΑΕΕ Δωδεκανήσου)</t>
  </si>
  <si>
    <t>https://www.newsit.gr/ellada/fotia-stin-kalymno-stin-perioxi-tou-agiou-savva-eftase-sta-ypsomata-pano-apo-ti-gefyra/4734907/ ; https://www.ertnews.gr/perifereiakoi-stathmoi/notio_aigaio/kalymnos-katasvestike-i-pyrkagia-sto-dasaki-tou-agiou-savva/ ; https://www.newsbomb.gr/ellada/story/1751572/fotia-stin-kalymno-maxi-me-tis-floges-dinoun-pyrosvestes-kai-ethelontes---agonia-gia-to-pefkodasos ; https://www.naftemporiki.gr/society/2141418/kalymnos-choris-energo-metopo-i-fotia-poy-xespase-sto-dasaki-toy-agioy-savva/ ; https://kalymnos-news.gr/2026/07/%CF%80%CF%85%CF%81%CE%BA%CE%B1%CE%B3%CE%B9%CE%AC-%CF%83%CE%B5-%CE%B5%CE%BE%CE%AD%CE%BB%CE%B9%CE%BE%CE%B7-%CF%83%CF%84%CE%B7%CE%BD-%CF%80%CE%BB%CE%B1%CE%B3%CE%B9%CE%AC-%CE%B1%CF%80%CE%AD%CE%BD%CE%B1/</t>
  </si>
  <si>
    <t>Δεύτερη πυρκαγιά στον ίδιο χώρο μέσα σε λίγες μέρες (προηγούμενη 15/07). Έφτασε στα υψώματα πάνω από τη Γέφυρα. Δήμαρχος χαρακτήρισε κατάσταση «ιδιαίτερα κρίσιμη» – κίνδυνος για πευκοδάσος προς οικισμό Αγ. Βασιλείου. | Υπό μερικό έλεγχο ~01:30 ξημερώματα 23/07 (εντός ~3,5h από εκκίνηση). Πρωί 23/07: χωρίς ενεργό μέτωπο. Συμμετείχαν εθελοντές Εθελοντικής Πυροσβεστικής Καλύμνου.</t>
  </si>
  <si>
    <t>Περαχώρα</t>
  </si>
  <si>
    <t>Λουτρακίου-Περαχώρας-Αγίων Θεοδώρων</t>
  </si>
  <si>
    <t>1 (9η ΕΜΟΔΕ)</t>
  </si>
  <si>
    <t>υπό διερεύνηση (ΔΑΕΕ Κορινθίας)</t>
  </si>
  <si>
    <t>https://www.naftemporiki.gr/society/2141258/loytraki-prolavan-egkaira-tin-pyrkagia-stin-perachora/ ; https://www.iefimerida.gr/ellada/fotia-perahora-loytrakioy ; https://newpost.gr/eidiseis/fotia-stin-perachora-loytrakioy-megali-kinitopoiisi-tis-pyrosvestikis-konta-sti-limni-voyliagmenis-vinteo/ ; https://www.newsbomb.gr/ellada/story/1751489/loutraki-fotia-stin-peraxora-tis-limnis-vouliagmenis ; https://www.topontiki.gr/2026/07/22/fotia-stin-perachora-loutrakiou-konta-sti-limni-vouliagmenis/ ; https://www.newsbomb.gr/ellada/story/1751512/loutraki-oriothetithike-i-fotia-sto-iraio-peraxoras ; https://agioitheodoroi.com/katastasi-synagermoy-katigoria-5-gia-ton-dimo-loytrakioy-perachoras-agion-theodoron-22-07-2026/</t>
  </si>
  <si>
    <t>~5 στρέμματα ξερά χόρτα (0.5 ha) κοντά σε λίμνη Βουλιαγμένης· αντιμετωπίστηκε εντός &lt;1 ώρας· στρατός και εθελοντές παρόν | Φωτιά στο Ηραίο Περαχώρας κοντά στη λίμνη Βουλιαγμένης· Κατάσταση Συναγερμού Κατηγορίας 5 για τον Δήμο</t>
  </si>
  <si>
    <t>2026-07-23</t>
  </si>
  <si>
    <t>16:09</t>
  </si>
  <si>
    <t>Πορτιανός (περιφερειακός από Κοντιά)</t>
  </si>
  <si>
    <t>https://www.newsit.gr/ellada/fotia-stin-kefalonia-ixise-to-112-sikothikan-kai-enaeria-mesa-pyrkagies-kai-se-aitoloakarnania-ipeiro-kai-limno/4734547/ ; https://www.skai.gr/news/greece/fotia-sti-limno-epixeiroun-dynameis-tis-pyrosvestikis</t>
  </si>
  <si>
    <t>Περιφερειακός δρόμος Κοντιά–Πορτιανού· φαίνεται να τέθηκε υπό έλεγχο γρήγορα | Φωτιά στο Πέταλο του Περιφερειακού στον Πορτιανό. Δυνάμεις και καμένη έκταση δεν εντοπίστηκαν σε δευτερογενείς πηγές.</t>
  </si>
  <si>
    <t>2026-07-24</t>
  </si>
  <si>
    <t>Καλλιγάτα Κεφαλονιάς</t>
  </si>
  <si>
    <t>Αργοστολίου</t>
  </si>
  <si>
    <t>1 (16η ΕΜΟΔΕ)</t>
  </si>
  <si>
    <t>υδροφόρες Δήμου Αργοστολίου</t>
  </si>
  <si>
    <t>υπό διερεύνηση (Υπ/χείο Εμπρησμών Κέρκυρας)</t>
  </si>
  <si>
    <t>112 16:07: προειδοποίηση κατοίκων Καλλιγάτων Κεφαλληνίας — «Παραμείνετε σε ετοιμότητα και ακολουθείτε τις οδηγίες των Αρχών» | 112 16:07: ενημέρωση/ετοιμότητα κατοίκων ευρύτερης περιοχής Καλλιγάτων (χωρίς εκκένωση) | 112 16:07: προειδοποίηση αυξημένης ετοιμότητας κατοίκων ευρύτερης περιοχής Καλλιγάτων | 112 16:07: ετοιμότητα – «παραμείνετε σε ετοιμότητα και ακολουθήστε τις οδηγίες των Αρχών» | ναι (16:07)</t>
  </si>
  <si>
    <t>https://pelop.gr/fotia-se-dasiki-ektasi-sta-kalligata-kefalonias-minyma-tou-112-stous-katoikous/ ; https://www.protothema.gr/greece/article/1854663/fotia-tora-stin-kefalonia-112-gia-etoimotita/ ; https://www.naftemporiki.gr/society/2141173/fotia-tora-sta-kaligata-kefalonias-minyma-apo-to-112/ ; https://www.skai.gr/news/greece/fotia-stin-kefalonia-konta-se-spitia-ixise-to-112 ; https://www.cnn.gr/ellada/story/544863/fotia-stin-kefalonia-ixise-to-112-sta-kinita-ton-katoikon ; https://www.newsit.gr/ellada/fotia-stin-kefalonia-ixise-to-112-sikothikan-kai-enaeria-mesa-pyrkagies-kai-se-aitoloakarnania-ipeiro-kai-limno/4734547/ ; https://katohika.gr/ellada/pyrkagia-stin-kefalonia-megali-epicheirisi-katasvesis-sta-kalligata-minyma-apo-to-112/ ; https://www.thetoc.gr/koinwnia/article/fotia-stin-kefalonia-ixise-to-112-gia-purkagia-sta-kalligata---epixeiroun-isxures-dunameis-tis-purosbestikis/ ; https://www.tanea.gr/2026/07/22/greece/fotia-stin-kefalonia-pyrkagia-sta-kalligata-minyma-112-stous-katoikous/ ; https://www.newsbomb.gr/ellada/story/1751471/fotia-tora-stin-kalligata-kefalonias-sms-apo-to-112-gia-etoimotita ; https://www.newsbomb.gr/ellada/story/1751486/kefalonia-xoris-energo-metopo-i-fotia-sta-kalligata ; https://www.ertnews.gr/roi-idiseon/pyrkagia-stin-kefalonia-megali-epixeirisi-katasvesis-sta-kalligata-minyma-apo-to-112/ ; https://www.athensvoice.gr/epikairotita/ellada/976857/fotia-tora-sta-kalligata-kefalonias-minuma-112-gia-etoimotita/ ; https://www.efsyn.gr/ellada/1433458/pyrkagia-stin-kefalonia-sikothikan-enaeria-estali-minyma-apo-to-112/ ; https://www.firefightingreece.gr/2026/07/22/pyrkagia-se-chamili-vlastisi-stin-kalligata-kefalonias/ ; https://www.imerazante.gr/2026/07/22/398641</t>
  </si>
  <si>
    <t>Δασική έκταση κοντά σε διάσπαρτες κατοικίες· κανένα σπίτι δεν απειλήθηκε | Χαμηλή βλάστηση κοντά σε διάσπαρτες οικίες. Χωρίς ενεργό μέτωπο τέλος 22/7. Πυροσβεστική ενημερώθηκε ~15:45. | Χαμηλή βλάστηση, κοντά σε διάσπαρτες κατοικίες. Υπό πλήρη έλεγχο άμεσα. danger_level βάσει χάρτη 22/07 (Ιόνιο = πορτοκαλί). | Πυρκαγιά σε χαμηλή βλάστηση με διάσπαρτες κατοικίες στην περιοχή. Ταυτόχρονες πυρκαγιές σε Αιτωλοακαρνανία, Ήπειρο, Λήμνο ίδια ημέρα. | Πυρκαγιά σε χαμηλή βλάστηση κοντά σε διάσπαρτες κατοικίες. Ανακριτικό κλιμάκιο εμπρησμού Κέρκυρας ενεργοποιήθηκε. Μεταγενέστερο άρθρο ΣΚΑΪ: «χωρίς ενεργό μέτωπο». | Χωρίς ενεργό μέτωπο στις 22/7 (newsbomb.gr). Φωτιά σε χαμηλή βλάστηση, γρήγορη κατάσβεση με συντονισμένη επίγεια/εναέρια επέμβαση. | Πυρκαγιά σε χαμηλή βλάστηση. Τέθηκε υπό πλήρη έλεγχο χάρη σε συντονισμένη επέμβαση επίγειων και εναέριων δυνάμεων.</t>
  </si>
  <si>
    <t>Κεφαλονίας</t>
  </si>
  <si>
    <t>Αργοστόλι</t>
  </si>
  <si>
    <t>1 ομάδα πεζοπόρων 16ης ΕΜΟΔΕ</t>
  </si>
  <si>
    <t>υπό διερεύνηση (Τμήμα Εμπρησμών Κέρκυρας)</t>
  </si>
  <si>
    <t>112 16:07: ειδοποίηση ετοιμότητας κατοίκων ευρύτερης περιοχής Καλλιγάτων — παρακολούθηση οδηγιών αρχών</t>
  </si>
  <si>
    <t>https://katohika.gr/ellada/pyrkagia-stin-kefalonia-megali-epicheirisi-katasvesis-sta-kalligata-minyma-apo-to-112/ ; https://www.skai.gr/news/greece/fotia-stin-kefalonia-konta-se-spitia-ixise-to-112 ; https://www.ertnews.gr/roi-idiseon/pyrkagia-stin-kefalonia-megali-epixeirisi-katasvesis-sta-kalligata-minyma-apo-to-112/ ; https://www.firefightingreece.gr/2026/07/22/pyrkagia-se-chamili-vlastisi-stin-kalligata-kefalonias/ ; https://www.imerazante.gr/2026/07/22/398641 ; https://www.newsbomb.gr/ellada/story/1751486/kefalonia-xoris-energo-metopo-i-fotia-sta-kalligata</t>
  </si>
  <si>
    <t>Φωτιά σε χαμηλή βλάστηση. Παρουσία σκόρπιων κατοικιών πλησίον της εστίας. Ενεργοποιήθηκε ερευνητική μονάδα Εμπρησμών από Κέρκυρα. | Πυρκαγιά σε χαμηλή βλάστηση. Τέθηκε υπό πλήρη έλεγχο χάρη σε συντονισμένη επέμβαση επίγειων και εναέριων δυνάμεων.</t>
  </si>
  <si>
    <t>Αφίδνες (παράδρομος Αθηνών–Θεσσαλονίκης)</t>
  </si>
  <si>
    <t>3 (1η ΕΜΟΔΕ)</t>
  </si>
  <si>
    <t>υδροφόρες Δήμου Ωρωπού</t>
  </si>
  <si>
    <t>Υπό διερεύνηση (Ανακριτικό Κλιμάκιο Εμπρησμών Αθηνών)</t>
  </si>
  <si>
    <t>https://www.rthess.gr/ellada/fotia-tora-konta-sta-diodia-afidnon-kinitopoiithikan-ischyres-dynameis-tis-pyrosvestikis/ ; https://www.skai.gr/news/greece/fotia-sta-diodia-afidnon-isxyres-pyrosvestikes-dynameis-sti-maxi-me-tis-floges ; https://www.in.gr/2026/07/22/greece/fotia-stis-afidnes-konta-sta-diodia/ ; https://www.athensvoice.gr/epikairotita/ellada/976822/horis-energo-metopo-i-fotia-koda-sta-diodia-afidnon/ ; https://www.newsbomb.gr/ellada/story/1751454/xoris-energo-metopo-i-pyrkagia-se-xamili-vlastisi-konta-sta-diodia-afidnon ; https://www.naftemporiki.gr/society/2141078/fotia-tora-stis-afidnes-2/ ; https://oroposnews.com/%CE%B5%CE%B9%CE%BA%CF%8C%CE%BD%CE%B5%CF%82-%CE%B1%CF%80%CF%8C-%CF%84%CE%B7%CE%BD-%CE%B5%CF%80%CF%8C%CE%BC%CE%B5%CE%BD%CE%B7-%CE%B7%CE%BC%CE%AD%CF%81%CE%B1-%CF%84%CE%B7%CF%82-%CF%80%CF%85%CF%81%CE%BA/</t>
  </si>
  <si>
    <t>Χαμηλή βλάστηση σε παράδρομο Ε.Ο. Αθηνών–Θεσσαλονίκης· καταστολή εντός 40 λεπτών· δεν εκδόθηκε 112 από πηγές που εξετάστηκαν | Χωρίς ενεργό μέτωπο εντός 40 λεπτών. Πηγές αναφέρουν επίσης επιπτώσεις στην Ιπποκράτειο Πολιτεία (oroposnews.com). Καμένη έκταση δεν εντοπίστηκε σε πηγές.</t>
  </si>
  <si>
    <t>Άδαμι Επιδαύρου</t>
  </si>
  <si>
    <t>Δ. Επιδαύρου</t>
  </si>
  <si>
    <t>3 πεζοπόρες ομάδες 9ης ΕΜΟΔΕ</t>
  </si>
  <si>
    <t>υδροφόρες Δήμου Επιδαύρου</t>
  </si>
  <si>
    <t>υπό διερεύνηση (Ανακριτικό Κλιμάκιο Εμπρησμών Αργολίδας)</t>
  </si>
  <si>
    <t>https://www.anagnostis.org/2026/07/22/i-pyrkagia-ekapse-500-stremmata-sto-adami-epidavrou/ ; https://www.emakedonia.gr/pyrosvestiki-se-yfesi-i-fotia-sto-adami-epidayroy-38-agrotodasikes-pyrkagies-se-ena-24oro-819045 ; https://www.news247.gr/ellada/se-ifesi-i-fotia-sto-adami-epidavrou-stin-argolida/</t>
  </si>
  <si>
    <t>Emakedonia.gr (μεταγενέστερο άρθρο): τελικές δυνάμεις 88 πυροσβέστες + 4 πεζοπόρα τμήματα, 19 οχήματα, 8 αεροσκάφη, 4 ελικόπτερα· έναρξη ~12:30 σε ελαιώνες και δασική έκταση, δυσπρόσιτο ανεπίδοτο έδαφος.</t>
  </si>
  <si>
    <t>Κράνα Μυλοποτάμου – Ζωνιανά</t>
  </si>
  <si>
    <t>Δήμος Αμαρίου (Κρανά Μυλοποτάμου)</t>
  </si>
  <si>
    <t>υδροφόρες Δήμου Ανωγείων</t>
  </si>
  <si>
    <t>υπό διερεύνηση (Υπ/χείο Εμπρησμών Ρεθύμνου)</t>
  </si>
  <si>
    <t>https://www.eleftherostypos.gr/ellada/fotia-tora-sta-zoniana-rethymnou-sikothikan-2-enaeria-mesa ; https://newpost.gr/eidiseis/kriti-pyrkagia-se-agrotodasiki-ektasi-sta-zoniana-rethymnoy/ ; https://www.cretalive.gr/ellada/50-pyrkagies-se-ena-24oro-sta-zoniana-i-megalyteri-epiheirisi-tis-pyrosvestikis ; https://www.skaikritis.gr/fotia-sta-zoniana-sikothikan-dyo-enaeria-mesa/ ; https://www.athensvoice.gr/epikairotita/ellada/976767/fotia-tora-sta-zoniana/ ; https://www.skai.gr/news/greece/fotia-stin-krana-mylopotamou-sta-zoniana-rethymnou-sikothikan-2-elikoptera ; https://www.daynight.gr/kriti/rethymno/rethymno-ypo-elegcho-i-fotia-stin-krana-mylopotamou/ ; https://www.firefightingreece.gr/2026/07/22/pyrkagia-se-chamili-vlastisi-stin-periochi-krana-kritis/ ; https://dimosmylopotamou.gr/%CE%AC%CE%BC%CE%B5%CF%83%CE%B7-%CE%BA%CE%B1%CE%B9-%CF%83%CF%85%CE%BD%CF%84%CE%BF%CE%BD%CE%B9%CF%83%CE%BC%CE%AD%CE%BD%CE%B7-%CE%B5%CF%80%CE%AD%CE%BC%CE%B2%CE%B1%CF%83%CE%B7-%CF%83%CF%84%CE%B7%CE%BD ; https://flashnews.gr/post/1054088/amesi-kai-syntonismeni-epemvasi-stin-krana-mylopotamou-i-pyrkagia-oriothetithike-prin-lavei-diastaseis/</t>
  </si>
  <si>
    <t>Αγροτοδασική έκταση. Μία από τις μεγαλύτερες επιχειρήσεις της 22/7 (ημέρα με ~50 περιστατικά εθνικά). Οριοθετήθηκε εντός 1 ώρας. | Οριοθετήθηκε σε ~1 ώρα. Αγροτολιβαδική έκταση. Άμεση και αποτελεσματική επέμβαση. | 2 πεζοπόρα τμήματα 3ης ΕΜΟΔΕ. Δήμος Μυλοποτάμου παρείχε υδροφόρες και προσωπικό. Καμένη έκταση δεν εντοπίστηκε σε πηγές.</t>
  </si>
  <si>
    <t>Άνω Κεράσοβο</t>
  </si>
  <si>
    <t>1 (6η ΕΜΟΔΕ)</t>
  </si>
  <si>
    <t>https://thepressproject.gr/fotia-xespase-stin-periochi-ano-kerasovo-aitoloakarnanias/ ; https://www.cnn.gr/ellada/story/544854/fotia-se-xamili-vlastisi-stin-aitoloakarnania-sikothikan-tessera-aeroskafi ; https://www.protothema.gr/greece/article/1854633/fotia-tora-sto-ano-kerasovo-aitoloakarnanias-sikothikan-tessera-aeroskafi/ ; https://www.newsit.gr/ellada/fotia-stin-kefalonia-ixise-to-112-sikothikan-kai-enaeria-mesa-pyrkagies-kai-se-aitoloakarnania-ipeiro-kai-limno/4734547/ ; https://newpost.gr/eidiseis/pyrkagia-sto-ano-kerasovo-aitoloakarnanias-sikothikan-4-aeroskafi/ ; https://www.firefightingreece.gr/2026/07/22/pyrkagia-se-agrotodasiki-ektasi-sto-ano-kerasovo-aitoloakarnanias/ ; https://www.thetoc.gr/koinwnia/article/purkagia-sto-ano-kerasobo-aitoloakarnanias-enaeria-mesa-kai-epigeies-dunameis-sti-maxi-me-tis-floges/ ; https://pelop.gr/i-mia-fotia-meta-tin-alli-pyrina-metopa-se-aitoloakarnania-ipeiro-kai-kefalonia-vinteo/ ; https://www.skai.gr/news/greece/agrinio-pyrkagia-stin-perioxi-ano-kerasovo ; https://www.ertnews.gr/eidiseis/ellada/pyrkagia-se-xamili-vlastisi-stin-perioxi-ano-kerasovo-sto-agrinio-aitoloakarnanias/ ; https://www.aixmi-news.gr/fotia-xespase-sto-ano-kerasovo-sto-ergo-tis-katasvesis-kai-ethelontes/</t>
  </si>
  <si>
    <t>Αγροτοδασική έκταση. Χωρίς ενεργό μέτωπο σύμφωνα με pelop.gr. Δεν απειλήθηκαν κατοικίες. | Χωρίς ενεργό μέτωπο περίπου 1 ώρα μετά την έναρξη (≈13:00). Κλιμάκιο αντιμετώπισης εγκλημάτων εμπρησμού Αιτωλοακαρνανίας μεταβαίνει στο σημείο. | Αγροτοδασική έκταση χαμηλής βλάστησης. Κατηγορία κινδύνου 3. Αιτία δεν εντοπίστηκε σε δημοσιεύματα.</t>
  </si>
  <si>
    <t>Κεφαλόβρυσο</t>
  </si>
  <si>
    <t>Δήμος Πωγωνίου</t>
  </si>
  <si>
    <t>Κάτοικοι και πρόεδρος κοινότητας</t>
  </si>
  <si>
    <t>συμμετοχή κατοίκων</t>
  </si>
  <si>
    <t>https://www.kontranews.gr/koinonia/pyrkagia-sto-kefalovryso-stin-ipeiro-kaiei-konta-se-oikismo/ ; https://www.newsit.gr/ellada/fotia-stin-kefalonia-ixise-to-112-sikothikan-kai-enaeria-mesa-pyrkagies-kai-se-aitoloakarnania-ipeiro-kai-limno/4734547/ ; https://www.epirus-tv-news.gr/2026/07/blog-post_437.html ; https://pelop.gr/i-mia-fotia-meta-tin-alli-pyrina-metopa-se-aitoloakarnania-ipeiro-kai-kefalonia-vinteo/ ; https://www.epirus-tv-news.gr/2026/07/blog-post_663.html ; https://epirusonline.gr/eidiseis/ipeiros/pyrkagia-sto-kefalovryso-tin-esvisan-katoikoi-prin-ftasei-i-pyrosvestiki/</t>
  </si>
  <si>
    <t>Καίει κοντά σε οικισμό· κάτοικοι συνδράμουν | Καίει κοντά σε οικισμό. Κατηγορία κινδύνου 3 για Π.Ε. Ιωαννίνων 22/7 (επιβεβαιωμένο Περιφέρεια Ηπείρου). | Φωτιά εντός οικισμού κατασβέστηκε από τον πρόεδρο κοινότητας και κατοίκους πριν φτάσει η Πυροσβεστική. Μικρής κλίμακας συμβάν. | Μικρής έκτασης. Κατασβέστηκε από κατοίκους και πρόεδρο κοινότητας πριν φτάσει η Πυροσβεστική. | Κατασβέστηκε από κατοίκους και τον πρόεδρο κοινότητας προτού φτάσει η Πυροσβεστική. Μικρής έκτασης, δεν επεκτάθηκε. Επίσημες πυροσβεστικές δυνάμεις δεν αντιμετώπισαν ενεργό πύρ. | Πολύ μικρής έκτασης πυρκαγιά εντός οικισμού. Εκδηλώθηκε το μεσημέρι της 22/7. Αντιμετωπίστηκε από τον πρόεδρο της κοινότητας και κατοίκους πριν φτάσει η Πυροσβεστική — χωρίς διάδοση σε δασική ή αγροτική έκταση. | Η πυρκαγιά εκδηλώθηκε εντός οικισμού. Κατασβέστηκε από τον πρόεδρο κοινότητας και κατοίκους πριν φτάσει η Πυροσβεστική. Ελάχιστη έκταση — δεν αναφέρεται καμένη επιφάνεια. | Η φωτιά κατασβέστηκε από τον πρόεδρο της κοινότητας και κατοίκους πριν φτάσει η Πυροσβεστική· μικρής έκτασης εντός οικισμού.</t>
  </si>
  <si>
    <t>Πορτιανός (Πέταλο Περιφερειακής)</t>
  </si>
  <si>
    <t>https://www.skai.gr/news/greece/fotia-sti-limno-epixeiroun-dynameis-tis-pyrosvestikis ; https://www.newsit.gr/ellada/fotia-stin-kefalonia-ixise-to-112-sikothikan-kai-enaeria-mesa-pyrkagies-kai-se-aitoloakarnania-ipeiro-kai-limno/4734547/ ; https://pelop.gr/i-mia-fotia-meta-tin-alli-pyrina-metopa-se-aitoloakarnania-ipeiro-kai-kefalonia-vinteo/</t>
  </si>
  <si>
    <t>Χωρίς ενεργό μέτωπο. Εθελοντές και υδροφόρες ΟΤΑ.</t>
  </si>
  <si>
    <t>Πυρκαγιά Αγχιάλου – ΠΑΘΕ</t>
  </si>
  <si>
    <t>https://www.tanea.gr/2026/07/22/greece/fotia-se-ektasi-me-ksera-xorta-stin-pathe-stin-perioxi-tis-agxialou ; https://www.ertnews.gr/roi-idiseon/thessaloniki-ypo-meriko-elegxo-tethike-pyrkagia-se-xorafi-stin-agxialo/ ; https://www.newsit.gr/ellada/fotia-konta-stin-pathe-stin-perioxi-tis-agxialou-epixeiroun-eksi-pyrosvestes-me-tria-oximata/4734722/</t>
  </si>
  <si>
    <t>Ξερά χόρτα κοντά στην ΠΑΘΕ, ρεύμα προς Αγχίαλο, Δήμος Δέλτα. Yutori (email 24/07) αναφέρει επίσης «Πυρκαγιά Εχεδώρου» ενεργή 23/07 (πιθανώς ίδιο ή παρακείμενο περιστατικό στον Δήμο Δέλτα). | Χωράφι με ξερά χόρτα, χωρίς απειλή κατοικημένων. Αρχική κινητοποίηση 6 πυρ./3 οχημάτων, ακολούθησε ενίσχυση στα 20 πυρ./4 οχήματα που είναι τελικά καταγεγραμμένη.</t>
  </si>
  <si>
    <t>Βοθύνοι</t>
  </si>
  <si>
    <t>εθελοντές και δημοτικές δυνάμεις Καλύμνου</t>
  </si>
  <si>
    <t>https://www.iefimerida.gr/ellada/ypo-elegho-fotia-kalymno-pyrosbestikes-dynameis ; https://www.skai.gr/news/greece/kalymnos-ypo-elegxo-to-metopo-tis-fotias ; https://www.skaikritis.gr/ypo-elegcho-to-metopo-tis-fotias-stin-kalymno/ ; https://kalymnos-news.gr/2026/07/pyrkagia-se-ekseliksi-sta-ypsomata-apenanti-apo-ton-agio-savva-maxia-me-tis-floges-dinoun-oi-pyrosvestes-kai-ethelontes/ ; https://www.emakedonia.gr/kalymnos-ypo-pliri-elegcho-i-pyrkagia-den-apeilithikan-dasikes-ektaseis-kai-katoikies-vinteo ; https://www.documentonews.gr/article/kalymnos-choris-energo-metopo-i-fotia-ischyres-dynameis-paramenoun-sto-simeio/ ; https://www.newsbomb.gr/ellada/story/1751572/fotia-stin-kalymno-maxi-me-tis-floges-dinoun-pyrosvestes-kai-ethelontes---agonia-gia-to-pefkodasos ; https://www.tanea.gr/2026/07/23/greece/kalymnos-xoris-energo-metopo-i-fotia/ ; https://www.topontiki.gr/2026/07/23/choris-energo-metopo-i-fotia-stin-kalimno/</t>
  </si>
  <si>
    <t>Στα υψώματα απέναντι από Άγιο Σάββα. Ελικόπτερο με 7μελές πλήρωμα κρίσιμο. Επιφυλακή για αναζωπυρώσεις. | Εκδηλώθηκε ~22:30 (21-07). Ελικόπτερο μετέφερε 7 πυροσβέστες στο νησί. Χωρίς ενεργό μέτωπο από νωρίς το πρωί 22-07. Δεν απειλήθηκαν δασικές εκτάσεις και κατοικίες. control_time αναφέρεται σε 22-07. | Δεν απειλήθηκαν δασικές εκτάσεις και κατοικίες. Υπό πλήρη έλεγχο 01:30. | Υπό πλήρη έλεγχο - δεν απειλήθηκαν δασικές εκτάσεις και κατοικίες (emakedonia). Χωρίς ενεργό μέτωπο (tanea/topontiki 23/7). Κρίσιμη η αεροπυρόσβεση με ελικόπτερο 7μελούς πληρώματος.</t>
  </si>
  <si>
    <t>Χόνδρος Βιάννου Ηρακλείου</t>
  </si>
  <si>
    <t>Βιάννου</t>
  </si>
  <si>
    <t>Ανάφλεξη ηλεκτροδοτικής στήλης ΔΕΗ</t>
  </si>
  <si>
    <t>https://www.newsbomb.gr/ellada/story/1751184/fotia-sto-xondro-viannou-nea-kinitopoiisi-tis-pyrosvestikis ; https://www.ekriti.gr/kriti/dyo-foties-se-exelixi-sto-irakleio-ishyri-kinitopoiisi-se-bianno-kai-borizia ; https://www.ekriti.gr/kriti/irakleio-dipli-kinitopoiisi-gia-pyrkagies-se-borizia-kai-hondro-biannoy-ypo-elegho-ta-metopa ; https://www.cretalive.gr/kriti/sto-podi-i-pyrosbestiki-gia-fotia-sta-tertsa-tis-biannoy ; https://www.zougla.gr/greece/fotia-sti-vianno-irakleiou-epicheirei-kai-ena-elikoptero/ ; https://www.skaikritis.gr/kinitopoiisi-tis-pyrosvestikis-gia-fotia-kai-sti-vianno/ ; https://www.lykavitos.gr/news/greece/pyrkagia-sti-vianno-irakleiou</t>
  </si>
  <si>
    <t>Αρχική ανακοίνωση — δεν αναφέρεται απειλή σε κατοικίες | Νέο περιστατικό — εντοπίστηκε από άρθρο ekriti.gr που κάλυπτε δύο ταυτόχρονες φωτιές στο Ηράκλειο (Βιάννος + Βορίζια). Ελάχιστες λεπτομέρειες διαθέσιμες. | Διακοπή ρεύματος στην περιοχή. Ο δήμαρχος Π. Μπαριτάκης ευχαρίστησε Πυροσβεστική για έγκαιρη επέμβαση. | Ανάφλεξη στύλου ΔΕΗ προκάλεσε διακοπή ηλεκτροδότησης στην περιοχή. Άμεση κατάσβεση. | Κατασβέστηκε άμεσα· η πυρκαγιά από βραχυκύκλωμα στύλου ΔΕΗ δεν επεκτάθηκε. Προκλήθηκε διακοπή ρεύματος στην περιοχή. | [ΝΕΑ ΕΓΓΡΑΦΗ - ΑΝΑΚΑΛΥΨΗ] Πυρκαγιά εκδηλώθηκε το μεσημέρι 21/7/2026 στην περιοχή Χόνδρου Δήμου Βιάννου. Βρισκόταν σε ύφεση. Δεν αναφέρθηκε κίνδυνος σε κατοικημένες περιοχές. Ταυτόχρονη εκδήλωση με την πυρκαγιά Βορίζια Ηρακλείου.</t>
  </si>
  <si>
    <t>14:51</t>
  </si>
  <si>
    <t>υπό διερεύνηση (κλιμάκιο ΔΑΕΕ Ηλείας επί τόπου)</t>
  </si>
  <si>
    <t>112 (ώρα ακριβής άγνωστη): παραμείνετε σε ετοιμότητα και ακολουθείτε οδηγίες αρχών | 112 (ετοιμότητα): Φωτιά στο Βαρθολομιό Ηλείας — παραμείνετε σε ετοιμότητα και ακολουθείτε τις οδηγίες των Αρχών | 14:09</t>
  </si>
  <si>
    <t>https://www.lifo.gr/now/greece/fotia-tora-stin-ileia-minyma-toy-112-stoys-katoikoys ; https://www.newsbomb.gr/ellada/story/1751195/ileia-ypo-meriko-elegxo-tethike-i-fotia-sto-vartholomio ; https://www.in.gr/2026/07/21/greece/fotia-sto-vartholomio-ileias-ixise-to-112-gia-etoimotita/ ; https://www.tanea.gr/2026/07/21/greece/fotia-tora-sto-vartholomio-ileias-ixise-to-112-gia-etoimotita/ ; https://www.ertnews.gr/perifereiakoi-stathmoi/pirgos/xoris-energo-metopo-i-fotia-sto-vartholomio-ileias/ ; https://www.star.gr/eidiseis/ellada/724510/fwtia-twra-sto-bartholomio-hleias-hxhse-to-112 ; https://www.documentonews.gr/article/fotia-tora-sto-vartholomio-ileias-112-gia-etoimotita/ ; https://www.zougla.gr/greece/fotia-sto-vartholomio-ileias-ichise-to-112/ ; https://www.news247.gr/ellada/pirkagia-sto-vartholomio-ileias-minima-gia-etoimotita-apo-to-112/ ; https://www.newsit.gr/ellada/xoris-energo-metopo-i-fotia-sto-vartholomio-ileias/4733645/ ; https://newpost.gr/eidiseis/ileia-pyrkagia-se-agrotodasiki-ektasi-sto-vartholomio-ichise-to-112-parameinete-se-etoimotita/ ; https://ilia.news/%CF%85%CF%80%CF%8C-%CE%AD%CE%BB%CE%B5%CE%B3%CF%87%CE%BF-%CE%B7-%CF%86%CF%89%CF%84%CE%B9%CE%AC-%CF%83%CF%84%CE%BF-%CE%B2%CE%B1%CF%81%CE%B8%CE%BF%CE%BB%CE%BF%CE%BC%CE%B9%CF%8C-%CE%BC%CE%B5/</t>
  </si>
  <si>
    <t>Εκκίνηση από καλαμιώνα κοντά σε αυτοσχέδια χωματερή· επεκτάθηκε σε αγροτοδασική έκταση | Χαμηλή βλάστηση· χωρίς ενεργό μέτωπο στο τέλος επιχείρησης</t>
  </si>
  <si>
    <t>Αδάμι Επιδαύρου, Αργολίδα</t>
  </si>
  <si>
    <t>Αργολίδος</t>
  </si>
  <si>
    <t>Επίδαυρος</t>
  </si>
  <si>
    <t>4 ομάδες πεζοπόρων 9ης ΕΜΟΔΕ</t>
  </si>
  <si>
    <t>μηχανήματα Δήμου Επιδαύρου</t>
  </si>
  <si>
    <t>υπό διερεύνηση (ανακριτικό κλιμάκιο επί τόπου)</t>
  </si>
  <si>
    <t>https://www.skai.gr/news/greece/fotia-se-agrotodasiki-ektasi-sto-adami-epidayrou-stin-argolida ; https://www.irafina.gr/fotia-stin-epidavro-sikothikan-tessera-enaeria-mesa/ ; https://www.lifo.gr/now/greece/fotia-tora-stin-epidayro-epiheiroyn-4-enaeria-mesa ; https://www.thetoc.gr/koinwnia/article/mainetai-i-fotia-stin-epidauro-enisxuthikan-oi-dunameis---epixeiroun-12-enaeria-mesa-eikones/ ; https://newpost.gr/eidiseis/epidayros-fotia-tora-sto-adami-sikothikan-4-enaeria-mesa/ ; https://www.news.gr/ellada/article/4182182/se-ifesi-i-fotia-sto-adami-argolidas.html ; https://www.epidavrosnews.com/2026/07/21/%CE%BC%CE%B5%CE%B3%CE%AC%CE%BB%CE%B7-%CF%86%CF%89%CF%84%CE%B9%CE%AC-%CF%83%CF%84%CE%BF-%CE%B1%CE%B4%CE%AC%CE%BC%CE%B9-%CE%B1%CF%81%CE%B3%CE%BF%CE%BB%CE%AF%CE%B4%CE%B1%CF%82/ ; https://www.newsit.gr/ellada/fotia-stin-epidayro-stin-perioxi-adami-enisxythikan-oi-dynameis-tis-pyrosvestikis-epixeiroun-12-enaeria-mesa/4733573/ ; https://www.lamiareport.gr/ellada/item/pyrkagia-stin-epidayro-stin-perioxi-adami-sikothikan-4-aeroskafi/ ; https://www.news247.gr/ellada/se-ifesi-i-fotia-sto-adami-epidavrou-stin-argolida/ ; https://www.ekathimerini.com/news/1310175/greece-expands-very-high-wildfire-alert-to-nine-more-regions/ ; https://www.anagnostis.org/2026/07/22/i-pyrkagia-ekapse-500-stremmata-sto-adami-epidavrou/ ; https://www.argolikeseidhseis.gr/2026/07/blog-post_119.html ; https://www.lykavitos.gr/news/greece/fotia-se-agrotodasiki-ektasi-sto-adami-stin-argolida</t>
  </si>
  <si>
    <t>Εκκίνηση από ελαιώνα, επεκτάθηκε σε δάσος σε δύσβατη τοποθεσία μακριά από κατοικίες· 38 δασικές πυρκαγιές στην Ελλάδα την προηγούμενη 24ωρία | Αγροτοδασική έκταση (ελαιόδεντρα → δάσος)· «σε ύφεση» στις 22/7· ισχυροί άνεμοι επιδείνωσαν την κατάσταση· 22/7 κίνδυνος Αργολίδας ανήλθε σε 5 (ΣΥΝΑΓΕΡΜΟΥ) | Αγροτοδασική έκταση· 4 εναέρια αρχικά ενισχύθηκαν σε 12 συνολικά· ανεξέλεγκτη αρχικά λόγω ισχυρών ανέμων | Κατά την ενισχυμένη φάση 12 εναέρια μέσα συνολικά: 4 αεροσκάφη + 8 ελικόπτερα (αντιστροφή αρχικής καταγραφής). 1 τραυματίας με αναπνευστικά ενοχλήματα μεταφέρθηκε στο ΚΥ Λυγουριού. | Σε ύφεση το βράδυ 21/7. Εξαπλώθηκε από ελαιώνες σε δύσβατη δασική έκταση μακριά από οικισμούς. | ~500 στρέμματα αγροτοδασικής έκτασης κάηκαν (≈50 ha) χωρίς απειλή κατοικιών. Σε ύφεση με κίνδυνο αναζωπύρωσης· ισχυρές δυνάμεις παρέμειναν. Διαδικασία αποζημίωσης αγροτών σε εξέλιξη. | Σε ύφεση σύμφωνα με news247.gr. 4 πεζοπόρα τμήματα 9ης ΕΜΟΔΕ. Βάσει news247/newsit επιχείρησαν 12 εναέρια μέσα συνολικά (8 αεροσκάφη + 4 ελικόπτερα) — πιθανή διαφορά με αρχικές αναφορές helicopters=8. Ώρα κατάσβεσης δεν εντοπίστηκε.</t>
  </si>
  <si>
    <t>Βορίζια Ηρακλείου Κρήτης</t>
  </si>
  <si>
    <t>Φαιστού (Βορίζια)</t>
  </si>
  <si>
    <t>2 (3η ΕΜΟΔΕ)</t>
  </si>
  <si>
    <t>υπό διερεύνηση (ανακριτικό κλιμάκιο ΔΑΕΕ Ηρακλείου επί τόπου)</t>
  </si>
  <si>
    <t>112 (ετοιμότητα): Δασική πυρκαγιά στην περιοχή Βορίζια Περιφερειακής Ενότητας Ηρακλείου — παραμείνετε σε ετοιμότητα και ακολουθείτε τις οδηγίες των Αρχών | 112 14:50: ειδοποίηση ετοιμότητας κατοίκων Βοριζίων — παρακολούθηση οδηγιών αρχών</t>
  </si>
  <si>
    <t>https://www.newsit.gr/ellada/fotia-sta-vorizia-minyma-112-stous-katoikous/4733677/ ; https://www.huffingtonpost.gr/kinonia/kriti-se-exelixi-megali-fotia-sta-vorizia-minyma-112-ischyres-dynameis-kai-elikoptero-sti-machi/ ; https://www.skaikritis.gr/pyrkagia-sta-vorizia-minyma-apo-to-112-sikothikan-enaeria/ ; https://www.newsbomb.gr/ellada/story/1751152/fotia-tora-sta-vorizia-minyma-apo-to-112 ; https://www.in.gr/2026/07/21/greece/irakleio-megali-fotia-sta-vorizia-ixise-to-112/ ; https://www.lykavitos.gr/news/greece/fotia-sta-vorizia ; https://www.alphatv.gr/koinonia/pirkagia-se-agrotodasiki-ektasi-stin-perioxi-vorizia-sto-irakleio-kritis-ixise-to-112/ ; https://www.ekriti.gr/kriti/dyo-foties-se-exelixi-sto-irakleio-ishyri-kinitopoiisi-se-bianno-kai-borizia ; https://www.skaikritis.gr/kalyteri-i-eikona-apo-tin-pyrkagia-sta-vorizia-den-apeileitai-to-chorio/ ; https://thepressproject.gr/ypo-elegcho-i-fotia-sta-vorizia-irakleiou/ ; https://www.ekriti.gr/kriti/irakleio-dipli-kinitopoiisi-gia-pyrkagies-se-borizia-kai-hondro-biannoy-ypo-elegho-ta-metopa ; https://www.ertnews.gr/perifereiakoi-stathmoi/iraklio/pyrkagia-sta-vorizia-irakleiou-ixise-to-112/ ; https://www.skaikritis.gr/kalyteri-i-eikona-apo-tin-pyrkagia-sta-vorizia/ ; https://www.ekriti.gr/kriti/irakleio-fotia-sta-borizia-minyma-toy-112-kai-megali-kinitopoiisi-tis-pyrosbestikis</t>
  </si>
  <si>
    <t>Φωτιά σε φαράγγι κοντά σε κατοικημένη περιοχή· δεν απειλούνται κατοικίες άμεσα | Αγροτοδασική έκταση εντός/πλησίον οικισμού Βοριζίων. Δεν κινδύνευσαν κατοικίες (Αντ/χος Ηρακλείου Συριγωνάκης). Κατάσταση: βελτιωμένη χωρίς ενεργό μέτωπο μετά τις επιχειρήσεις. | Βελτιωμένη εικόνα έως εσπέρας 21/7· ο οικισμός δεν απειλήθηκε. | Υπό έλεγχο/χωρίς ενεργό μέτωπο στις ~17:40 της 21/7 (The Press Project). Εκδηλώθηκε σε δύσβατη χαράδρα. Ταυτόχρονη κινητοποίηση και για φωτιά σε Χόνδρο Βιάννου.</t>
  </si>
  <si>
    <t>Βορίζια Βιάννου</t>
  </si>
  <si>
    <t>https://www.ekriti.gr/kriti/dyo-foties-se-exelixi-sto-irakleio-ishyri-kinitopoiisi-se-bianno-kai-borizia ; https://www.ekriti.gr/kriti/irakleio-dipli-kinitopoiisi-gia-pyrkagies-se-borizia-kai-hondro-biannoy-ypo-elegho-ta-metopa</t>
  </si>
  <si>
    <t>ΝΕΟΣ: Ξεχωριστό μέτωπο ταυτόχρονα με Χόνδρο Βιάννου — διπλή κινητοποίηση Πυροσβεστικής στη Βιάννου Ηρακλείου την 21/7/2026. | ΝΕΟΣ ΕΝΤΟΠΙΣΜΟΣ: Δεύτερη ταυτόχρονη πυρκαγιά Ηρακλείου στις 21/7, παράλληλα με τον Χόνδρο Βιάννου. Αμφότερα τα μέτωπα (Βορίζια + Χόνδρος) τέθηκαν υπό έλεγχο. Λεπτομέρειες δυνάμεων και έκτασης αναζητούνται.</t>
  </si>
  <si>
    <t>Τήνος (δρόμος προς Πόρτο)</t>
  </si>
  <si>
    <t>Τήνου</t>
  </si>
  <si>
    <t>https://www.documentonews.gr/article/fotia-tora-stin-tino-kaiei-xera-chorta/ ; https://www.newsit.gr/ellada/fotia-stin-tino-kaiei-ksera-xorta-ston-dromo-pros-porto/4733857/ ; https://www.newsbomb.gr/ellada/story/1751221/fotia-stin-tino</t>
  </si>
  <si>
    <t>Μικρή φωτιά σε ξερά χόρτα παρά τον δρόμο για Πόρτο· δεν αναφέρεται 112 ούτε εκκένωση</t>
  </si>
  <si>
    <t>2026-07-22</t>
  </si>
  <si>
    <t>23:30</t>
  </si>
  <si>
    <t>Νεοχώρι Νοτίου Πηλίου</t>
  </si>
  <si>
    <t>Νοτίου Πηλίου</t>
  </si>
  <si>
    <t>3 ομάδες πεζοπόρων τμημάτων 10ης ΕΜΟΔΕ</t>
  </si>
  <si>
    <t>Υδροφόρες και μηχανολογικός εξοπλισμός Δήμου Νοτίου Πηλίου</t>
  </si>
  <si>
    <t>τοπική εθελοντική ομάδα πυρασφάλειας με drone</t>
  </si>
  <si>
    <t>ανθρώπινη εγκληματική αμέλεια (δηλώσεις δημάρχου, υπό επίσημη διερεύνηση)</t>
  </si>
  <si>
    <t>https://www.topontiki.gr/2026/07/20/sinagermos-ston-volo-pirkagia-se-dasiki-ektasi-konta-sto-neochori-notiou-piliou/ ; https://www.in.gr/2026/07/20/greece/fotia-sto-notio-pilio-kaiei-se-dasiki-ektasi-konta-sto-neoxori/ ; https://www.ertnews.gr/eidiseis/ellada/neoxori-piliou-oriothetithike-i-fotia-se-dasiki-ektasi-meta-ti-megali-kinitopoiisi-tis-pyrosvestikis/ ; https://www.naftemporiki.gr/society/2140348/pyrkagia-se-dasiki-ektasi-sto-notio-pilio/ ; https://www.ertnews.gr/perifereiakoi-stathmoi/volos/anaxaitistike-i-fotia-sto-neoxori-piliou-isxyres-pyrosvestikes-dynameis-sto-simeio/ ; https://www.capital.gr/epikairotita/4005939/fotia-se-dasiki-ektasi-sto-neoxori-piliou-isxures-purosbestikes-dunameis-sto-simeio/ ; https://www.newsbomb.gr/ellada/story/1751018/fotia-se-dasiki-ektasi-sto-notio-pilio-kaiei-konta-sto-neoxori ; https://www.taxydromos.gr/magnesia/pilio/1345254/synagermos-stin-pyrosvetiki-pyrkagia-se-exelixi-se-dasiki-ektasi-sto-neochori-notioy-pilioy/ ; https://www.aa.com.tr/en/europe/wildfires-break-out-across-several-regions-of-greece-amid-scorching-heat/4004108 ; https://www.enikos.gr/society/pilio-fotia-se-dasiki-ektasi-sto-neochori-epicheiroun-ischyres-pyrosvestikes-dynameis/2616990/ ; https://www.cnn.gr/ellada/story/544603/synagermos-gia-fotia-sto-neoxori-piliou-amesi-kinitopoiisi-tis-pyrosvestikis</t>
  </si>
  <si>
    <t>Πυροσβεστική ενημερώθηκε ~22:30. Καμένη έκταση δεν αναφέρθηκε στις πηγές. | Νυχτερινή πυρκαγιά. Εναέρια μέσα πιθανώς δεν χρησιμοποιήθηκαν (νύχτα). | Δασική έκταση· πηγή (in.gr) μη προσβάσιμη κατά τη συλλογή δεδομένων | Ισχυροί άνεμοι εμφανίστηκαν ~00:50 μετά κατάσβεση· δρόμος προς Μηλιές | Περιορισμένες πληροφορίες — οριοθετήθηκε | Δρόμος προς Μηλιές. Ισχυροί άνεμοι μετά τα μεσάνυχτα. Ελαφρά οχήματα κατάφεραν να πλησιάσουν. | Δασική έκταση, δρόμος προς Μηλιές. Εθελοντική ομάδα με drone εντόπισε την εστία πρώτη. Ισχυροί άνεμοι μετά 00:50 αλλά η φωτιά ήδη οριοθετημένη. Δήμαρχος Μίτζικος: «εγκληματική αμέλεια». | Δασική έκταση, κοντά στον οικισμό Νεοχωρίου. Drone θερμικής/οπτικής κάμερας υποστήριξε ΚΕΟΧ κατά την επιχείρηση.</t>
  </si>
  <si>
    <t>Εχέδωρος Δήμου Δέλτα</t>
  </si>
  <si>
    <t>υδροφόρες Δήμου Δέλτα</t>
  </si>
  <si>
    <t>Υπό διερεύνηση (Ανακριτικό Κλιμάκιο Εμπρησμών Θεσσαλονίκης)</t>
  </si>
  <si>
    <t>https://www.naftemporiki.gr/society/2140239/fotia-tora-ston-echedoro-thessalonikis/ ; https://www.newsbomb.gr/ellada/story/1750958/fotia-sti-dimotiki-enotita-exedorou-tou-dimou-delta-thessalonikis ; https://www.skai.gr/news/greece/thessaloniki-synagermos-stin-pyrosvestiki-gia-fotia-konta-sti-sindo ; https://www.in.gr/2026/07/20/greece/fotia-se-xamili-vlastisi-ston-exedoro-thessalonikis-sikothikan-elikoptera/ ; https://www.ertnews.gr/ert3/pyrkagia-se-xamili-vlastisi-ston-exedoro-thessalonikis-sikothikan-elikoptera/ ; https://www.aa.com.tr/en/europe/wildfires-break-out-across-several-regions-of-greece-amid-scorching-heat/4004108 ; https://www.airmedandrescue.com/latest/news/greece-dispatches-aircraft-battle-wildfires</t>
  </si>
  <si>
    <t>Χαμηλή βλάστηση κοντά στη Σίνδο. ΕΣΚΕΔΙΚ drone. Κλιμάκιο εμπρησμού Θεσσαλονίκης. | Χαμηλή βλάστηση κοντά στη Σίνδο· Ανακριτικό Κλιμάκιο Θεσσαλονίκης στο σημείο | Χαμηλή βλάστηση· drone ΕΣΚΕΔΙΚ με θερμική-οπτική κάμερα | Χαμηλή βλάστηση. Χωρίς ενεργό μέτωπο σύμφωνα με τελευταίες πηγές. | Αναφορά ενεργής εστίας 20/7 κοντά στη Θεσσαλονίκη από AA. Χωρίς πρόσθετες λεπτομέρειες. | Χαμηλή βλάστηση. Drone θερμικής/οπτικής κάμερας υποστήριξε ΚΕΟΧ. Υδροφόρες Δήμου Δέλτα στο σημείο. | Upsert: ξεκίνησε 20/7. Αναφορά ως ακόμη ενεργή στις 23/7 από Yutori Scout (email 24/7). Πυρκαγιά σε χαμηλή βλάστηση Δ.Ε. Εχεδώρου, Δήμος Δέλτα. | Μετά το πέρας επιχειρήσεων δεν υπήρχε πλέον ενεργό μέτωπο. Συμμετείχαν 2 ομάδες πεζοπόρων 2ης ΕΜΟΔΕ, δημοτικές βυτιοφόρες Δέλτα και drone με οπτικές/θερμικές κάμερες. Αιτία υπό διερεύνηση από Ανακριτικό Κλιμάκιο Εμπρησμών Θεσσαλονίκης.</t>
  </si>
  <si>
    <t>Εχέδωρος, Δήμος Δέλτα Θεσσαλονίκης</t>
  </si>
  <si>
    <t>Δέλτα (κοντά στη Σίνδο)</t>
  </si>
  <si>
    <t>Υδροφόρες Δήμου Δέλτα, drone με οπτικές και θερμικές κάμερες</t>
  </si>
  <si>
    <t>υπό διερεύνηση (Ανακριτικό Κλιμάκιο Εμπρησμών Θεσσαλονίκης)</t>
  </si>
  <si>
    <t>https://www.ertnews.gr/ert3/pyrkagia-se-xamili-vlastisi-ston-exedoro-thessalonikis-sikothikan-elikoptera/ ; https://www.in.gr/2026/07/20/greece/fotia-se-xamili-vlastisi-ston-exedoro-thessalonikis-sikothikan-elikoptera/ ; https://www.newsbomb.gr/ellada/story/1750958/fotia-sti-dimotiki-enotita-exedorou-tou-dimou-delta-thessalonikis ; https://www.aa.com.tr/en/europe/wildfires-break-out-across-several-regions-of-greece-amid-scorching-heat/4004108 ; https://www.athensvoice.gr/epikairotita/ellada/976299/sunagermos-gia-fotia-sti-sindo-epiheiroun-elikoptera/ ; https://www.zougla.gr/greece/fotia-sti-thessaloniki/ ; https://www.cnn.gr/ellada/story/544573/thessaloniki-xoris-energo-metopo-i-fotia-se-xamili-vlastisi-ston-dimo-delta ; https://www.karfitsa.gr/ellada/thessaloniki/oriothetithike-i-pyrkagia-ston-dimo-delta/ ; https://www.dnews.gr/eidhseis/ellada/600826/oriothetithike-i-fotia-sto-palaioxori-fthiotidas-xoris-energo-metopo-ston-dimo-delta ; https://www.newsit.gr/ellada/fotia-stin-perioxi-tou-dimou-delta-thessalonikis-megali-kinitopoiisi-tis-pyrosvestikis/4733044/ ; https://thepressproject.gr/fotia-se-chamili-vlastisi-ston-dimo-delta-thessalonikis-ischyri-kinitopoiisi-tis-pyrosvestikis/ ; https://www.news247.gr/uncategorized/thessaloniki-fotia-se-xamili-vlastisi-konta-sti-sindo/</t>
  </si>
  <si>
    <t>Χαμηλή βλάστηση· σχεδόν χωρίς ενεργό μέτωπο εντός ~1 ώρας· κατηγορία 3 επιβεβαιωμένη από πηγές | Διακοπή κυκλοφορίας τρένων Σίνδος–Θεσσαλονίκη κατά τη διάρκεια της κατάσβεσης. Κλιμάκιο αντιμετώπισης εγκλημάτων εμπρησμού Θεσσαλονίκης μεταβαίνει στο σημείο. | Φωτιά σε χαμηλή βλάστηση. Χωρίς ενεργό μέτωπο εντός ~1 ώρας από εκδήλωση (18:00). Ανακριτικό Κλιμάκιο Εγκλημάτων Εμπρησμού Θεσσαλονίκης μεταβαίνει για διερεύνηση αιτίας (δεν προσδιορίστηκε). Drone με οπτικές/θερμικές κάμερες σε εποπτεία. Περιοχή υψηλού κινδύνου κατηγορία 3.</t>
  </si>
  <si>
    <t>Μακρυχώρι (Δ.Ε. Χρυσούπολης)</t>
  </si>
  <si>
    <t>Νέστου</t>
  </si>
  <si>
    <t>2 ομάδες πεζοπόρων τμημάτων 21ης και 7ης ΕΜΟΔΕ</t>
  </si>
  <si>
    <t>https://www.newsit.gr/ellada/fotia-sto-makryxori-kavalas-sikothikan-enaeria-mesa/4733127/ ; https://www.skaikritis.gr/pyrkagia-se-dasiki-ektasi-sto-makrychori-kavalas-sikothikan-kai-enaeria-mesa/ ; https://thepressproject.gr/fotia-se-dysvati-dasiki-ektasi-sti-chrysoupoli/ ; https://www.in.gr/2026/07/20/greece/fotia-se-dasiki-dysvati-perioxi-sti-xrysoupoli/ ; https://www.cnn.gr/ellada/story/544582/pyrkagia-se-dasiki-ektasi-sto-makryxori-kavalas-sikothikan-enaeria-mesa ; https://newpost.gr/eidiseis/chrysoypoli-kavalas-fotia-se-dysvati-dasiki-periochi-epicheiroyn-dyo-enaeria-mesa/ ; https://www.aa.com.tr/en/europe/wildfires-break-out-across-several-regions-of-greece-amid-scorching-heat/4004108 ; https://www.newsbomb.gr/ellada/story/1750976/kavala-fotia-se-dasiki-ektasi-sto-makryxori ; https://www.skai.gr/news/greece/pyrkagia-se-dasiki-ektasi-sto-makryxori-kavalas</t>
  </si>
  <si>
    <t>Δύσβατη δασική έκταση — σημαντική δυσκολία πρόσβασης οχημάτων. Ανακριτικό κλιμάκιο Καβάλας για αίτια. | Ιδιαίτερα δύσβατο σημείο — δυσχέρεια πρόσβασης οχημάτων. Ανακριτικό κλιμάκιο. | Δύσβατη δασική έκταση· Ανακριτικό Κλιμάκιο Εμπρησμών Καβάλας επί τόπου | Δασική έκταση σε δύσβατο σημείο. Πυροσβεστική ενημερώθηκε ~18:00. | Δασική έκταση, πολύ δύσκολη πρόσβαση — σημαντικό πρόβλημα προσπέλασης οχημάτων. Δημοτική ενότητα Χρυσούπολης, Νέστος.</t>
  </si>
  <si>
    <t>Μακρυχώρι Καβάλας</t>
  </si>
  <si>
    <t>Δήμος Νέστου</t>
  </si>
  <si>
    <t>2 ομάδες πεζοπόρων 21ης και 7ης ΕΜΟΔΕ</t>
  </si>
  <si>
    <t>υπό διερεύνηση (ΔΑΕΕ Καβάλας)</t>
  </si>
  <si>
    <t>https://www.skai.gr/news/greece/pyrkagia-se-dasiki-ektasi-sto-makryxori-kavalas ; https://www.newsit.gr/ellada/fotia-sto-makryxori-kavalas-sikothikan-enaeria-mesa/4733127/ ; https://www.in.gr/2026/07/20/greece/fotia-se-dasiki-dysvati-perioxi-sti-xrysoupoli/ ; https://www.reader.gr/ellada/fotia-se-dysbato-simeio-sto-makryhori-kabalas-sikothikan-enaeria-mesa/654755 ; https://www.npress.gr/greece/fotia-sto-makrychori-kavalas-ischyres-pyrosvestikes-dynameis-kai-dyo-enaeria-sti-machi/</t>
  </si>
  <si>
    <t>Δασική πυρκαγιά σε δύσβατη περιοχή — δυσχεραίνει την πρόσβαση επίγειων οχημάτων. Εναέρια μέσα στο σημείο. | Πολύ δύσβατο σημείο — δυσχεραίνει πρόσβαση οχημάτων. Επιχείρησαν ελικόπτερο και αεροσκάφος. ΔΑΕΕ Καβάλας για αιτία.</t>
  </si>
  <si>
    <t>Μακρυχώρι Νέστου</t>
  </si>
  <si>
    <t>Νέστος</t>
  </si>
  <si>
    <t>2 ομάδες πεζοπόρων (21η &amp; 7η ΕΜΟΔΕ)</t>
  </si>
  <si>
    <t>https://www.newsit.gr/ellada/fotia-sto-makryxori-kavalas-sikothikan-enaeria-mesa/4733127/ ; https://www.cnn.gr/ellada/story/544582/pyrkagia-se-dasiki-ektasi-sto-makryxori-kavalas-sikothikan-enaeria-mesa ; https://thepressproject.gr/fotia-se-dysvati-dasiki-ektasi-sti-chrysoupoli/ ; https://www.aa.com.tr/en/europe/wildfires-break-out-across-several-regions-of-greece-amid-scorching-heat/4004108</t>
  </si>
  <si>
    <t>Δύσβατη δασική τοποθεσία που δυσχέραινε προσέγγιση οχημάτων· Ανακριτικό Κλιμάκιο Καβάλας στο σημείο | Δύσβατη δασική έκταση· επίγειες δυνάμεις πολύ λίγες λόγω δυσπρόσιτου εδάφους | Αναφορά ενεργής εστίας 20/7 από Anadolu Agency. Χωρίς πρόσθετες λεπτομέρειες στις διαθέσιμες πηγές.</t>
  </si>
  <si>
    <t>Πέτρα</t>
  </si>
  <si>
    <t>Λάρισας</t>
  </si>
  <si>
    <t>Κιλελέρ</t>
  </si>
  <si>
    <t>https://www.cnn.gr/ellada/story/544583/ypo-meriko-elegxo-i-fotia-stin-petra-kileler-larisas ; https://www.lamiareport.gr/topika/topikanea/item/pyrkagia-sto-kileler-stin-larisa-sikothikan-2-elikopter/ ; https://www.skai.gr/news/greece/fotia-stin-perioxi-petra-larisas ; https://www.aa.com.tr/en/europe/wildfires-break-out-across-several-regions-of-greece-amid-scorching-heat/4004108</t>
  </si>
  <si>
    <t>Χαμηλή βλάστηση· ισχυροί άνεμοι δυσχεραίνουν επιχείρηση</t>
  </si>
  <si>
    <t>Πέτρα Κιλελέρ</t>
  </si>
  <si>
    <t>Δήμος Κιλελέρ</t>
  </si>
  <si>
    <t>https://www.skai.gr/news/greece/fotia-stin-perioxi-petra-larisas ; https://www.aa.com.tr/en/europe/wildfires-break-out-across-several-regions-of-greece-amid-scorching-heat/4004108 ; https://www.cnn.gr/ellada/story/544583/ypo-meriko-elegxo-i-fotia-stin-petra-kileler-larisas ; https://www.lamiareport.gr/topika/topikanea/item/pyrkagia-sto-kileler-stin-larisa-sikothikan-2-elikopter/</t>
  </si>
  <si>
    <t>Χαμηλή βλάστηση, Δήμος Κιλελέρ Λάρισας. Ενημέρωση ΚΕΟΧ ~17:30. | Το CNN.gr αναφέρει «υπό μερικό έλεγχο». Αρχικά καταγράφηκαν 20 πυροσβέστες/6 οχήματα· επικαιροποιείται σε 23/7 σύμφωνα με Πυροσβεστική (10η ΕΜΟΔΕ). Πυρκαγιά χαμηλής βλάστησης.</t>
  </si>
  <si>
    <t>Πέτρα Λάρισας</t>
  </si>
  <si>
    <t>Υδροφόρες Δήμου Κιλελέρ</t>
  </si>
  <si>
    <t>https://www.aa.com.tr/en/europe/wildfires-break-out-across-several-regions-of-greece-amid-scorching-heat/4004108 ; https://www.skai.gr/news/greece/fotia-stin-perioxi-petra-larisas ; https://www.cnn.gr/ellada/story/544563/fotia-stin-petra-kileler-larisas-sikothikan-elikoptera ; https://www.lamiareport.gr/topika/topikanea/item/pyrkagia-sto-kileler-stin-larisa-sikothikan-2-elikopter/ ; https://www.skaipatras.gr/2026/07/20/ypo-meriko-elegcho-i-fotia-stin-petra-kileler-larisas/</t>
  </si>
  <si>
    <t>Αναφορά μόνο από AA/Yutori· ελλιπή στοιχεία | Αναφέρεται μόνο στο email Yutori/AA — χωρίς πρόσθετες λεπτομέρειες από ελληνικά ΜΜΕ | Δασική πυρκαγιά. Υπό μερικό έλεγχο στην τελευταία ενημέρωση. Ανακριτικό Κλιμάκιο Λάρισας στο σημείο. | Αναφορά ενεργής εστίας 20/7 (Λάρισα, Θεσσαλία) από AA. Χωρίς πρόσθετες λεπτομέρειες.</t>
  </si>
  <si>
    <t>Παλαιοχώρι Φθιώτιδας</t>
  </si>
  <si>
    <t>Λαμιεών</t>
  </si>
  <si>
    <t>υδροφόρες Δήμου Λαμιεών</t>
  </si>
  <si>
    <t>https://www.naftemporiki.gr/society/2140135/fotia-tora-sto-palaiochori-fthiotidas/ ; https://www.skai.gr/news/greece/fotia-sto-palaioxori-fthiotidas-epixeiroun-eksi-enaeria ; https://www.newsit.gr/ellada/fotia-sto-palaioxori-fthiotidas-sikothikan-6-enaeria-mesa/4732916/ ; https://trikalaenimerosi.gr/ellada/%CF%86%CF%89%CF%84%CE%B9%CE%AC-%CF%83%CF%84%CE%BF-%CF%80%CE%B1%CE%BB%CE%B1%CE%B9%CE%BF%CF%87%CF%8E%CF%81%CE%B9-%CF%86%CE%B8%CE%B9%CF%8E%CF%84%CE%B9%CE%B4%CE%B1%CF%82-%CF%83%CE%B7%CE%BA%CF%8E%CE%B8/ ; https://www.cnn.gr/ellada/story/544579/oriothetithike-i-fotia-pou-ksespase-se-xamili-vlastisi-sto-palaioxori-fthiotidas ; https://www.dnews.gr/eidhseis/ellada/600826/oriothetithike-i-fotia-sto-palaioxori-fthiotidas-xoris-energo-metopo-ston-dimo-delta ; https://www.reporter.gr/eidhseis/681231-pyrkagia-se-xamili-vlastisi-sto-palaioxori-fthiotidas-isxyres-dynameis-pyrosvesis-sto-simeio ; https://www.news247.gr/ellada/fotia-sto-palaioxori-fthiotidas-epixeiroun-6-enaeria-mesa/ ; https://www.ertnews.gr/eidiseis/ellada/pyrkagia-sto-palaioxori-fthiotidas-sti-maxi-kai-enaeria-mesa/ ; https://www.aa.com.tr/en/europe/wildfires-break-out-across-several-regions-of-greece-amid-scorching-heat/4004108 ; https://www.tovima.gr/2026/07/20/society/fotia-sto-palaioxori-fthiotidas-epixeiroun-eksi-enaeria ; https://www.thetoc.gr/koinwnia/article/fotia-sto-palaioxori-fthiotidas---epixeiroun-5-aeroskafi-kai-1-elikoptero-binteo/</t>
  </si>
  <si>
    <t>6 εναέρια συνολικά (5+1). Κλιμάκιο εμπρησμού Φθιώτιδας. | Ανακριτικό Κλιμάκιο Εμπρησμών Φθιώτιδας επί τόπου | Χαμηλή βλάστηση με δασική έκταση πλησίον μετώπου. Κατηγορία κινδύνου 3 επιβεβαιωμένη. 6 εναέρια μέσα συνολικά. | Αναφορά ενεργής εστίας 20/7 (Φθιώτιδα, Κεντρική Ελλάδα) από AA. Χωρίς πρόσθετες λεπτομέρειες. | Χαμηλή βλάστηση κοντά σε δασική έκταση. Αγροτικές εκτάσεις. Αρχικά αναφέρθηκαν 6 εναέρια (5 αεροσκ. + 1 ελικ.).</t>
  </si>
  <si>
    <t>υπό διερεύνηση (Ομάδα Εμπρησμών Φθιώτιδας)</t>
  </si>
  <si>
    <t>https://www.cnn.gr/ellada/story/544579/oriothetithike-i-fotia-pou-ksespase-se-xamili-vlastisi-sto-palaioxori-fthiotidas ; https://www.news247.gr/ellada/fotia-sto-palaioxori-fthiotidas-epixeiroun-6-enaeria-mesa/ ; https://www.tovima.gr/2026/07/20/society/fotia-sto-palaioxori-fthiotidas-epixeiroun-eksi-enaeria ; https://www.aa.com.tr/en/europe/wildfires-break-out-across-several-regions-of-greece-amid-scorching-heat/4004108</t>
  </si>
  <si>
    <t>Χαμηλή βλάστηση· Ανακριτικό Κλιμάκιο Φθιώτιδας στο σημείο | Αναφέρεται μόνο στο email Yutori/AA — χωρίς πρόσθετες λεπτομέρειες από ελληνικά ΜΜΕ</t>
  </si>
  <si>
    <t>Σχιστό Περάματος</t>
  </si>
  <si>
    <t>Περάματος</t>
  </si>
  <si>
    <t>υδροφόρες Δήμου Περάματος</t>
  </si>
  <si>
    <t>υπό διερεύνηση (ΚΛΑΕ Πειραιά)</t>
  </si>
  <si>
    <t>https://www.ertnews.gr/eidiseis/ellada/esvise-i-fotia-sti-leoforo-sxistou-sto-perama/ ; https://www.tanea.gr/2026/07/20/greece/fotia-tora-se-xamili-vlastisi-stin-perioxi-xorafa-sto-sxisto-peramatos/ ; https://www.eleftherostypos.gr/ellada/fotia-tora-sto-perama-attikis-oi-protes-plirofories ; https://todaypress.gr/2026/07/20/fotia-sto-schisto-sikothikan-4-enaeria/ ; https://www.athensvoice.gr/epikairotita/ellada/976231/perama-attikis-fotia-tora-sto-shisto-sikothikan-4-enaeria-mesa/ ; https://www.zougla.gr/greece/fotia-sto-schisto-kykloforiakes-rythmiseis-stin-periochi/ ; https://www.in.gr/2026/07/20/greece/fotia-sto-sxisto-sikothikan-tessera-enaeria-mesa/ ; https://www.aa.com.tr/en/europe/wildfires-break-out-across-several-regions-of-greece-amid-scorching-heat/4004108 ; https://www.documentonews.gr/article/fotia-tora-sto-perama-stin-periochi-tou-schistou/ ; https://www.thetoc.gr/koinwnia/article/fotia-tora-sto-sxisto---sikothikan-4-enaeria/ ; https://www.firefightingreece.gr/2026/07/20/pyrkagia-se-chamili-vlastisi-sto-schisto-peramatos/ ; https://newpost.gr/eidiseis/pyrkagia-se-chamili-vlastisi-sto-pranes-tis-leoforoy-schistoy-sto-perama/</t>
  </si>
  <si>
    <t>Χαμηλή βλάστηση πρανές λεωφ. Σχιστού, περιοχή Χωράφα. Κατασβέστηκε εντός ~20 λεπτών. | Χαμηλή βλάστηση θέση Χωράφα, κοντά σε νεκροταφείο· δεν απειλούνταν κατοικίες | Χαμηλή βλάστηση· κυκλοφοριακές ρυθμίσεις στην περιοχή από ΕΛ.ΑΣ. | Χαμηλή βλάστηση πλαγιά λεωφόρου Σχιστού, κοντά σε νεκροταφείο. 4 εναέρια συνολικά. Έσβησε. | Φωτιά σε χαμηλή βλάστηση, περιοχή Χωράφα, κοντά στο νεκροταφείο. Κυκλοφοριακές ρυθμίσεις στην περιοχή.</t>
  </si>
  <si>
    <t>Άγιος Κύριλλος Γόρτυνας</t>
  </si>
  <si>
    <t>Φωτιά σε ΙΧΕ αυτοκίνητο που επεκτάθηκε σε χορτολιβαδική έκταση</t>
  </si>
  <si>
    <t>https://www.naftemporiki.gr/society/2140061/fotia-tora-stin-periochi-agios-kyrillos-sto-irakleio-kritis/ ; https://www.tanea.gr/2026/07/20/greece/irakleio-fotia-ston-agio-kyrillo-epixeirei-kai-ena-elikoptero/ ; https://www.newsbomb.gr/ellada/story/1750908/pyrkagia-ston-agio-kyrillo-irakleiou---epixeiroyn-isxyres-dynameis-kai-elikoptero ; https://www.skai.gr/news/greece/fotia-ston-agio-kyrillo-irakleiou ; https://www.antenna.gr/Society/article/4/1002112/irakleio-fotia-se-aytokinito-ston-agio-kyrillo-epektathike-se-xamili-blastisi-stin-perioxi ; https://www.thetoc.gr/koinwnia/article/kriti-pos-i-fotia-se-autokinito-prokalese-purino-efialti-ston-dimo-gortunas-binteo/</t>
  </si>
  <si>
    <t>Νότιο Ηράκλειο. Ξεκίνησε από όχημα σε φλόγες, επεκτάθηκε σε ξερόχορτα.</t>
  </si>
  <si>
    <t>11:20</t>
  </si>
  <si>
    <t>Κυριάκι Βοιωτίας</t>
  </si>
  <si>
    <t>Δήμος Δίστομου-Αράχωβας-Αντίκυρας</t>
  </si>
  <si>
    <t>Υδροφόρες Δήμου Διστόμου Βοιωτίας</t>
  </si>
  <si>
    <t>υπό διερεύνηση (Διεύθυνση Αντιμετώπισης Εγκλημάτων Εμπρησμού Φθιώτιδας)</t>
  </si>
  <si>
    <t>https://www.naftemporiki.gr/society/2139925/voiotia-fotia-tora-se-dasiki-ektasi-sto-kyriaki-sikothikan-tria-elikoptera/ ; https://www.enikos.gr/society/voiotia-pyrkagia-se-dasiki-ektasi-sto-kyriaki/2616655/ ; https://www.inewsgr.com/351/pyrkagia-sto-kyriaki-voiotias-sikothikan-enaeria-mesa.htm ; https://www.in.gr/2026/07/20/greece/fotia-se-dasiki-ektasi-sto-kyriaki-voiotias-epixeiroun-tria-elikoptera/ ; https://www.tanea.gr/2026/07/20/greece/voiotia-pyrkagia-se-dasiki-ektasi-sto-kyriaki-epixeiroun-epigeies-dynameis-kai-tria-elikoptera/ ; https://www.topontiki.gr/2026/07/20/fotia-se-dasiki-ektasi-sto-kiriaki-viotias/ ; https://www.iefimerida.gr/ellada/fotia-se-dasiki-ektasi-sto-kyriaki-boiotias ; https://www.news.gr/ellada/article/4180614/choris-energo-metopo-i-pirkagia-se-dasiki-ektasi-sto-kiriaki-viotias.html ; https://voicenews.gr/pyrkagia-se-dasiki-ektasi-stin-periochi-kyriaki-voiotias/ ; https://e-sterea.gr/pyrkagia-sto-kyriaki-voiotias/ ; https://www.skai.gr/news/greece/voiotia-pyrkagia-se-dasiki-ektasi-sto-kyriaki ; https://www.aa.com.tr/en/europe/wildfires-break-out-across-several-regions-of-greece-amid-scorching-heat/4004108 ; https://www.news247.gr/ellada/fotia-sto-kiriaki-voiotias-sikothikan-3-elikoptera/ ; https://www.newsbomb.gr/ellada/story/1750857/fotia-tora-sto-kyriaki-voiotias-sikothikan-tria-elikoptera ; https://www.ilamia.gr/2026/07/20/synagermos-sti-voiotia-fotia-sto-kyriaki/ ; https://www.athensvoice.gr/epikairotita/ellada/976149/fotia-tora-sto-kuriaki-voiotias/ ; https://www.naftemporiki.gr/society/2139953/fotia-sto-kyriaki-voiotias-oriothetithike-i-pyrkagia-den-yparchei-energo-metopo/ ; https://www.capital.gr/epikairotita/4005704/purkagia-se-dasiki-ektasi-sto-kuriaki-boiotias/</t>
  </si>
  <si>
    <t>Χαμηλή βλάστηση που επεκτάθηκε σε δασική έκταση· Ανακριτικό Κλιμάκιο Φθιώτιδας στο σημείο | Ξεκίνησε σε χαμηλή βλάστηση, επεκτάθηκε σε δάσος. Οριοθετήθηκε εντός 20 λεπτών. Κλιμάκιο εμπρησμού Φθιώτιδας. | Ξεκίνησε σε χαμηλή βλάστηση, επεκτάθηκε σε δασική έκταση. Οριοθετήθηκε εντός 20 λεπτών. | Ξεκίνησε από χαμηλή βλάστηση, επεκτάθηκε σε δασική έκταση. Αντιμετωπίστηκε σε ~20 λεπτά. | Δασική έκταση· οριοθετήθηκε σε ~20 λεπτά· Ανακριτικό Κλιμάκιο Φθιώτιδας στο σημείο | Αρχικά χαμηλή βλάστηση, επεκτάθηκε σε δασική· χωρίς ενεργό μέτωπο εντός ~20 λεπτών· 3 ελικόπτερα | Ξεκίνησε σε χαμηλή βλάστηση, επεκτάθηκε σε δάσος· χωρίς ενεργό μέτωπο εντός ~20 λεπτών | Δασική έκταση. Οριοθετήθηκε εντός ~20 λεπτών. Ανακριτικό Κλιμάκιο Φθιώτιδας στο σημείο. | Τέθηκε γρήγορα χωρίς ενεργό μέτωπο. Αναφέρεται στο email Yutori 20-21/7. | Αναφορά αποκλειστικά από Yutori email 21/07 (AA/anadolu, «Βοιωτία»). Δεν επαληθεύτηκε με ανεξάρτητη web πηγή.</t>
  </si>
  <si>
    <t>Σχιστό Αττικής</t>
  </si>
  <si>
    <t>Βυτιοφόρα Δήμου Περάματος</t>
  </si>
  <si>
    <t>https://www.aa.com.tr/en/europe/wildfires-break-out-across-several-regions-of-greece-amid-scorching-heat/4004108 ; https://www.in.gr/2026/07/20/greece/fotia-sto-sxisto-sikothikan-tessera-enaeria-mesa/ ; https://www.zougla.gr/greece/fotia-sto-schisto-kykloforiakes-rythmiseis-stin-periochi/ ; https://www.ertnews.gr/eidiseis/ellada/esvise-i-fotia-sti-leoforo-sxistou-sto-perama/ ; https://www.firefightingreece.gr/2026/07/20/pyrkagia-se-chamili-vlastisi-sto-schisto-peramatos/ ; https://www.athensvoice.gr/epikairotita/ellada/976231/perama-attikis-fotia-tora-sto-shisto-sikothikan-4-enaeria-mesa/</t>
  </si>
  <si>
    <t>Δυτικά Αθήνας· αναφέρεται μόνο στο email Yutori/AA — χωρίς πρόσθετες λεπτομέρειες | Αναφορά αποκλειστικά από Yutori email 21/07 (AA/anadolu, «δυτικά της Αθήνας»). Δεν επαληθεύτηκε με ανεξάρτητη web πηγή. | 4 εναέρια μέσα συνολικά (2 αεροσκάφη + 2 ελικόπτερα). Αστυνομία για ρύθμιση κυκλοφορίας οδού Σχιστού–Περάματος.</t>
  </si>
  <si>
    <t>Πάτημα Κορωπίου</t>
  </si>
  <si>
    <t>2 πεζοπόρα τμήματα 1ης ΕΜΟΔΕ</t>
  </si>
  <si>
    <t>βυτιοφόρα Δήμου Κρωπίας</t>
  </si>
  <si>
    <t>υπό διερεύνηση (Ομάδα Εμπρησμών Αν. Αττικής)</t>
  </si>
  <si>
    <t>~17:45 ετοιμότητα ευρύτερη περιοχή Κορωπίου· εκκένωση Λαμπρικών (κατεύθυνση Λεωφ. Αγίας Μαρίνας)· εκκένωση Κίτσι (κατεύθυνση Βάρη) | ετοιμότητα 17:45 | 112 ~17:45: προειδοποίηση ετοιμότητας κατοίκων ευρύτερης περιοχής Πατήματος Κορωπίου | 112 ~17:45: ετοιμότητα κατοίκων ευρύτερης περιοχής Κορωπίου | 112: ετοιμότητα περιοχής Πάτημα Κορωπίου</t>
  </si>
  <si>
    <t>https://www.ertnews.gr/eidiseis/ypo-elegxo-i-fotia-sto-koropi-megali-kinitopoiisi-tis-pyrosvestikis/ ; https://www.protothema.gr/greece/article/1853266/fotia-tora-sto-patima-koropiou-112-gia-etoimotita/ ; https://www.newsit.gr/ellada/fotia-sto-koropi-ixise-to-112-gia-etoimotita-sikothikan-enaeria-mesa/4732149/ ; https://www.cnn.gr/ellada/story/544382/fotia-sto-patima-koropiou-minyma-apo-to-112-gia-etoimotita ; https://www.skai.gr/news/greece/fotia-sto-patima-koropiou-112-gia-etoimotita ; https://www.flash.gr/fotia-xespase-sto-patima-koropioy-ichise-to-112-gia-etoimotita-ton-katoikon-1072872 ; https://www.npress.gr/greece/kalyteri-i-eikona-tis-fotias-sto-patima-koropiou-se-exelixi-i-epicheirisi-katasvesis/ ; https://www.in.gr/2026/07/19/greece/fotia-se-xamili-vlastisi-sto-koropi-minyma-apo-to-112/ ; https://www.tanea.gr/2026/07/19/greece/fotia-sto-koropi-ixise-to-112-sikothikan-kai-enaeria-mesa/ ; https://www.lifo.gr/now/greece/nees-plirofories-gia-ti-fotia-sto-koropi-orothetithike-i-pyrkagia-sti-salamina ; https://www.naftemporiki.gr/society/2139744/fotia-tora-sto-koropi-megali-kinitopoiisi-tis-pyrosvestikis-kai-minyma-apo-to-112/ ; https://www.newsbomb.gr/ellada/story/1750707/fotia-sto-koropi-ixise-to-112-epixeiroyn-5-enaeria-mesa-megali-kinitopoiisi-tis-pyrosvestikis ; https://tvxs.gr/news/ellada/foties-megalo-metopo-sto-koropi-oriothetithikan-ta-metopa-se-eyvoia-kai-salamina/ ; https://www.newsbomb.gr/ellada/story/1750715/ypo-elegxo-i-fotia-sto-koropi-ksekinise-apo-kamena-skoupidia-se-katavlismo-roma ; https://athina984.gr/2026/07/19/pyrkagia-se-chamili-vlastisi-sto-koropi-enimerotiko-minyma-toy-112/ ; https://www.libre.gr/2026/07/19/koropi-apo-kamena-skoupidia-se-katavl/ ; https://www.lykavitos.gr/news/greece/fotia-sto-patima-koropiou-78-pyrosvestes-kai-pente-enaeria-sti-maxi-tis-katasvesis-ixise ; https://www.npress.gr/greece/fotia-sto-patima-koropiou-machi-me-tis-floges-konta-se-katoikies-minyma-112-gia-etoimotita/ ; https://radar.gr/article/ypo-elegcho-i-fotia-sto-patima-koropiou ; https://www.lamiareport.gr/ellada/item/pyrkagia-sto-koropi-pano-apo-45-pyrosvestes-gia-tin-katasvesi-tis/</t>
  </si>
  <si>
    <t>Φωτιά στον παράδρομο Λ. Βάρης-Κορωπίου, κοντά σε εστία σκαφών. Κλείσιμο εξόδου Αττικής Οδού Κορωπί-Βάρη-Αγία Μαρίνα. Εκκένωση Λαμπρικών και Κίτσι. | Χωρίς απειλή κατοικιών. Εναέρια και επίγεια μέσα επιχείρησαν. Κλιμάκιο εμπρησμών Αν. Αττικής στο σημείο. | Φωτιά σε χαμηλή βλάστηση κοντά σε διάσπαρτες κατοικίες. ΕΣΚΕΔΙΚ παρακολουθούσε με drone θερμικής &amp; οπτικής κάμερας. | Χαμηλή βλάστηση και σκουπίδια κοντά σε κατοικίες· κοντά στην Αττική Οδό | Χαμηλή βλάστηση κοντά στην Αττική Οδό. Δεν επεκτάθηκε σε οικισμό. | Υπό έλεγχο ~18:45 (πηγή: flash.gr). Διάρκεια ~1h15min. Συμμετείχαν και δεξαμενοφόρα Δήμου Κρωπίας.</t>
  </si>
  <si>
    <t>Ροδολίβοι Σερρών</t>
  </si>
  <si>
    <t>βυτιοφόρα Δήμου Αμφίπολης</t>
  </si>
  <si>
    <t>υπό διερεύνηση (Ομάδα Εμπρησμών Θεσσαλονίκης)</t>
  </si>
  <si>
    <t>https://www.naftemporiki.gr/society/2139724/serres-oriothetithike-i-fotia-stoys-rodolivoys/ ; https://www.naftemporiki.gr/society/2139703/fotia-tora-sto-rodolivos-serron/ ; https://www.cretalive.gr/ellada/pyrkagia-se-dasiki-ektasi-stoys-rodoliboys-serron/ ; https://www.voria.gr/article/serres-pyrkagia-se-dasiki-ektasi-sto-rodolibos ; https://www.ertnews.gr/roi-idiseon/pyrkagia-se-dasiki-ektasi-stous-rodolivous-serron/ ; https://www.cretalive.gr/ellada/pyrkagia-se-dasiki-ektasi-stoys-rodoliboys-serron ; https://www.rthess.gr/ellada/serres-pyrkagia-se-dasiki-ektasi-stous-rodolivous/ ; https://www.thestival.gr/eidiseis/astynomika/serres-oriothetithike-mesa-se-40-lepta-py/</t>
  </si>
  <si>
    <t>Δασική έκταση. Οριοθετήθηκε σε ~40 λεπτά. Δεν απειλήθηκαν κατοικίες. | Η πυρκαγιά εξελισσόταν μακριά από κατοικίες ή υποδομές. Αποστάλθηκε έρευνα από Αθήνα για τη διερεύνηση της αιτίας. | Δασική έκταση μακριά από κατοικίες· οριοθετήθηκε σε ~40 λεπτά· Ανακριτικό Κλιμάκιο Θεσσαλονίκης στο σημείο | Δασική έκταση μακριά από κατοικίες. Κλιμάκιο εμπρησμού Θεσσαλονίκης στο σημείο. | Σε εξέλιξη κατά τις 16:51 19/7. Ανακριτικό κλιμάκιο από Θεσσαλονίκη για διερεύνηση αιτίων. | Δασική έκταση μακριά από κατοικίες/υποδομές. Ανακριτικό κλιμάκιο Θεσσαλονίκης. | Εξελισσόταν μακριά από οικίες· Ανακριτικό Κλιμάκιο Θεσσαλονίκης στο σημείο</t>
  </si>
  <si>
    <t>12:55</t>
  </si>
  <si>
    <t>Μηλάκι Αλιβερίου Ευβοίας</t>
  </si>
  <si>
    <t>Κύμης-Αλιβερίου</t>
  </si>
  <si>
    <t>1 πεζοπόρο τμήμα 20ης ΕΜΟΔΕ</t>
  </si>
  <si>
    <t>δημοτικά βυτιοφόρα Κύμης-Αλιβερίου</t>
  </si>
  <si>
    <t>υπό διερεύνηση (Ανακριτικό Κλιμάκιο Εμπρησμού Ευβοίας)</t>
  </si>
  <si>
    <t>13:07 ετοιμότητα: «Δασική πυρκαγιά στην περιοχή Μηλάκι Αλιβερίου ΠΕ Ευβοίας — Παραμείνετε σε ετοιμότητα» | 112 13:07: ενημερωτικό μήνυμα ετοιμότητας ευρύτερης περιοχής Μηλακίου Αλιβερίου | 112: ετοιμότητα κατοίκων ευρύτερης περιοχής | 112 13:07: ετοιμότητα κατοίκων ευρύτερης περιοχής Μηλακίου | 112 13:19: ετοιμότητα κατοίκων περιοχής Μηλάκι Αλιβερίου | 112 13:07: ενημέρωση ευρύτερης περιοχής Μηλακίου Ευβοίας</t>
  </si>
  <si>
    <t>https://www.naftemporiki.gr/society/2139665/fotia-tora-stin-eyvoia-megali-kinitopoiisi-tis-pyrosvestikis-sto-milaki-aliverioy-minyma-apo-to-112/ ; https://www.naftemporiki.gr/society/2139716/eyvoia-elegchthike-i-pyrkagia-sto-milaki-aliverioy/ ; https://www.in.gr/2026/07/19/greece/fotia-se-dasiki-ektasi-sto-aliveri-eyvoias-sti-maxi-pente-enaeria/ ; https://www.skai.gr/news/greece/fotia-sto-milaki-eyvoias-ixise-to-112 ; https://en.haberler.com/forest-fires-continue-in-greece-2285194/ ; https://www.tanea.gr/2026/07/19/greece/pyrkagia-se-dasiki-ektasi-stin-perioxi-milaki-eyvoias-112-gia-etoimotita/ ; https://athina984.gr/2026/07/19/se-exelixi-pyrkagia-stin-periochi-milaki-eyvoias-enimerotiko-minyma-toy-112/ ; https://www.ilamia.gr/2026/07/19/fotia-sto-aliveri-eyvoias-ichise-to-112-stin-periochi-milaki-gia-etoimotita/ ; https://www.ertnews.gr/roi-idiseon/oriothetithike-i-pyrkagia-sto-milaki-eyvoias/ ; https://www.ekriti.gr/ellada/fotia-stin-eyboia-konta-se-spitia-kai-se-ergostasio-ihise-to-112 ; https://www.newsit.gr/ellada/fotia-sto-aliveri-eyvoias-ixise-to-112-stin-perioxi-milaki-gia-etoimotita/4731997/ ; https://newpost.gr/eidiseis/pyrkagia-sto-milaki-eyvoias-minyma-apo-to-112-gia-epifylaki/ ; https://www.sofokleousin.gr/epikairotita/ellada/se-ekseliksi-pyrkagia-stin-perioxi-milaki-eyvoias ; https://www.capital.gr/epikairotita/4005566/purkagia-stin-perioxi-milaki-euboias-minuma-112/ ; https://www.iefimerida.gr/ellada/eyboia-fotia-stin-periohi-milaki-ihise-112</t>
  </si>
  <si>
    <t>Δασική πυρκαγιά κοντά σε οικισμό. 5 εναέρια συνολικά (7 Α/Φ + 1 Ε/Π βάσει in.gr — πιθανώς σταδιακή ενίσχυση). Ελέγχθηκε. | Κοντά σε διάσπαρτες κατοικίες και εργοστάσιο. Πέντε εναέρια μέσα (3 αεροσκάφη + 2 ελικόπτερα). | Κοντά σε διάσπαρτες κατοικίες και εργοστάσιο· παρακολούθηση με drone θερμικής απεικόνισης· Ανακριτικό Κλιμάκιο Πειραιά | Drone ΕΣΚΕΔΙΚ θερμική+οπτική παρακολούθηση. Yutori ανέφερε «5 ελικόπτερα» σε ενδιάμεση φάση· ertnews στην οριοθέτηση: 3 αεροσκάφη + 2 ελικόπτερα. | Κοντά σε σπίτια και εργοστάσιο AGET. Ανακριτικό κλιμάκιο για διερεύνηση αιτίων. | Κοντά σε διάσπαρτες κατοικίες και εργοστάσιο. Ανακριτικό κλιμάκιο εμπρησμού. Κατάσταση κατά τη δημοσίευση: σε εξέλιξη. | Haberler.com (Yutori) ανέφερε 5 ελικόπτερα· ertnews.gr (επίσημη): 3 αεροσκάφη + 2 ελικόπτερα | Εθελοντές και δημοτικά βυτία Δήμου Κύμης-Αλιβερίου στο σημείο.</t>
  </si>
  <si>
    <t>Σελίνια Σαλαμίνας</t>
  </si>
  <si>
    <t>3 πεζοπόρα τμήματα 1ης ΕΜΟΔΕ</t>
  </si>
  <si>
    <t>βυτιοφόρα Δήμου Σαλαμίνας</t>
  </si>
  <si>
    <t>υπό διερεύνηση (απεστάλη ομάδα εμπρησμών Πειραιά)</t>
  </si>
  <si>
    <t>~12:19 ετοιμότητα Σελίνια Σαλαμίνας· αργότερα εκκένωση Πανοράμα Α &amp; Β «Απομακρυνθείτε προς παραλία Σεληνίων» | 112 12:19: προειδοποίηση ετοιμότητας κατοίκων ευρύτερης περιοχής Σελινίων· 112 12:32: εκκένωση Πανοράμα Α &amp; Β Σαλαμίνας προς παραλία Σελινίων | 112 ~12:19: ετοιμότητα κατοίκων· 112 (αργότερα): εκκένωση Πανόραμα Α &amp; Β προς παραλία Σελινίων | 112: ετοιμότητα κατοίκων Σελινίων· εκκένωση Πανοράματος Α &amp; Β προς παραλία | 112 ~12:30: ετοιμότητα κατοίκων· 112 12:32: εκκένωση Πανόραμα Α+Β προς παραλία Σελήνια | 112 12:19: ετοιμότητα Σελήνια Σαλαμίνας· 112 12:47: εκκένωση Πανόραμα Α &amp; Β Σαλαμίνας προς παραλία Σεληνίων | 2 μηνύματα 112 εντός 13 λεπτών — ετοιμότητα κατοίκων + εκκένωση οικισμού Σεληνίων | 112 ~12:30: 1ο σήμα προειδοποίησης ετοιμότητας κατοίκων Σεληνίων· 2ο σήμα (αργότερα): εκκένωση Πανόραμα Α' &amp; Β' Σεληνίων προς παραλία Σεληνίων</t>
  </si>
  <si>
    <t>https://www.ertnews.gr/eidiseis/ellada/fotia-se-dasiki-ektasi-sta-selinia-salaminas-minyma-112-gia-etoimotita-ton-katoikon/ ; https://athina984.gr/2026/07/19/fotia-se-dasiki-ektasi-sta-selinia-salaminas/ ; https://www.news247.gr/ellada/megali-fotia-sti-salamina-minima-tou-112/ ; https://www.naftemporiki.gr/society/2139649/fotia-tora-sti-salamina-minyma-toy-112/ ; https://www.newsit.gr/ellada/fotia-sti-salamina-stin-perioxi-selinia-minymata-tou-112-stous-katoikous-apomakryntheite-pros-paralia/4731966/ ; https://www.amna.gr/home/videos/1010027/Purkagia-se-dasiki-ektasi-sta-Selinia-Salaminas--Enimerotiko-minuma-tou-112 ; https://www.newsbomb.gr/ellada/story/1750679/oriothetithike-i-fotia-sta-selinia-salaminas ; https://www.vradini.gr/ellada/konta-se-spitia-i-fotia-sti-salamina-minyma-gia-ekkenosi-apo-to-112/1598068/ ; https://www.skai.gr/news/greece/fotia-sta-selinia-salaminas ; https://www.madata.gr/epikairotita/social/971228-salamina-megalh-fotia-sta-selinia-mhnymata-toy-112-gia-ekkenosh-oikismon.html ; https://www.newsbomb.gr/ellada/story/1750675/fotia-sta-selinia-salaminas-dyo-minymata-112-mesa-se-13-lepta-epixeiroyn-tria-enaeria ; https://www.karfitsa.gr/se-proto-plano/minyma-tou-112-gia-ekkenosi-tis-periochis-panorama-sti-salamina-logo-pyrkagias/ ; https://www.thetoc.gr/koinwnia/610218/megali-fotia-sti-salamina-kaiei-konta-se-spitia---epixeiroun-90-purosbestes-ixise-to-112 ; https://www.iefimerida.gr/ellada/megali-fotia-sti-salamina-90-pyrosbestes-kai-4-enaeria-stin-mahi-tis-katasbesis ; https://www.madata.gr/epikairotita/social/971228-salamina-megalh-fotia-sta-selinia-%E2%80%93-mhnymata-toy-112-gia-ekkenosh-oikismon.html ; https://www.newsit.gr/ellada/fotia-sti-salamina-stin-perioxi-selinia-minyma-tou-112-stous-katoikous-gia-etoimotita/4731966/amp/ ; https://www.zougla.gr/greece/pyrkagia-sti-salamina-minyma-112-gia-etoimotita/ ; https://newpost.gr/eidiseis/megali-fotia-sti-salamina-minyma-apo-to-112/ ; https://www.tovima.gr/2026/07/19/society/fotia-sta-selinia-salaminas-enaeria-mesa-kai-112/ ; https://www.newsbeast.gr/greece/arthro/13244698/fotia-sta-selinia-salaminas-sikothikan-tria-enaeria-mesa ; https://www.newsit.gr/ellada/fotia-sti-salamina-stin-perioxi-selinia-minyma-tou-112-stous-katoikous-gia-etoimotita/4731966/ ; https://athens-times.com/wildfire-in-selinia-salamis-emergency-alerts-urge-evacuation-to-beach/ ; https://www.athensvoice.gr/epikairotita/ellada/975984/neo-minuma-apo-to-112-gia-ti-fotia-sti-salamina-apomakruntheite-pros-paralia-selinion/ ; https://www.kalitheapress.gr/fotia-sti-salamina-stin-periochi-selinia-minymata-tou-112-stous-katoikous/ ; https://www.katohika.gr/ellada/pyrkagia-sti-salamina-minyma-112-gia-etoimotita/</t>
  </si>
  <si>
    <t>Μεγάλη δασική πυρκαγιά κοντά σε διάσπαρτες κατοικίες. Εκκενώθηκαν οικισμοί Πανοράμα Α &amp; Β. Παρακολούθηση με drone θερμικής κάμερας. | Ισχυροί δυτικοί άνεμοι έσπρωχναν τις φλόγες προς κατοικίες. Εκκενώθηκαν οικισμοί Πανοράμα Α &amp; Β. Οριοθετήθηκε ~14:00. | Δασική έκταση Σελινίων κοντά σε διάσπαρτες κατοικίες· Ανακριτικό Κλιμάκιο Εμπρησμού στο σημείο | Δασική έκταση κοντά σε διάσπαρτα σπίτια δυσπρόσιτης περιοχής. Μερικώς ελεγχόμενη κατά Yutori 15:51. | Πυρκαγιά σε δασική έκταση κοντά σε διάσπαρτες κατοικίες. Οριοθετήθηκε ~90 λεπτά μετά έναρξης. | Δασική έκταση κοντά στα πρώτα σπίτια. Ανακριτικό κλιμάκιο εμπρησμού. Drone ΕΛ.ΑΣ. για εντοπισμό. | Εκκενώθηκε ο οικισμός Σελήνια. Πηγή iefimerida.gr αναφέρει οριοθέτηση 'λίγο πριν τις 13:30' (vs control_time=14:00 στη βάση). Καμένη έκταση δεν εντοπίστηκε. | Δύσβατη περιοχή με πυκνή βλάστηση· drone αστυνομίας παρακολουθούσε σε πραγματικό χρόνο· Ανακριτικό Κλιμάκιο διερευνά αίτια</t>
  </si>
  <si>
    <t>Γοργοπόταμος Κόνιτσας</t>
  </si>
  <si>
    <t>1 ομάδα πεζοπόρων τμημάτων 5ης ΕΜΟΔΕ</t>
  </si>
  <si>
    <t>υπό διερεύνηση (ΔΑΕΕ Ιωαννίνων)</t>
  </si>
  <si>
    <t>https://www.in.gr/2026/07/18/greece/fotia-se-dasiki-ektasi-stin-konitsa/ ; https://www.naftemporiki.gr/society/2139527/pyrkagia-ston-gorgopotamo-konitsas/ ; https://epirusonline.gr/eidiseis/ipeiros/pyrkagia-stoys-drymades-kai-stin-konitsa/ ; https://www.epirus-tv-news.gr/2026/07/blog-post_702.html</t>
  </si>
  <si>
    <t>Τοπική Κοινότητα Γοργοπόταμου, Δήμος Κόνιτσας. Δύσκολη πρόσβαση εδάφους (δύσβατη περιοχή). Κλιμάκιο αντιμετώπισης εγκλημάτων εμπρησμού Ιωαννίνων εστάλη για διερεύνηση. Κατάσταση ανοιχτή 18/07. | Δασική έκταση δυσπρόσιτης περιοχής Γοργοπόταμου Κόνιτσας. Τελική κατάσταση αδιευκρίνιστη — τελευταία αναφορά 19:00 18/07. Δεν απειλούνταν κατοικίες. | Δασική έκταση τοπικής κοινότητας Γοργοποτάμου Κόνιτσας. ΚΕΠΠ ενημερώθηκε ~19:00. Μεγαλύτερη πυρκαγιά του είδους στη χώρα σύμφωνα με αρχές. | Αποστάλθηκε ανακριτική ομάδα εμπρησμών για τη διερεύνηση της αιτίας.</t>
  </si>
  <si>
    <t>2026-07-20</t>
  </si>
  <si>
    <t>Σάππες Ροδόπης</t>
  </si>
  <si>
    <t>Μαρωνείας-Σαπών</t>
  </si>
  <si>
    <t>1 ομάδα πεζοπόρων τμημάτων 7ης ΕΜΟΔΕ</t>
  </si>
  <si>
    <t>Υδροφόρες Δήμου Μαρωνείας-Σαπών</t>
  </si>
  <si>
    <t>https://thepressproject.gr/fotia-se-agrotodasiki-ektasi-stis-sappes-rodopis-ischyres-pyrosvestikes-dynameis-sto-metopo/ ; https://www.naftemporiki.gr/society/2139422/fotia-sti-rodopi-ischyres-dynameis-kai-enaeria-mesa-dinoyn-mesa-stis-sappes/ ; https://seleo.gr/eidiseis/astynomika/rodopi-pyrkagia-se-agrotodasiki-ekta/ ; https://www.enikos.gr/society/rodopi-fotia-se-agrotodasiki-ektasi-sti-dimotiki-koinotita-sapon/2615922/</t>
  </si>
  <si>
    <t>Αγροτοδασική έκταση Δ.Κ. Σαπών. Κλιμάκιο αντιμετώπισης εγκλημάτων εμπρησμού εστάλη για διερεύνηση. Δεν απειλήθηκαν κατοικίες ή περιουσίες. | Δημοτικά βυτία Δήμου Μαρωνείας-Σαπών στο σημείο. Δεν απειλήθηκαν κατοικίες.</t>
  </si>
  <si>
    <t>Σαπές (τ.κ. Σαπών)</t>
  </si>
  <si>
    <t>1 ΠΤ 7ης ΕΜΟΔΕ</t>
  </si>
  <si>
    <t>υδροφόρες Δ. Μαρωνείας-Σαπών</t>
  </si>
  <si>
    <t>Εθελοντές Σαμαρείτες ΠΤ Κομοτηνής ΕΕΣ</t>
  </si>
  <si>
    <t>https://www.komotini24.gr/%CE%BA%CE%B1%CF%84%CE%AC%CF%83%CE%B2%CE%B5%CF%83%CE%B7-%CF%80%CF%85%CF%81%CE%BA%CE%B1%CE%B3%CE%B9%CE%AC%CF%82-%CF%83%CF%84%CE%B7-%CF%81%CE%BF%CE%B4%CF%8C%CF%80%CE%B7/ ; https://www.in.gr/2026/07/18/greece/komotini-pyrkagia-se-agrotodasiki-ektasi-sti-dimotiki-koinotita-sapon/ ; https://www.naftemporiki.gr/society/2139422/fotia-sti-rodopi-ischyres-dynameis-kai-enaeria-mesa-dinoyn-mesa-stis-sappes/ ; https://rodopipress.gr/pyrkagia-agrotodasiki-sapes-rodopis-pyrosvestiki-2026/ ; https://www.ertnews.gr/eidiseis/pyrkagia-se-agrotodasiki-ektasi-sti-dimotiki-koinotita-sapon-rodopis/</t>
  </si>
  <si>
    <t>Αγροτοδασική έκταση Σαπών. Κατασβέστηκε με συνδυασμό επίγειων/εναέριων και εθελοντών Ερυθρού Σταυρού Κομοτηνής.</t>
  </si>
  <si>
    <t>2026-07-21</t>
  </si>
  <si>
    <t>Σαπές Κομοτηνής</t>
  </si>
  <si>
    <t>1 ομάδα πεζοπόρων 7ης ΕΜΟΔΕ</t>
  </si>
  <si>
    <t>δημοτικά βυτιοφόρα Μαρωνείας-Σαπών</t>
  </si>
  <si>
    <t>https://www.topontiki.gr/2026/07/18/komotini-pirkagia-se-agrotodasiki-ektasi-sti-dimotiki-kinotita-sapon/ ; https://www.tanea.gr/2026/07/18/greece/komotini-pyrkagia-se-agrotodasiki-ektasi-sti-dimotiki-koinotita-sapon/</t>
  </si>
  <si>
    <t>Αγροτοδασική έκταση. Υπό διερεύνηση η αιτία από τη Διεύθυνση Εγκληματολογικών Ερευνών Εμπρησμών Ροδόπης.</t>
  </si>
  <si>
    <t>Επισκοπή Κύμης (Κόνιστρα)</t>
  </si>
  <si>
    <t>1 ομάδα πεζοπόρων τμημάτων 20ης ΕΜΟΔΕ</t>
  </si>
  <si>
    <t>Υδροφόρες Δήμου Κύμης-Αλιβερίου, Πυρ. Σταθμός Κύμης, Υποδ/νση Αλιβερίου, ενισχύσεις Χαλκίδας</t>
  </si>
  <si>
    <t>υπό διερεύνηση (ΔΑΕΕ Ευβοίας)</t>
  </si>
  <si>
    <t>112 ~13:48 18/07: Προληπτική εκκένωση οικισμού Επισκοπής Εύβοιας προς Βρύση. | 112: εκκένωση οικισμού Επισκοπής Κύμης προς Βρύση — απομακρυνθείτε άμεσα | 112 ~13:48: προληπτική εκκένωση Επισκοπής προς Βρύση | ναι, 13:48 — εκκένωση κατοίκων Επισκοπής προς Βρύση</t>
  </si>
  <si>
    <t>https://www.protothema.gr/greece/article/1852903/megali-fotia-stin-euvoia-estali-112-gia-ekkenosi-tou-horiou-tis-episkopis/ ; https://www.tanea.gr/2026/07/18/greece/fotia-tora-stin-episkopi-eyvoias-ixise-to-112-gia-ekkenosi-pros-vrysi/ ; https://www.efsyn.gr/ellada/1430832/eyvoia-fotia-stin-episkopi-kymis-minyma-toy-112-gia-ekkenosi/ ; https://www.newsbeast.gr/greece/arthro/13243803/megali-fotia-stin-evvoia-estali-112-gia-ekkenosi-tou-choriou-tis-episkopis/ ; https://www.enikos.gr/society/evvoia-fotia-stin-episkopi-minyma-apo-to-112-gia-ekkenosi-tou-oikismou/2615898/ ; https://www.newsit.gr/ellada/fotia-stin-episkopi-kymis-stin-eyvoia-minyma-tou-112-apomakryntheite-pros-vrysi/4731465/ ; https://www.lamiareport.gr/topika/topikanea/item/megali-stin-eyvoia-estali-112-gia-ekkenosi-tou-xoriou-tis-episkopis/ ; https://www.huffingtonpost.gr/kinonia/evvoia-synagermos-gia-megali-fotia-estali-112-gia-ekkenosi-tou-choriou-tis-episkopis/ ; https://www.newsbeast.gr/greece/arthro/13243803/megali-fotia-stin-evvoia-estali-112-gia-ekkenosi-tou-choriou-tis-episkopis ; https://www.newsbomb.gr/ellada/story/1750555/eyvoia-xoris-energo-metopo-i-pyrkagia-se-agrotodasiki-ektasi-stin-episkopi ; https://www.skai.gr/news/greece/fotia-stin-eyvoia-minyma-apo-to-112-gia-ekkenosi-xoriou ; https://pelop.gr/synagermos-stin-evvoia-ekkenonetai-i-episkopi-oi-anemoi-sprochnoun-ti-fotia-pros-to-chorio/ ; https://www.tovima.gr/2026/07/18/society/eyvoia-megali-fotia-stin-kymi-kai-112-gia-ekkenosi ; https://www.news247.gr/ellada/fotia-stin-kimi-minima-112-gia-ekkenosi-tis-episkopis/ ; https://www.ertnews.gr/eidiseis/ellada/oriothetimeni-i-fotia-stin-episkopi-kymis-eyvoias-112-gia-proliptiki-apomakrynsi-isxyres-dynameis-sto-metopo/ ; https://www.cnn.gr/ellada/story/544265/pros-oriothetisi-i-fotia-stin-episkopi-evvoias-i-katastasi-einai-elegxomeni ; https://www.makedonikanea.gr/ellada/oriothetithike-i-fotia-stin-episkopi-kymis-eyboias ; https://www.cnn.gr/ellada/story/544279/xoris-energo-metopo-i-pyrkagia-se-agrotodasiki-ektasi-stin-episkopi-eyvoias ; https://www.enikos.gr/society/choris-energo-metopo-i-pyrkagia-stin-episkopi-evvoias/2615955/</t>
  </si>
  <si>
    <t>Ξηρή χαμηλή βλάστηση και ελαιόδεντρα κοντά στην Κόνιστρα. Ισχυροί άνεμοι. Εκκένωση χωριού Επισκοπής. Κατηγορία κινδύνου 3 (επιβεβαιωμένο από πηγή). Κατάσταση ανοιχτή κατά το κλείσιμο 18/07. | Μεγάλη πυρκαγιά, ισχυροί άνεμοι, φλόγες κοντά σε κατοικίες. Εκκένωση ήταν προληπτική. Τελικά χωρίς ενεργό μέτωπο. | Ελαιώνας και ξερόχορτα κοντά σε κατοικίες. Άρση 112 μετά τον μερικό έλεγχο. | Φωτιά μεταξύ κοινοτήτων Επισκοπής και Βρύσης· χαμηλή βλάστηση και ελαιόδεντρα. Ζημιές σε εξοχικές κατοικίες. | Καμένη έκταση &gt;50 στρέμματα (&gt;5 ha) κατά δημοσιεύματα· ακριβής αριθμός αδιευκρίνιστος</t>
  </si>
  <si>
    <t>Επισκοπή Κύμης Ευβοίας</t>
  </si>
  <si>
    <t>1 ομάδα πεζοπόρων 20ης ΕΜΟΔΕ</t>
  </si>
  <si>
    <t>112 13:48: εκκένωση Επισκοπής προς Βρύση — «Πυρκαγιά στην περιοχή Επισκοπής Εύβοιας. Απομακρυνθείτε προς Βρύση. Ακολουθήστε τις οδηγίες των αρχών.» | εκκένωση (απομακρυνθείτε προς Βρύση)</t>
  </si>
  <si>
    <t>https://www.tovima.gr/2026/07/18/society/eyvoia-megali-fotia-stin-kymi-kai-112-gia-ekkenosi ; https://www.ilamia.gr/2026/07/18/fotia-stin-eyvoia-minyma-apo-to-112-gia-ekkenosi-toy-choriou-tis-episkopis/ ; https://www.cnn.gr/ellada/story/544260/fotia-stin-eyvoia-minyma-apo-to-112-gia-ekkenosi-enos-oikismoy ; https://www.naftemporiki.gr/society/2139468/eyvoia-oriothetithike-i-megali-fotia-stin-episkopi-kymis-ischyres-dynameis-sto-simeio/ ; https://www.efsyn.gr/ellada/1430832/eyvoia-fotia-stin-episkopi-kymis-minyma-toy-112-gia-ekkenosi/ ; https://www.lamiareport.gr/topika/topikanea/item/megali-stin-eyvoia-estali-112-gia-ekkenosi-tou-xoriou-tis-episkopi/ ; https://www.lifo.gr/now/greece/fotia-tora-stin-eyboia-minyma-toy-112-gia-ekkenosi-tis-episkopis ; https://pelop.gr/synagermos-stin-evvoia-ekkenonetai-i-episkopi-oi-anemoi-sprochnoun-ti-fotia-pros-to-chorio/ ; https://www.enikos.gr/society/choris-energo-metopo-i-pyrkagia-stin-episkopi-evvoias/2615955/ ; https://newpost.gr/eidiseis/fotia-stin-kymi-oriothetithike-i-pyrkagia-stin-episkopi-minyma-apo-to-112-gia-proliptiki-ekkenosi/ ; https://www.newsbomb.gr/ellada/story/1750555/eyvoia-xoris-energo-metopo-i-pyrkagia-se-agrotodasiki-ektasi-stin-episkopi</t>
  </si>
  <si>
    <t>Ισχυροί άνεμοι έσπρωχναν τη φωτιά προς το χωριό. Δυνάμεις από Κύμη, Αλιβέρι και Χαλκίδα. Αποστάλθηκε ανακριτική ομάδα για τη διερεύνηση της αιτίας.</t>
  </si>
  <si>
    <t>14:55</t>
  </si>
  <si>
    <t>Πλοκαμιανά Κισσάμου Χανίων</t>
  </si>
  <si>
    <t>Κισσάμου</t>
  </si>
  <si>
    <t>2 ομάδες πεζοπόρων τμημάτων 19ης ΕΜΟΔΕ</t>
  </si>
  <si>
    <t>υπό διερεύνηση (ΔΑΕΕ Χανίων)</t>
  </si>
  <si>
    <t>112 12:49 18/07: Ετοιμότητα κατοίκων ευρύτερης περιοχής Αερινός Π.Ε. Χανίων λόγω πυρκαγιάς — παραμείνετε σε ετοιμότητα, ακολουθείτε οδηγίες Αρχών. | 112: παραμείνετε σε ετοιμότητα· δασική πυρκαγιά στην περιοχή Αερινός ΠΕ Χανίων, ακολουθείτε οδηγίες αρχών | 112 ~12:45: προειδοποίηση ετοιμότητας — ακολουθήστε τις οδηγίες των αρχών | ετοιμότητα (οικισμός Αερινού)</t>
  </si>
  <si>
    <t>https://www.ertnews.gr/eidiseis/synagermos-gia-megali-fotia-stin-kissamo-den-apeilountai-katoikimenes-perioxes-ixise-to-112/ ; https://www.tanea.gr/2026/07/18/greece/oriothetithike-i-megali-fotia-stin-kissamo-xanion/ ; https://www.newsit.gr/ellada/fotia-sta-xania-ypo-elegxo-to-metopo-stin-perioxi-aerinos-to-minyma-tou-112-gia-etoimotita/4731452/ ; https://www.in.gr/2026/07/18/greece/synagermos-gia-fotia-sta-xania-ixise-to-112/ ; https://www.tanea.gr/2026/07/18/greece/fotia-sta-xania-minyma-gia-etoimotita-apo-to-112/ ; https://flashnews.gr/post/1053311/chania-fotia-stin-kissamo-ischyres-dynameis-tis-pyrosvestikis-sto-simeio-sikothike-elikoptero-foto-vinteo/ ; https://www.newsbomb.gr/oles-oi-eidhseis/story/1750536/ypo-elegxo-i-pyrkagia-stin-kissamo-xanion-epixeirisan-45-pyrosvestes-kai-ena-elikoptero ; https://www.skaikritis.gr/oriothetithike-i-pyrkagia-stin-kissamo/ ; https://agonaskritis.gr/%CF%87%CE%B1%CE%BD%CE%B9%CE%AC-%CF%85%CF%80%CF%8C-%CE%AD%CE%BB%CE%B5%CE%B3%CF%87%CE%BF-%CE%B7-%CF%80%CF%85%CF%81%CE%BA%CE%B1%CE%B3%CE%B9%CE%AC-%CF%83%CF%84%CE%B1-%CF%80%CE%BB%CE%BF%CE%BA%CE%B1%CE%BC/ ; https://www.madata.gr/epikairotita/social/971196-megalh-fotia-sta-chania-mhnyma-apo-to-112-gia-to-pyrino-metopo-sta-plokamiana-kissamoy.html ; https://www.naftemporiki.gr/society/2139392/chania-pyrkagia-tora-ston-oikismo-plokamiana-sikothikan-dyo-elikoptera/ ; https://www.newsbeast.gr/greece/arthro/13243895/chania-se-yfesi-i-fotia-stin-kissamo-epicheirisan-dyo-elikoptera-deite-vinteo ; https://www.firefightingreece.gr/2026/07/18/pyrkagia-se-dasiki-ektasi-sta-plokamiana-kissamou-chanion/</t>
  </si>
  <si>
    <t>Κοινότητα Πλοκαμιανών, Δήμος Κισσάμου. Άνεμοι έως 7 Bf. Δεν απειλήθηκαν κατοικίες. Το 112 αφορούσε οικισμό Αερινός (εντός Χανίων ΠΕ). Ετήσιο φαινόμενο κατά αντιπεριφερειάρχη. Χανίων σε κατηγορία 3 (Ηράκλειο/Λασίθι/Ρέθυμνο σε 4). | Άνεμοι έως 7 Μπ. Χαμηλή βλάστηση, δεν απειλήθηκαν κατοικίες. Δυνάμεις παρέμειναν σε επιφυλακή για αναζωπυρώσεις. | Ισχυροί άνεμοι 7 Μποφόρ. Κάηκαν λιβάδια και αγροτικές εκτάσεις μεταξύ Αερίνου και Κεφαλίου Κισσάμου. | Δασική έκταση. Αεροπυρόσβεση συνεχείς ρίψεις νερού. | Άνεμοι Bf 7. Περιοχή υψηλής επαναληπτικότητας πυρκαγιών.</t>
  </si>
  <si>
    <t>Σητεία Λασιθίου – Ξερόκαμπος</t>
  </si>
  <si>
    <t>Εθελοντές Σητείας</t>
  </si>
  <si>
    <t>112: ετοιμότητα κατοίκων Ξερόκαμπου Σητείας | 112: ενημερωτικό μήνυμα ετοιμότητας για Ξερόκαμπο Σητείας — «Πυρκαγιά στην περιοχή Ξερόκαμπου Σητείας. Παραμείνετε σε ετοιμότητα και ακολουθείτε οδηγίες Αρχών» | 112: παραμείνετε σε ετοιμότητα, πυρκαγιά Ξερόκαμπος Σητείας Λασιθίου | 112: ετοιμότητα κατοίκων και επισκεπτών — ακολουθήστε τις οδηγίες των αρχών | ετοιμότητα (Ξερόκαμπος)</t>
  </si>
  <si>
    <t>https://www.greekmagazine.gr/fotia-sti-siteia-minyma-tou-112-ston-xerokabo-gia-etoimotita/ ; https://www.cretalive.gr/kriti/siteia-synagermos-gia-fotia-ston-xerokampo-minyma-apo-112 ; https://www.newsit.gr/ellada/fotia-sti-siteia-minyma-tou-112-ston-kserokampo-gia-etoimotita/4731267/ ; https://www.cnn.gr/ellada/story/544220/fotia-sti-siteia-tis-kritis-minyma-apo-to-112 ; https://www.newsbomb.gr/ellada/story/1750483/fotia-sti-siteia-ekdothike-112-megali-epixeirisi-tis-pyrosvestikis ; https://www.libre.gr/2026/07/18/fotia-sti-siteia-minyma-sto-112/ ; https://www.tanea.gr/2026/07/18/greece/fotia-sti-siteia-minyma-apo-to-112-gia-etoimotita/ ; https://www.lykavitos.gr/fotia-sti-siteia ; https://www.newsbomb.gr/ellada/story/1750493/fotia-ston-kserokampo-siteias-oriothetithike-to-metopo ; https://www.news247.gr/ellada/megali-fotia-sti-siteia-minima-apo-112/ ; https://www.skaikritis.gr/megali-fotia-sti-siteia-kinitopoiithikan-enaeria-mesa-ichise-to-112/ ; https://www.firefightingreece.gr/2026/07/18/pyrkagia-se-chamili-vlastisi-stin-periochi-xirokabos-siteias/ ; https://www.protothema.gr/greece/article/1852778/megali-fotia-sti-siteia-minuma-stous-katoikous-tou-xerokabou-apo-to-112/ ; https://www.real.gr/koinonia/arthro/pyrkagia-sti-siteia-lasitheiou-minyma-tou-112-884969/ ; https://www.ertnews.gr/eidiseis/ellada/fotia-sti-siteia-oriothetithike-to-metopo-paramenoun-isxyres-dynameis/ ; https://www.real.gr/koinonia/arthro/oriothetithike-i-fotia-ston-xerokabo-siteias-mikri-i-kameni-ektasi-885093/</t>
  </si>
  <si>
    <t>Πυρκαγιά μεταξύ Ζίρου και Ξερόκαμπου Σητείας. Εστία ~400μ από οικισμό, κινείται αντίθετα. Άνεμοι 4-5 Bf με ριπές 6 Bf. Λασίθι κατηγορία κινδύνου 4 επιβεβαιωμένη από χάρτη ΓΓΠΠ 18/07 και πηγές. | Δασική και χορτολιβαδική έκταση. Οικισμός ~400μ. από το μέτωπο, δεν κινδύνεψε (άνεμοι αντίθετης κατεύθυνσης, 4-5 Bf με ριπές 6 Bf). Πολύ υψηλός κίνδυνος κατ. 4 για Λασίθι 18/07. | Πρωινό περιστατικό. Δυνατοί ΒΑ άνεμοι, συνεχείς νέες εστίες. Μικρή θαμνώδης έκταση κάηκε. Κυβερνητικός κίνδυνος κατ. 4 για Λασίθι στις 18/07. | Χαμηλή βλάστηση Ξηρόκαμπου Σητείας, ΠΕ Λασιθίου. Δυνάμεις σε αποστολή κατάσβεσης κατά τη δημοσίευση. | Ισχυροί άνεμοι 6 Μποφόρ εμπόδισαν τις ρίψεις νερού από ελικόπτερο. Μικρή καμένη έκταση, αποτράπηκαν τα χειρότερα. | Μικρή καμένη έκταση (χαμηλή βλάστηση). Αποτράπηκαν τα χειρότερα λόγω ταχείας επέμβασης.</t>
  </si>
  <si>
    <t>Αερινός</t>
  </si>
  <si>
    <t>2 πεζοπόρα τμήματα 19ης ΕΜΟΔΕ</t>
  </si>
  <si>
    <t>112 ετοιμότητα: «Παραμείνετε σε ετοιμότητα και ακολουθείτε τις οδηγίες των αρχών»</t>
  </si>
  <si>
    <t>https://www.newsit.gr/ellada/fotia-sta-xania-ypo-elegxo-to-metopo-stin-perioxi-aerinos-to-minyma-tou-112-gia-etoimotita/4731452/ ; https://pelop.gr/synagermos-stin-kissamo-112-gia-ti-fotia-ston-aerino-dyo-elikoptera-sti-machi-me-7-bofor/ ; https://www.tanea.gr/2026/07/18/greece/fotia-sta-xania-minyma-gia-etoimotita-apo-to-112/ ; https://www.tanea.gr/2026/07/18/greece/oriothetithike-i-megali-fotia-stin-kissamo-xanion/</t>
  </si>
  <si>
    <t>Δασική πυρκαγιά περιοχής Αερινού ΠΕ Χανίων. Υπό έλεγχο εντός ωρών.</t>
  </si>
  <si>
    <t>Αστακός Αιτωλοακαρνανίας – Μπαμπίνη</t>
  </si>
  <si>
    <t>Δήμος Ξηρομέρου</t>
  </si>
  <si>
    <t>Υδροφόρες ΟΤΑ, μηχανήματα έργου</t>
  </si>
  <si>
    <t>https://pelop.gr/pyrkagia-ston-astako-ischyres-dynameis-stin-katasvesi/ ; https://www.tanea.gr/2026/07/17/greece/fotia-se-xamili-vlastisi-ekdilothike-sti-mpampini-astakou-aitoloakarnanias/ ; https://www.astakos-news.gr/2026/07/blog-post_18.html</t>
  </si>
  <si>
    <t>Χαμηλή βλάστηση, θέση Μπαμπίνη Αστακού. Κατάσταση σε εξέλιξη κατά τη δημοσίευση (19:11 EEST 17/07). | Πυρκαγιά στον κάμπο Μπαμπίνης (χαμηλή βλάστηση). Δυνάμεις παρέμειναν για προληπτικούς λόγους αναζωπύρωσης — δήλωση προέδρου Κοινότητας Δ. Μπένεκου (astakos-news.gr). Πυρκαγιά 6ης ΕΜΟΔΕ.</t>
  </si>
  <si>
    <t>Μπαμπίνη Αστακού</t>
  </si>
  <si>
    <t>2 ομάδες πεζοπόρων (6η ΕΜΟΔΕ)</t>
  </si>
  <si>
    <t>https://www.tanea.gr/2026/07/17/greece/fotia-se-xamili-vlastisi-ekdilothike-sti-mpampini-astakou-aitoloakarnanias/ ; https://pelop.gr/pyrkagia-ston-astako-ischyres-dynameis-stin-katasvesi/ ; https://www.koutipandoras.gr/article/aitoloakarnania-fotia-stin-babini-astakou/ ; https://www.enikos.gr/society/fotia-ston-astako-aitoloakarnanias-epicheiroun-kai-enaeria-mesa/2615430/ ; https://karvasaras.gr/fotia-sti-mpampini-xiromeroy-epicheiroyn-epigeia-kai-enaeria-mesa/ ; https://www.astakos-news.gr/2026/07/blog-post_18.html</t>
  </si>
  <si>
    <t>Χαμηλή βλάστηση. Ισχυρές δυνάμεις επιχείρησαν. | Χαμηλή βλάστηση, απόγευμα Παρασκευής 17/07. | Χαμηλή βλάστηση. Αιτία και τελική κατάσταση δεν επαληθεύτηκαν από μεταγενέστερες πηγές. | Πυρκαγιά στον κάμπο Μπαμπίνης (χαμηλή βλάστηση). Δυνάμεις παρέμειναν για προληπτικούς λόγους αναζωπύρωσης — δήλωση προέδρου Κοινότητας Δ. Μπένεκου.</t>
  </si>
  <si>
    <t>Μπαμπίνη, Δ. Ξηρομέρου (Αστακός)</t>
  </si>
  <si>
    <t>2 ΠΤ 6ης ΕΜΟΔΕ</t>
  </si>
  <si>
    <t>υδροφόρες και μηχανήματα ΟΤΑ</t>
  </si>
  <si>
    <t>https://www.emakedonia.gr/aitoloakarnania-fotia-se-chamili-vlastisi-ston-astako-sikothikan-3-enaeria-818567 ; https://www.newsit.gr/ellada/fotia-ston-astako-aitoloakarnanias-isxyres-dynameis-sto-simeio/4731075/ ; https://www.tanea.gr/2026/07/17/greece/fotia-se-xamili-vlastisi-ekdilothike-sti-mpampini-astakou-aitoloakarnanias/ ; https://www.flash.gr/aitoloakarnania-fotia-stin-mpampini-astakoy-1072658 ; https://www.enikos.gr/society/fotia-ston-astako-aitoloakarnanias-epicheiroun-kai-enaeria-mesa/2615430/ ; https://karvasaras.gr/fotia-sti-mpampini-xiromeroy-epicheiroyn-epigeia-kai-enaeria-mesa/ ; https://www.astakos-news.gr/2026/07/blog-post_18.html</t>
  </si>
  <si>
    <t>Χαμηλή βλάστηση, ενημέρωση στις 18:30. Άνεμοι 4 Μπ. Τελική κατάσταση αγνώστη — δεν εντοπίστηκε follow-up ανακοίνωση. | Χαμηλή βλάστηση. Αιτία και τελική κατάσταση δεν επαληθεύτηκαν. Πιθανό duplicate με 'Μπαμπίνη Αστακού'. | Πυρκαγιά στον κάμπο Μπαμπίνης (χαμηλή βλάστηση). Δυνάμεις παρέμειναν για προληπτικούς λόγους αναζωπύρωσης — δήλωση προέδρου Κοινότητας Δ. Μπένεκου.</t>
  </si>
  <si>
    <t>Κολιρέικες Παράγκες Πύργου</t>
  </si>
  <si>
    <t>1 ομάδα πεζοπόρων (18η ΕΜΟΔΕ)</t>
  </si>
  <si>
    <t>υδροφόρες και μηχανήματα Δήμου Πύργου</t>
  </si>
  <si>
    <t>υπό διερεύνηση (Ανακριτικό Κλιμάκιο Πυροσβεστικής)</t>
  </si>
  <si>
    <t>112 18:18: ενημερωτικό μήνυμα ετοιμότητας — «παραμείνετε σε ετοιμότητα και ακολουθείτε οδηγίες αρχών» — για ευρύτερη περιοχή Κολιρέικων Παραγκών | 112 ετοιμότητα ευρύτερη περιοχή Πύργου | 112 18:18: προειδοποίηση ετοιμότητας ευρύτερης περιοχής Κολιρέικων Παράγκων — οδηγίες αυτοπροστασίας | 112: προειδοποίηση ετοιμότητας κατοίκων</t>
  </si>
  <si>
    <t>https://www.in.gr/2026/07/17/greece/fotia-stis-kolireikes-paragkes-ston-pyrgo-minyma-apo-to-112/ ; https://www.news247.gr/ellada/fotia-ston-pirgo-ileias-ixise-to-112-gia-etoimotita/ ; https://www.tanea.gr/2026/07/17/greece/pyrgos-se-ekseliksi-pyrkagia-stin-perioxi-kolireikes-paragkes-minyma-apo-to-112-gia-etoimotita/ ; https://www.newsit.gr/ellada/fotia-ston-pyrgo-minyma-tou-112-gia-etoimotita/4731049/ ; https://www.zougla.gr/greece/pyrkagia-ston-pyrgo-ichise-to112-gia-etoimotita/ ; https://www.patrisnews.com/fotia-ston-pyrgo-ichise-to-112/ ; https://thepressproject.gr/fotia-ekdilothike-se-chamili-vlastisi-se-periochi-tou-pyrgou-ileias/ ; https://www.capital.gr/epikairotita/4005382/fotia-ston-purgo-minuma-tou-112-stous-katoikous-stis-kolireikes-paragkes-isxures-purosbestikes-dunameis-sto-metopo ; https://www.thetoc.gr/koinwnia/article/fotia-tora-ston-purgo-ileias-stin-perioxi-kolireikes-paragkes---minuma-tou-112/ ; https://www.lifo.gr/now/greece/fotia-tora-ston-pyrgo-energopoiithike-112 ; https://pelop.gr/pyrgo-ileias-choris-energo-metopo-i-fotia-foto/ ; https://lawandorder.gr/fotia-tora-ston-pyrgo-ileias-minyma-112-17-7/ ; https://www.patrisnews.com/oriothetithike-i-fotia-stis-kolireikes-paragkes-pyrgoy/</t>
  </si>
  <si>
    <t>Χαμηλή βλάστηση με διάσπαρτες κατοικίες κοντά στο σημείο. Άνεμοι 4 Bf. Πολύ υψηλός κίνδυνος (κατ. 4) Αττική + 7 περιοχές 17/07. | Αγροτοδασική χαμηλή βλάστηση, ευρύτερη περιοχή Πύργου. | Καύσιμη ύλη: ξερά χόρτα/καλάμια/χαμηλή βλάστηση. Αιτία υπό διερεύνηση από Ανακριτικό Κλιμάκιο Εμπρησμού Πύργου. | Φωτιά σε αγροτοδασική έκταση, άνεμοι 4 Μποφόρ, κοντά σε κατοικίες. Επίπεδο κινδύνου κατηγορία 3 για Ηλεία. | Ισχυροί άνεμοι δυσχέραναν κατάσβεση· διάσπαρτες κατοικίες κοντά· Ανακριτικό Κλιμάκιο στο σημείο | Χαμηλή βλάστηση. Δημοτικά βυτία και μηχανήματα Δήμου Πύργου. Νέο περιστατικό.</t>
  </si>
  <si>
    <t>19:36</t>
  </si>
  <si>
    <t>Πύργος Ηλείας – Κολιρέικες Παράγκες</t>
  </si>
  <si>
    <t>Δήμος Πύργου</t>
  </si>
  <si>
    <t>υδροφόρες και μηχανήματα έργου Δήμου Πύργου</t>
  </si>
  <si>
    <t>υπό διερεύνηση (Ανακριτικό Κλιμάκιο Εμπρησμών Πύργου)</t>
  </si>
  <si>
    <t>112 18:18: ετοιμότητα κατοίκων ευρύτερης περιοχής Κολιρέικων Παράγκων Πύργου | 112 18:18: παραμείνετε σε ετοιμότητα, αγροτοδασική πυρκαγιά Κολιρέικες Παράγκες Πύργου Ηλείας</t>
  </si>
  <si>
    <t>https://www.tanea.gr/2026/07/17/greece/pyrgos-se-ekseliksi-pyrkagia-stin-perioxi-kolireikes-paragkes-minyma-apo-to-112-gia-etoimotita/ ; https://www.news247.gr/ellada/fotia-ston-pirgo-ileias-ixise-to-112-gia-etoimotita/ ; https://www.protothema.gr/greece/article/1852630/fotia-tora-ston-purgo-ileias-minuma-tou-112-gia-etoimotita/ ; https://www.newsbomb.gr/ellada/story/1750405/fotia-ston-pyrgo-ixise-to-112-gia-etoimotita ; https://thepressproject.gr/fotia-ekdilothike-se-chamili-vlastisi-se-periochi-tou-pyrgou-ileias/ ; https://www.patrisnews.com/fotia-ston-pyrgo-ichise-to-112/ ; https://www.anagnostis.org/2026/07/17/pyrgos-fotia-se-agrotodasiki-ektasi/ ; https://www.emakedonia.gr/ileia-megali-kinitopoiisi-tis-pyrosvestikis-gia-fotia-ston-pyrgo-energopoiithike-to-112-818552 ; https://www.capital.gr/epikairotita/4005382/fotia-ston-purgo-minuma-tou-112-stous-katoikous-stis-kolireikes-paragkes-isxures-purosbestikes-dunameis-sto-metopo/ ; https://www.lifo.gr/now/greece/fotia-tora-ston-pyrgo-energopoiithike-112 ; https://www.newsbeast.gr/greece/arthro/13243012/synagermos-ston-pyrgo-ileias-me-fotia-konta-se-spitia-kai-minyma-apo-to-112 ; https://www.in.gr/2026/07/17/greece/fotia-stis-kolireikes-paragkes-ston-pyrgo-minyma-apo-to-112/ ; https://pelop.gr/pyrgo-ileias-choris-energo-metopo-i-fotia-foto/</t>
  </si>
  <si>
    <t>Χαμηλή βλάστηση, διάσπαρτες κατοικίες κοντά στο μέτωπο. Χωρίς ενεργό μέτωπο μετά κατάσβεση. | Αγροτοδασική έκταση με διάσπαρτες κατοικίες κοντά. Άνεμοι 4 Μπ. Υπό έλεγχο μετά από κινητοποίηση 55 πυροσβεστών. | Καύσιμη ύλη: ξερά χόρτα/καλάμια/χαμηλή βλάστηση. Αιτία υπό διερεύνηση. Πιθανό duplicate με 'Κολιρέικες Παράγκες Πύργου'.</t>
  </si>
  <si>
    <t>Ακόντιο Βοιωτίας</t>
  </si>
  <si>
    <t>https://www.newsbomb.gr/ellada/story/1750404/pyrkagia-sto-akontio-voiotias-sikothikan-enaeria-mesa ; https://www.thetoc.gr/koinwnia/article/fotia-tora-se-agrotodasiki-ektasi-sto-akontio-boiotias---sunagermos-stin-purosbestiki/ ; https://www.lykavitos.gr/news/greece/pyrkagia-sto-akontio-voiotias ; https://www.protothema.gr/greece/article/1852622/fotia-tora-sto-akodio-voiotias-sikothikan-duo-enaeria/ ; https://www.cnn.gr/ellada/story/544184/xoris-energo-metopo-i-fotia-se-agrotodasiki-ektasi-sto-akontio-voiotias ; https://www.tanea.gr/2026/07/17/greece/voiotia-fotia-tora-stin-perioxi-akontia-sikothikan-dyo-enaeria ; https://www.cnn.gr/ellada/story/544203/ypo-elegxo-oi-foties-se-politika-evvoias-kai-akontio-voiotias-35-pyrkagies-to-teleftaio-24oro ; https://www.newsit.gr/ellada/fotia-sto-akontio-stin-voiotia-sikothikan-dyo-enaeria-mesa/4731038/</t>
  </si>
  <si>
    <t>Αγροτοδασική έκταση μακριά από κατοικίες· Ανακριτικό Κλιμάκιο Εύβοιας στο σημείο | Αγροτοδασική έκταση. Δεν απειλήθηκαν κατοικίες/υποδομές. Νέο περιστατικό.</t>
  </si>
  <si>
    <t>Τάρσος Λεβάδειας</t>
  </si>
  <si>
    <t>Λεβάδειας</t>
  </si>
  <si>
    <t>υπό διερεύνηση (Ομάδα Εμπρησμών Εύβοιας)</t>
  </si>
  <si>
    <t>https://www.newsbomb.gr/ellada/story/1749514/oriothetithike-i-pyrkagia-se-agrotodasiki-ektasi-sti-voiotia ; https://www.newsbomb.gr/ellada/story/1749469/fotia-se-agrotodasiki-ektasi-sti-voiotia</t>
  </si>
  <si>
    <t>Δεύτερη πυρκαγιά στη Βοιωτία 17/7 (διαφορετική από Ακόντιο). Επιχείρησαν 2 ομάδες πεζοπόρου 4ης ΕΜΟΔΕ. Κλιμάκιο ΔΑΕΕ αρχικά από Εύβοια. | Δημοτικά βυτία στο σημείο. Δεν απειλήθηκαν κατοικίες/υποδομές.</t>
  </si>
  <si>
    <t>Εύβοια – Πολιτικά (Νεροτράβια)</t>
  </si>
  <si>
    <t>Δήμος Διρφύων Μεσσαπίων</t>
  </si>
  <si>
    <t>Υδροφόρες και μηχανήματα έργου Δήμου Διρφύων Μεσσαπίων</t>
  </si>
  <si>
    <t>https://www.newsit.gr/ellada/fotia-stin-eyvoia-stin-perioxi-politika-enaeria-mesa-sto-simeio/4730998/ ; https://www.lifo.gr/now/greece/fotia-tora-sta-politika-eyboias-horis-energo-metopo-i-pyrkagia ; https://www.news247.gr/ellada/fotia-tora-se-dasos-sta-politika-evvoias-sikothikan-5-enaeria/ ; https://www.lamiareport.gr/topika/topikanea/item/pyrkagia-stin-eyvoia-stin-perioxi-politika-enaeria-mesa-sto-simeio/ ; https://www.emakedonia.gr/pyrosvestiki-ypo-elegcho-oi-foties-se-eyvoia-kai-voiotia-35-agrotodasikes-pyrkagies-to-teleytaio-24oro-818584 ; https://www.cnn.gr/ellada/story/544169/xoris-energo-metopo-i-pyrkagia-sta-politika-evvoias ; https://www.huffingtonpost.gr/kinonia/fotia-sta-politika-tis-evvoias-sikothikan-5-enaeria-mesa/ ; https://www.pontosnews.gr/853713/ellada/fotia-sta-politika-stin-eyvoia-konta-se-spitia-oi-floges/ ; https://www.thetoc.gr/koinwnia/article/fotia-tora-sta-politika-euboias-kaiei-konta-se-katoikies---sikothikan-pente-enaeria-mesa/ ; https://www.capital.gr/epikairotita/4005351/purkagia-sta-politika-euboias/ ; https://www.tanea.gr/2026/07/17/greece/eyvoia-fotia-tora-se-dasos-sta-politika-sti-maxi-kai-5-enaeria/ ; https://www.efsyn.gr/ellada/1430349/fotia-sta-politika-eyvoias-sikothikan-enaeria-mesa/ ; https://www.documentonews.gr/article/fotia-tora-sta-politika-tis-evvoias-epicheiroun-enaeria-mesa/ ; https://www.zougla.gr/greece/politika-evvoias-pyrkagia-se-agrotodasiki-ektasi/amp/ ; https://www.cnn.gr/ellada/story/544162/synagermos-gia-fotia-sta-politika-evvoias-epixeiroyn-enaeria-mesa ; https://www.in.gr/2026/07/17/greece/fotia-sta-politika-eyvoias-antimetopistike-se-30-lepta/ ; https://www.cnn.gr/ellada/story/544203/ypo-elegxo-oi-foties-se-politika-evvoias-kai-akontio-voiotias-35-pyrkagies-to-teleftaio-24oro</t>
  </si>
  <si>
    <t>Χαμηλή βλάστηση/αγροτική γη (κυρίως ελαιώνες) μεταξύ Πολιτικών και Νεροτράβιας. Φλόγες περικύκλωσαν σπίτι με φιάλες υγραερίου. Χωρίς ενεργό μέτωπο εντός ~30 λεπτών από έναρξη. Ανακριτικό Κλιμάκιο Εμπρησμών Εύβοιας στο σημείο. | Αγροτοδασική έκταση, φλόγες κοντά σε κατοικίες. Χωρίς ενεργό μέτωπο εντός ~30 λεπτών. 5 εναέρια (4 αεροσκάφη + 1 ελικόπτερο). | Μεταξύ Πολιτικών και Νεροτριβιάς. Ξηρή χαμηλή βλάστηση και ελαιώνες. Μεσημεριανές ώρες 17/07. | Χαμηλή βλάστηση + ελαιόδεντρα, περιοχή Πολιτικά-Νεροτριβιά. Φλόγες κοντά σε κατοικίες. Αντιμετωπίστηκε σε ~30 λεπτά. | Δασική έκταση, κοντά σε διάσπαρτες κατοικίες. Κινητοποίηση 17:07 ΚΕΠΠ. | Αγροτοδασική έκταση κοντά σε κατοικίες, 4 Μποφόρ άνεμοι. | Αντιμετωπίστηκε σε ~30 λεπτά. Κοντά σε κατοικίες. Δημοτικά βυτία και μηχανήματα. Νέο περιστατικό. | Χωρίς ενεργό μέτωπο εντός ~30 λεπτών από έναρξη. Φλόγες κοντά σε οικίες, διάσπαρτες κατοικίες κοντά στο σημείο εκδήλωσης. Άνεμοι έως 4 Beaufort.</t>
  </si>
  <si>
    <t>21:14</t>
  </si>
  <si>
    <t>Σοφό Ασπροπύργου</t>
  </si>
  <si>
    <t>υπό διερεύνηση (Κλιμάκιο ΔΑΕΕ Δυτικής Αττικής)</t>
  </si>
  <si>
    <t>https://www.capital.gr/epikairotita/4005169/purkagia-se-xamili-blastisi-sto-sofo-aspropurgou-ixise-to-112/</t>
  </si>
  <si>
    <t>Ροδόπη – Τ.Κ. Εργάνης</t>
  </si>
  <si>
    <t>7η ΕΜΟΔΕ (1 ομάδα πεζοπόρων)</t>
  </si>
  <si>
    <t>Υδροφόρες Δήμου Μαρώνειας-Σαπών</t>
  </si>
  <si>
    <t>υπό διερεύνηση (ΔΑΕΕ Ξάνθης)</t>
  </si>
  <si>
    <t>https://www.tanea.gr/2026/07/16/greece/ypo-elegxo-oi-pyrkagies-se-kilkis-kai-rodopi/ ; https://www.cnn.gr/ellada/story/543995/fotia-se-xamili-vlastisi-stin-ergani-rodopis-epixeiroyn-enaeria-mesa ; https://www.newsbomb.gr/ellada/story/1750190/pyrkagia-se-xamili-vlastisi-stin-ergani-rodopis-kinitopoiisi-enaerion-meson-pyrosvesis ; https://www.newsit.gr/ellada/rodopi-fotia-se-xamili-vlastisi-stin-ergani-epixeiroun-kai-enaeria-mesa/4730218/ ; https://www.ieidiseis.gr/ellada/825619/fotia-sti-rodopi-ischyres-dynameis-epicheiroyn-se-agrotodasiki-ektasi/ ; https://lawandorder.gr/fotia-tora-stin-ergani-rodopis-16-7/ ; https://pelop.gr/ergani-rodopis-fotia-epicheiroun-44-pyrosvestes-9-ochimata-ena-elikoptero-kai-tessera-aeroskafi-vinteo/</t>
  </si>
  <si>
    <t>Πυρκαγιά στην τοπική κοινότητα Εργάνης, Ροδόπη. Πηγή: Yutori Scout email 17/07/2026 15:51 EEST, βασίζεται σε άρθρο Τα Νέα 16/07 21:28 EEST. | Αναφέρθηκε από Yutori Scout (email 17/07 15:51 UTC). | Πηγή: Yutori Scout email. Δεν αναφέρονται δυνάμεις. Τέθηκε υπό έλεγχο ίδια μέρα. Ο δήμος Κομοτηνής είναι εκτίμηση βάσει γεωγραφίας. | Τοπική κοινότητα Εργάνης. Εκδηλώθηκε 16/07 18:30, τέθηκε υπό έλεγχο. | Τοπική κοινότητα Εργάνης. Αναφέρθηκε 16/7/2026 21:28 EEST στην tanea.gr. | Πυρκαγιά σε χαμηλή βλάστηση στην κοινότητα Εργάνης· κινητοποίηση εναέριων μέσων | Τοπική κοινότητα Εργάνης. Αναφέρθηκε στο Yutori email 17/07. | Πυρκαγιά σε χαμηλή βλάστηση/αγροτοδασική έκταση. ΕΣΚΕΔΙΚ: drone με οπτική+θερμική κάμερα. Πεζοπόρο τμήμα 7ης ΕΜΟΔΕ. Πιθανή 2η εστία στις Σάπες Ροδόπης ίδιας ημέρας — υπό διερεύνηση αν ίδιο συμβάν.</t>
  </si>
  <si>
    <t>Τοπική Κοινότητα Εργάνης</t>
  </si>
  <si>
    <t>υπό διερεύνηση (Ανακριτικό Κλιμάκιο Εμπρησμού Ξάνθης)</t>
  </si>
  <si>
    <t>https://www.tanea.gr/2026/07/16/greece/ypo-elegxo-oi-pyrkagies-se-kilkis-kai-rodopi/ ; https://www.cnn.gr/ellada/story/543995/fotia-se-xamili-vlastisi-stin-ergani-rodopis-epixeiroyn-enaeria-mesa ; https://www.newsit.gr/ellada/rodopi-fotia-se-xamili-vlastisi-stin-ergani-epixeiroun-kai-enaeria-mesa/4730218/</t>
  </si>
  <si>
    <t>Τ.Κ. Εργάνης. Δημοσίευση αναφοράς 16/7/2026 21:28 EEST. | Πιθανό διπλότυπο της εγγραφής 'Ροδόπη – Τ.Κ. Εργάνης' — ίδια ημερομηνία, ώρα έναρξης, τοποθεσία και δυνάμεις. Προτείνεται συγχώνευση. | Συνδρομή υδροφόρων Δ. Μαρώνειας-Σαπών. Παρακολούθηση με drone (οπτική &amp; θερμική κάμερα). Ομάδα πεζοπόρων 7ης ΕΜΟΔΕ.</t>
  </si>
  <si>
    <t>Ασπρος Δήμου Παιονίας (520ο χλμ ΠΑΘΕ)</t>
  </si>
  <si>
    <t>υπό διερεύνηση (ΔΑΕΕ Θεσσαλονίκης)</t>
  </si>
  <si>
    <t>https://www.tanea.gr/2026/07/16/greece/ypo-elegxo-oi-pyrkagies-se-kilkis-kai-rodopi/ ; https://www.cnn.gr/ellada/story/544021/ypo-elegxo-oi-pyrkagies-se-kilkis-kai-rodopi ; https://www.newsit.gr/ellada/fotia-sto-kilkis-megali-kinitopoiisi-tis-pyrosvestikis/4730105/ ; https://www.ertnews.gr/ert3/kilkis-pyrkagia-se-xamili-vlastisi-stin-paionia-apokathistatai-i-kykloforia/ ; https://www.inewsgr.com/182/kilkis-oriothetithike-i-pyrkagia-se-chamili-vlastisi-stin-paionia.htm ; https://www.cretalive.gr/ellada/kilkis-pyrkagia-se-hamili-blastisi-stin-paionia</t>
  </si>
  <si>
    <t>Αγροτοδασική/χαμηλή βλάστηση παρά την ΠΑΘΕ. Αναφέρθηκε από Yutori Scout (email 17/07 15:51 UTC). | Πηγή: Yutori Scout email. Πυρκαγιά σε αγροτοδασική έκταση κοντά στο 520ο χλμ της ΠΑΘΕ. Τέθηκε υπό έλεγχο ίδια μέρα κατά tanea.gr. | Πυρκαγιά στο 520ο χλμ ΠΑΘΕ, Δήμος Παιονίας. Εκδηλώθηκε 16/07 17:30, τέθηκε υπό έλεγχο την ίδια ημέρα. | Πυρκαγιά σε χαμηλή βλάστηση στο 520ο χλμ. ΠΑΘΕ· Ανακριτικό Κλιμάκιο στο σημείο | Στο 520ο χλμ ΠΑΘΕ, Δήμος Παιονίας. Δημοσίευση αναφοράς 16/7/2026 21:28 EEST. | Χλμ 520 ΠΑΘΕ, Δήμος Παιονίας. Αναφέρθηκε στο Yutori email 17/07. | Εστία στο 520ο χλμ ΠΑΘΕ | Σύντομη διακοπή κυκλοφορίας ΠΑΘΕ και στα δύο ρεύματα. Φωτιά σε χαμηλή βλάστηση. ΔΑΕΕ Θεσσαλονίκης για αιτία.</t>
  </si>
  <si>
    <t>Κιλκίς – Άσπρος Παιονίας (ΠΑΘΕ χλμ 520)</t>
  </si>
  <si>
    <t>Δήμος Παιονίας</t>
  </si>
  <si>
    <t>9η ΕΜΟΔΕ (1 ομάδα πεζοπόρων)</t>
  </si>
  <si>
    <t>Υδροφόρες και μηχανήματα έργου Δήμου Παιονίας</t>
  </si>
  <si>
    <t>https://www.tanea.gr/2026/07/16/greece/ypo-elegxo-oi-pyrkagies-se-kilkis-kai-rodopi/ ; https://www.voria.gr/article/orothetithike-i-fotia-sto-kilkis ; https://pelop.gr/kilkis-ypo-elegcho-i-fotia-pou-ekdilothike-stin-periochi-aspros-tou-dimou-paionias/ ; https://www.newsit.gr/ellada/fotia-sto-kilkis-megali-kinitopoiisi-tis-pyrosvestikis/4730105/ ; https://lawandorder.gr/fotia-tora-sto-kilkis-16-7/</t>
  </si>
  <si>
    <t>Πυρκαγιά στο 520ο χλμ ΠΑΘΕ, θέση Άσπρος Δήμου Παιονίας. Πηγή: Yutori Scout email 17/07/2026 15:51 EEST, βασίζεται σε άρθρο Τα Νέα 16/07 21:28 EEST. | Στο 520ο χλμ. της ΠΑΘΕ, Δήμος Παιονίας. Αναφέρθηκε 16/7/2026 21:28 EEST στην tanea.gr.</t>
  </si>
  <si>
    <t>Βλαχόπουλο Μεσσηνίας</t>
  </si>
  <si>
    <t>Δήμος Πύλου-Νέστορος</t>
  </si>
  <si>
    <t>Υδροφόρες Δήμου Πύλου-Νέστορος</t>
  </si>
  <si>
    <t>υπό διερεύνηση (Δ.Α.Ε.Ε. Μεσσηνίας)</t>
  </si>
  <si>
    <t>112 ~16:40: ετοιμότητα — «παραμένετε σε ετοιμότητα και ακολουθείτε τις οδηγίες των αρχών» | 112 16:40: ετοιμότητα ευρύτερης περιοχής Βλαχόπουλου Μεσσηνίας</t>
  </si>
  <si>
    <t>https://www.ertnews.gr/eidiseis/ellada/se-yfesi-i-fotia-sto-vlaxopoulo-messinias-ripseis-apo-eksi-enaeria-mesa-kai-minyma-apo-112/ ; https://www.tanea.gr/2026/07/16/greece/fotia-sto-vlaxopoulo-messinias-ixise-to-112-parameinete-se-etoimotita/ ; https://www.newsit.gr/ellada/fotia-sto-vlaxopoulo-sti-messinia-ixise-to-112-sikothikan-6-enaeria-mesa/4730093/ ; https://www.newsbomb.gr/ellada/story/1750168/fotia-tora-sto-vlaxopoulo-messinias---epixeiroyn-6-enaeria-mesa ; https://www.messinialive.gr/ypo-meriko-elegcho-fotia-sto-vlachopoulo-ekapse-8-stremmata-agrotodasikis-ektasis-ichise-kai-112</t>
  </si>
  <si>
    <t>Αγροτοδασική έκταση ορεινής ζώνης Δήμου Πύλου-Νέστορος. Δεν απειλήθηκαν κατοικημένες περιοχές. Αναπτύχθηκε ΔΑΕΕ Μεσσηνίας για διερεύνηση αιτίου. | Αγροτοδασική έκταση σε ορεινή περιοχή. Δεν απειλήθηκαν οικισμοί. Ελεγχθηκε σε ~1 ώρα.</t>
  </si>
  <si>
    <t>17:25</t>
  </si>
  <si>
    <t>Πυρκαγιά Βλαχόπουλο Πύλου</t>
  </si>
  <si>
    <t>Πύλου-Νέστορος Παπαφλέσσα</t>
  </si>
  <si>
    <t>υδροφόρες Δήμου Πύλου-Νέστορος Παπαφλέσσα</t>
  </si>
  <si>
    <t>υπό διερεύνηση (ΔΑΕΕ Μεσσηνίας)</t>
  </si>
  <si>
    <t>112 ~16:40: προειδοποίηση/ετοιμότητα για κατοίκους ευρύτερης περιοχής Βλαχόπουλου | 112 16:40: ενημέρωση ετοιμότητας — κάτοικοι να παρακολουθούν οδηγίες αρχών | 112 ~16:40: ενημερωτικό μήνυμα ετοιμότητας — «παραμείνετε σε ετοιμότητα και ακολουθείτε οδηγίες αρχών» — για ευρύτερη περιοχή Βλαχόπουλου | 112 ~16:40: παραμείνετε σε ετοιμότητα, δασική πυρκαγιά Βλαχόπουλο Μεσσηνίας | 112 ~16:40: ετοιμότητα κατοίκων ευρύτερης περιοχής Βλαχοπούλου | ναι</t>
  </si>
  <si>
    <t>https://www.newsbomb.gr/ellada/story/1750168/fotia-tora-sto-vlaxopoulo-messinias---epixeiroyn-6-enaeria-mesa ; https://www.ertnews.gr/eidiseis/ellada/se-yfesi-i-fotia-sto-vlaxopoulo-messinias-ripseis-apo-eksi-enaeria-mesa-kai-minyma-apo-112/ ; https://www.tanea.gr/2026/07/16/greece/fotia-sto-vlaxopoulo-messinias-ixise-to-112-parameinete-se-etoimotita/ ; https://www.newsit.gr/ellada/fotia-sto-vlaxopoulo-sti-messinia-ixise-to-112-sikothikan-6-enaeria-mesa/4730093/ ; https://www.thetoc.gr/koinwnia/article/fotia-tora-sto-blaxopoulo-messinias-ripseis-apo-exi-enaeria-mesa---minuma-tou-112/ ; https://www.skai.gr/news/greece/pyrkagia-se-agrotodasiki-ektasi-stin-pylo-minyma-apo-to-112 ; https://www.in.gr/2026/07/16/greece/fotia-sto-vlaxopoulo-messinias-minyma-apo-to-112/ ; https://www.messinialive.gr/ypo-meriko-elegcho-fotia-sto-vlachopoulo-ekapse-8-stremmata-agrotodasikis-ektasis-ichise-kai-112 ; https://athina984.gr/2026/07/16/fotia-sto-vlachopoylo-messinias-minyma-112-gia-etoimotita/ ; https://www.enikos.gr/society/messinia-se-yfesi-i-fotia-sto-vlachopoulo-deite-vinteo/2614853/ ; https://www.patrisnews.com/fotia-sto-vlachopoylo-messinias-se-yfesi-i-pyrkagia-se-agrotodasiki-ektasi-eiche-ichisei-to-112/ ; https://newpost.gr/eidiseis/messinia-se-yfesi-i-pyrkagia-sto-vlachopoylo/</t>
  </si>
  <si>
    <t>Φωτιά σε ορεινή αγροτοδασική έκταση. Τέθηκε σε ύφεση σε ~40 λεπτά. Δεν απείλησε κατοικημένες περιοχές. | Αγροτοδασική έκταση Βλαχόπουλο. Κατασβέστηκε εντός ~55 λεπτών από την έναρξη (εκτιμώμενη ώρα κατάσβεσης 17:25). Ανακριτικό κλιμάκιο εμπρησμού Μεσσηνίας στο σημείο. Επίπεδο κινδύνου 3 για Πελοπόννησο από χάρτη ΓΓΠΠ 16/07. | Ορεινή αγροτοδασική έκταση. 6 εναέρια συνολικά (4 αεροσκάφη + 2 ελικόπτερα). Σε ύφεση εντός ~1 ώρας. Δεν κινδύνεψε οικισμός. | Αγροτοδασική έκταση σε ορεινή ζώνη. Κατάσβεση σε ~1 ώρα. Δεν απειλήθηκαν κατοικίες. | Σε ύφεση μετά από ~40 λεπτά επιχείρησης· Ανακριτικό Κλιμάκιο Μεσσηνίας στο σημείο</t>
  </si>
  <si>
    <t>Βίλια (Αγ. Παρασκευή Βιλίων)</t>
  </si>
  <si>
    <t>5 ΠΤ 1ης ΕΜΟΔΕ</t>
  </si>
  <si>
    <t>https://www.in.gr/2026/07/16/greece/synagermos-gia-fotia-se-dasiki-ektasi-sta-vilia/ ; https://www.in.gr/2026/07/16/greece/ypo-meriko-elegxo-i-fotia-sta-vilia-attikis-pou-isxyoun-kykloforiakes-rythmiseis/ ; https://www.ertnews.gr/roi-idiseon/ypo-meriko-elegxo-i-fotia-sta-vilia-attikis-epi-topou-isxyres-pyrosvestikes-dynameis/ ; https://www.zougla.gr/greece/oriothetithike-i-fotia-sta-vilia/ ; https://radar.gr/article/fotia-se-dasiki-ektasi-sta-vilia-enischythikan-oi-pyrosvestikes-dynameis-sikothikan-7-enaeria-mesa ; https://www.lykavitos.gr/news/greece/fotia-se-dasiki-ektasi-sta-vilia-attikis-isxyres-pyrosvestikes-dynameis-sto-simeio</t>
  </si>
  <si>
    <t>Δασική έκταση κοντά σε Αγ. Παρασκευή Βιλίων. Αρχικά 85 πυροσβέστες, 33 οχ., ενισχύθηκαν σε 115 / 35 οχ. / 7 εναέρια. Κυκλοφοριακές ρυθμίσεις στην περιοχή.</t>
  </si>
  <si>
    <t>Πυρκαγιά Βίλια — Αγία Παρασκευή</t>
  </si>
  <si>
    <t>5 ομάδες πεζοπόρων (1η ΕΜΟΔΕ)</t>
  </si>
  <si>
    <t>υδροφόρες και μηχανήματα Δήμου Μάνδρας-Ειδυλλίας</t>
  </si>
  <si>
    <t>https://www.skai.gr/news/greece/fotia-se-dasiki-ektasi-stin-agia-paraskeyi-vilion ; https://www.in.gr/2026/07/16/greece/synagermos-gia-fotia-se-dasiki-ektasi-sta-vilia/ ; https://www.protothema.gr/greece/article/1851958/fotia-tora-sta-vilia/ ; https://www.lifo.gr/now/greece/oriothetithike-i-fotia-sta-bilia-poy-yparhoyn-kykloforiakes-rythmiseis ; https://www.tanea.gr/2026/07/16/greece/fotia-se-dasiki-ektasi-sta-vilia-sti-maxi-efta-enaeria-mesa/ ; https://www.ertnews.gr/roi-idiseon/ypo-meriko-elegxo-i-fotia-sta-vilia-attikis-epi-topou-isxyres-pyrosvestikes-dynameis/ ; https://www.naftemporiki.gr/society/2138562/fotia-tora-stin-agia-paraskeyi-vilion/ ; https://www.naftemporiki.gr/society/2138588/fotia-stin-agia-paraskeyi-vilion-oriothetithike-i-pyrkagia/ ; https://www.lifo.gr/now/greece/fotia-tora-sta-bilia-attikis-kinitopoiithikan-7-enaeria-mesa ; https://www.in.gr/2026/07/16/greece/ypo-meriko-elegxo-i-fotia-sta-vilia-attikis-pou-isxyoun-kykloforiakes-rythmiseis/ ; https://www.zougla.gr/greece/oriothetithike-i-fotia-sta-vilia/ ; https://www.newsit.gr/ellada/ypo-meriko-elegxo-i-fotia-stin-perioxi-agia-paraskeyi-sta-vilia-ripseis-nerou-apo-5-aeroplana-kai-2-elikoptera/4729964/</t>
  </si>
  <si>
    <t>Ξεκίνησε σε χαμηλή βλάστηση παρά οδό· εξαπλώθηκε σε πευκοδάσος. Οριοθετήθηκε σε ~40 λεπτά. Κυκλοφοριακές ρυθμίσεις σε 3 επαρχιακές οδούς. Ανακριτικό κλιμάκιο εμπρησμού στο σημείο. Επίπεδο κινδύνου 3 για Αττική από χάρτη ΓΓΠΠ 16/07 και πηγές. | Ξεκίνησε σε χαμηλή βλάστηση δίπλα σε δρόμο, εξαπλώθηκε γρήγορα σε πευκόδασος. Κυκλοφοριακές ρυθμίσεις στην περιοχή Βιλίων. Ανακριτικό Κλιμάκιο Εμπρησμών στο σημείο.</t>
  </si>
  <si>
    <t>Πυρκαγιά Βιλίων — Αγία Παρασκευή</t>
  </si>
  <si>
    <t>5 ομάδες πεζοπόρων 1ης ΕΜΟΔΕ</t>
  </si>
  <si>
    <t>υπό διερεύνηση (εμπρησμός;)</t>
  </si>
  <si>
    <t>112: εκκένωση οικισμού στην περιοχή Βιλίων (νέο μήνυμα εκκένωσης — ακριβής ώρα και οικισμός δεν επαληθεύτηκαν από @112Greece)</t>
  </si>
  <si>
    <t>https://www.in.gr/2026/07/16/greece/synagermos-gia-fotia-se-dasiki-ektasi-sta-vilia/ ; https://www.efsyn.gr/ellada/1429313/fotia-se-dasiki-ektasi-sta-vilia-epiheiroyn-epta-enaeria-mesa/ ; https://www.skai.gr/news/greece/fotia-se-dasiki-ektasi-stin-agia-paraskeyi-vilion ; https://www.lifo.gr/now/greece/fotia-tora-sta-bilia-attikis-kinitopoiithikan-7-enaeria-mesa ; https://www.reporter.gr/eidhseis/680945-fotia-sta-vilia-attikis-megali-kinitopoiisi-ton-dynameon-katasvesis ; https://civilprotection.gov.gr/sites/default/files/2026-07/260716.jpg ; https://www.lifo.gr/now/greece/oriothetithike-i-fotia-sta-bilia-poy-yparhoyn-kykloforiakes-rythmiseis ; https://www.capital.gr/epikairotita/4005088/purkagia-se-dasiki-ektasi-sta-bilia-attikis-sikothikan-7-enaeria-mesa/ ; https://www.naftemporiki.gr/society/2138588/fotia-stin-agia-paraskeyi-vilion-oriothetithike-i-pyrkagia/ ; https://www.athensvoice.gr/epikairotita/ellada/975520/oriothetithike-i-purkagia-stin-agia-paraskeui-sta-vilia-attikis/ ; https://www.in.gr/2026/07/16/greece/ypo-meriko-elegxo-i-fotia-sta-vilia-attikis-pou-isxyoun-kykloforiakes-rythmiseis/ ; https://www.protothema.gr/greece/article/1851958/fotia-tora-sta-vilia/ ; https://www.zougla.gr/greece/oriothetithike-i-fotia-sta-vilia/ ; https://www.enikos.gr/society/oriothetithike-i-fotia-sta-vilia-deite-vinteo/2614795/ ; https://www.newsit.gr/ellada/ypo-meriko-elegxo-i-fotia-stin-perioxi-agia-paraskeyi-sta-vilia-ripseis-nerou-apo-5-aeroplana-kai-2-elikoptera/4729964/</t>
  </si>
  <si>
    <t>Ξεκίνησε σε χαμηλή βλάστηση δίπλα σε δρόμο, γρήγορα επεκτάθηκε σε πευκοδάσος. 7 εναέρια (5 αεροσκάφη + 2 ελικόπτερα). Σε εξέλιξη κατά τη στιγμή ενημέρωσης. | Ξεκίνησε από χαμηλή βλάστηση, επεκτάθηκε σε δασική έκταση. Οριοθετήθηκε σε ~40 λεπτά. Κυκλοφοριακές ρυθμίσεις: Οινόη–Πόρτο Γερμενό, Αλεποχώρι–Βίλια, Άγιο Γεώργιο–Πόρτο Γερμενό. | Ξεκίνησε σε χαμηλή βλάστηση παράπλευρα δρόμου, επεκτάθηκε σε πευκοδάσος. 7 εναέρια συνολικά. Κυκλοφοριακές ρυθμίσεις σε τρεις επαρχιακές οδούς. ΔΑΕΕ Δυτικής Αττικής ερευνά αίτια. | Πολλαπλές πηγές επιβεβαιώνουν οριοθέτηση εντός ~40 λεπτών από την έναρξη (14:40)· ώρα ελέγχου κατ' εκτίμηση ~15:20. Αιτία υπό διερεύνηση (ΔΑΕΕ). | ΠΡΟΣΟΧΗ: Πιθανό διπλότυπο με εγγραφή 'Πυρκαγιά Βίλια — Αγία Παρασκευή' (ίδια ημ/νία 16/07, ώρα 14:40–15:20, δυνάμεις 115/35/5+2, θέση). Η μόνη διαφορά είναι η ορθογραφία του name_area. Συνίσταται συγχώνευση.</t>
  </si>
  <si>
    <t>Αρμόλια Χίου</t>
  </si>
  <si>
    <t>https://www.liberal.gr/ellada/pyrkagia-se-hamili-blastisi-stin-periohi-armolia-sti-hio ; https://www.naftemporiki.gr/society/2138593/chios-oriothetithike-i-pyrkagia-sta-armolia/</t>
  </si>
  <si>
    <t>Χαμηλή βλάστηση. Πολύ υψηλός κίνδυνος (κατ. 4) για Χίο, Ψαρά, Σάμο, Ικαρία στις 16/07.</t>
  </si>
  <si>
    <t>09:48</t>
  </si>
  <si>
    <t>Παράκοιλα — Προφήτης Ηλίας</t>
  </si>
  <si>
    <t>Δ. Δυτικής Λέσβου</t>
  </si>
  <si>
    <t>Ισχυρές επίγειες δυνάμεις</t>
  </si>
  <si>
    <t>112 ετοιμότητα Παράκοιλα: «Παραμείνετε σε ετοιμότητα»</t>
  </si>
  <si>
    <t>https://pelop.gr/synagermos-sti-lesvo-megali-fotia-se-dasiki-ektasi-sta-parakoila-sikothikan-aeroskafi/ ; https://www.newsit.gr/ellada/fotia-sti-lesvo-sikothikan-3-enaeria-mesa-ixise-to-112/4727632/ ; https://www.enikos.gr/society/fotia-sti-lesvo-minyma-apo-to-112-parameinete-se-etoimotita-2/2613177/ ; https://www.skai.gr/news/greece/fotia-se-dasiki-ektasi-sti-lesvo-kinitopoiithikan-3-enaeria ; https://x.com/112Greece/status/2076661358511198473 ; https://www.thetoc.gr/koinwnia/article/fotia-tora-sti-lesbo-stin-perioxi-tou-profiti-ilia-parakoilon---sikothikan-enaeria-mesa/ ; https://www.in.gr/2026/07/16/greece/lesvos-fotia-se-dasiki-ektasi-epixeirei-isxyri-dynami-tis-pyrosvestikis/ ; https://www.ertnews.gr/eidiseis/ellada/poly-ypsilos-kindynos-pyrkagias-simera-stis-perifereis-voreiou-aigaiou-kai-kritis-poies-perioxes-vriskontai-sto-kitrino/ ; https://www.protothema.gr/greece/article/1851757/fotia-tora-sti-lesvo-kaiei-dasiki-ektasi-sikothikan-kai-enaeria-mesa/ ; https://www.efsyn.gr/ellada/1428976/fotia-sti-lesvo-sikothikan-kai-enaeria-mesa/ ; https://civilprotection.gov.gr/sites/default/files/2026-07/260716.jpg ; https://www.thetoc.gr/koinwnia/article/fotia-tora-sti-lesvo-stin-perioxi-tou-profiti-ilia-parakoilon---sikothikan-enaeria-mesa/ ; https://www.news247.gr/ellada/lesvos-fotia-ston-profiti-ilia-parakoilon-epixeiroun-kai-enaeria-mesa/</t>
  </si>
  <si>
    <t>3 εναέρια μέσα κινητοποιήθηκαν. Πυκνή δασική βλάστηση, δύσβατο ανάγλυφο. Δυνάμεις Πυροσβεστικής Μυτιλήνης + εθελοντικές ομάδες νησιού. ΣΚΑΪ: «οριοθετήθηκε» (τίτλος άρθρου — επαλήθευση μερική). | Πρωί 16/7. Δασική έκταση. Ισχυρή δύναμη Πυροσβεστικής + αεροσκάφη αερορίψεων. Ακριβή στοιχεία δυνάμεων μη διαθέσιμα λόγω πρώιμης φάσης. | Πρωί 16/7 (πριν 09:47). Αεροσκάφη συνεχείς ρίψεις νερού. Τελευταία ενημέρωση (09:47): υπό μερικό έλεγχο / χωρίς ενεργά μέτωπα. | Ξεκίνησε πρωί 16/7. Στις 09:47 αναφερόταν «υπό μερικό έλεγχο, δεν υπάρχει ενεργή εστία». Αναζωπύρωση επιβεβαιώθηκε 17/7 με επίγειες και εναέριες δυνάμεις να συνεχίζουν επιχειρήσεις. | Δασική έκταση θέση Προφήτης Ηλίας Παρακοίλων. Αεροσκάφη με συνεχείς ρίψεις νερού. Χωρίς ενεργό μέτωπο μετά την επέμβαση. Βόρειο Αιγαίο (Λέσβος) είχε κατηγορία κινδύνου 4 στις 16/07 σύμφωνα με Π.Π. | Πρωινή εκδήλωση (16/07). Μεγάλη δασική έκταση. Αεροσκάφη αεροπυρόσβεσης συμμετείχαν. Πολύ υψηλός κίνδυνος (κατηγορία 4) για Βόρειο Αιγαίο. | Χωρίς ενεργή εστία σύμφωνα με αναφορές της ημέρας. Καμένη έκταση και αιτία δεν ανακοινώθηκαν. Εναέρια μέσα: τουλάχιστον 3 σύμφωνα με newsit.gr.</t>
  </si>
  <si>
    <t>Μαστιχοχώρια Χίου</t>
  </si>
  <si>
    <t>Δήμος Χίου</t>
  </si>
  <si>
    <t>https://www.ertnews.gr/eidiseis/ellada/pyrkagia-sti-xio-pros-ta-mastixoxoria-kateythynontai-oi-floges-neo-112-gia-vessa-lithi-elata-kai-armolia-se-katastasi-ektaktis-anagkis-o-dimos-xiou/ ; https://www.xiakoslaos.gr/chios/445935/chios-schedon-41-000-stremmata-i-pligeisa-ektasi-apo-ti-megali-pyrkagia-doryforiki-apotyposi-sokarei-me-tin-ektasi-tis-katastrofis/ ; https://news-24.gr/i-fotia-sti-n-chio-kai-i-efthrafsti-isorropia-ton-mastichochorion/ ; https://www.newsbeast.gr/greece/arthro/12407254/kaigetai-gia-deftero-24oro-i-chios-pente-ta-energa-metopa-pros-ta-mastichochoria-oi-floges-se-katastasi-ektaktis-anagkis-to-nisi ; https://www.ertnews.gr/eidiseis/ellada/pyrkagia-sti-xio-pros-ta-mastixoxoria-kateuthynontai-oi-floges-neo-112-gia-vessa-lithi-elata-kai-armolia-se-katastasi-ektaktis-anagkis-o-dimos-xiou/ ; https://www.cnn.gr/ellada/story/483552/fotia-sti-xio-sygklonistikes-eikones-apo-tin-kameni-gi-se-sxedon-41-000-stremmata ; https://www.documentonews.gr/article/fotia-sti-chio-oriothetithike-to-metopo-sta-mesta/</t>
  </si>
  <si>
    <t>ΝΕΟΣ ΕΝΤΟΠΙΣΜΟΣ (batch 7/11). Μεγάλη πυρκαγιά νότιας Χίου που απειλούσε Βέσσα, Λιθί, Ελάτα, Αρμόλια. 112 για Μαστιχοχώρια. Δήμος Χίου σε κατάσταση έκτακτης ανάγκης. Δορυφορική αποτύπωση ~41.000 στρέμματα (4.100 ha). Διαφορετικό από το μικρό περιστατικό Αρμόλια 14:30 (20 πυρ/τες, οριοθετήθηκε γρήγορα). | Κατάσταση έκτακτης ανάγκης Δήμου Χίου. Πέντε ενεργά μέτωπα. Ενισχύσεις 2ης ημέρας: 284+ πυροσβέστες/εθελοντές από ηπειρωτική Ελλάδα (92 Αθήνα-Θεσσαλονίκη, 110 με 34 οχήματα Πειραιάς, 30 εθελοντές με 4 οχήματα, 44 με 11 οχήματα Καβάλα, 8 με 2 οχήματα Λέσβος). Αποστολή με πλοία AQUA BLUE και AQUA JEWEL.</t>
  </si>
  <si>
    <t>Νεοχωρούδα</t>
  </si>
  <si>
    <t>Δ. Λαγκαδά</t>
  </si>
  <si>
    <t>112: παραμείνετε σε ετοιμότητα (κάτοικοι Νεοχωρούδας)</t>
  </si>
  <si>
    <t>https://www.huffingtonpost.gr/kinonia/thessaloniki-fotia-sti-souroti-112-gia-ekkenosi-pros-vasilika/ ; https://www.thestival.gr/eidiseis/astynomika/thessaloniki-oriothetimeni-kai-choris-e/ ; https://www.naftemporiki.gr/society/2138209/thessaloniki-fotia-tora-kai-sti-neochoroyda-minyma-toy-112/ ; https://www.enikos.gr/society/fotia-sti-neochorouda-thessalonikis-ichise-to-112-meinete-se-etoimotita/2614339/ ; https://www.news.gr/ellada/article/4177964/fotia-sti-neochorouda-oreokastrou-thessalonikis-minima-enimerosis-apo-to-112.html ; https://www.rthess.gr/ellada/pyrkagia-sti-neochorouda-oraiokastrou-thessalonikis/ ; https://www.cnn.gr/ellada/story/543828/oriothetimenes-oi-pyrkagies-se-souroti-kai-neoxoroyda-thessalonikis ; https://www.in.gr/2026/07/15/greece/thessaloniki-fotia-sti-neoxorouda-sto-oraiokastro-minyma-apo-to-112/</t>
  </si>
  <si>
    <t>Πυρκαγιά προς Γαλλικό ποταμό. Εκτός κατοικημένης περιοχής κατά τη στιγμή δημοσίευσης. | Χαμηλή βλάστηση κοντά στον ποταμό Γαλλικό. Χωρίς ενεργό μέτωπο. Αιτία υπό διερεύνηση. ΠΡΟΣΟΧΗ: η Νεοχωρούδα ανήκει στο Δ. Ωραιοκάστρου (όχι Δ. Λαγκαδά). Η πηγή huffingtonpost αναφέρει 'Σουρωτή→Βασιλικά' που ανήκει σε Λαγκαδά — ενδεχόμενο δύο διαφορετικών γεγονότων. | Πυρκαγιά σε χαμηλή βλάστηση πλησίον Γαλλικού ποταμού. Διορθώθηκε δήμος: πηγές αναφέρουν ομόφωνα Νεοχωρούδα Ωραιοκάστρου, όχι Λαγκαδά.</t>
  </si>
  <si>
    <t>Πυρκαγιά Σουρωτής Θεσσαλονίκης</t>
  </si>
  <si>
    <t>Δ. Θέρμης</t>
  </si>
  <si>
    <t>3 πεζοπόρα τμήματα (2ης, 8ης, 10ης ΕΜΟΔΕ)</t>
  </si>
  <si>
    <t>υδροφόρες Δ. Θέρμης</t>
  </si>
  <si>
    <t>112 17:12: εκκένωση βορείου τμήματος Σουρωτής προς Βασιλικά | 112 ~16:15 ετοιμότητα Σουρωτή: «Παραμείνετε σε ετοιμότητα και ακολουθήστε τις οδηγίες των Αρχών» | εκκένωση βόρειου τμήματος Σουρωτής στις 17:12 | 112 ~16:30: προειδοποίηση ετοιμότητας· 112 17:12: εκκένωση βόρειου τμήματος Σουρωτής με κατεύθυνση προς Βασιλικά | 112 16:15: ετοιμότητα ευρύτερης περιοχής Σουρωτής· 17:12: εκκένωση βόρειου τμήματος Σουρωτής προς Βασιλικά</t>
  </si>
  <si>
    <t>https://www.in.gr/2026/07/15/greece/pyrkagia-sti-souroti-thessalonikis-minyma-ekkenosis-apo-to-112/ ; https://www.rthess.gr/ellada/thessaloniki-oriothetithike-i-pyrkagia-sti-souroti/ ; https://www.cnn.gr/ellada/story/543799/fotia-sti-souroti-thessalonikis-minyma-apo-to-112-gia-ekkenosi ; https://www.enikos.gr/society/fotia-sti-souroti-thessalonikis-neo-minyma-112-gia-ekkenosi/2614295/ ; https://www.documentonews.gr/article/fotia-sti-souroti-stalthike-112-gia-ekkenosi-mainetai-i-pyrkagia/ ; https://www.ertnews.gr/ert3/pyrkagia-sti-souroti-thessalonikis-epixeiroun-dyo-elikoptera-ixise-to-112/ ; https://athina984.gr/2026/07/15/pyrkagies-enischythikan-oi-pyrosvestikes-dynameis-sti-thermi-kai-sto-irakleio-se-exelixi-kai-stin-kavala/ ; https://www.thetoc.gr/koinwnia/article/thessaloniki-fotia-stin-perioxi-tis-sourotis---estali-112---sikothikan-enaeria-mesa/ ; https://www.emakedonia.gr/thessaloniki-meghali-enischisi-dinameon-sti-soyroti-epta-enaeria-sti-machi-me-ti-fotia ; https://www.news.gr/ellada/article/4178065/oriothetithike-i-pirkagia-stin-souroti-thessalonikis.html ; https://www.naftemporiki.gr/society/2138161/fotia-sti-soyroti-thessalonikis-entoli-meso-112-gia-apomakrynsi/ ; https://thepressproject.gr/fotia-xespase-kai-sti-souroti-thessalonikis-estali-minyma-tou-112-gia-ekkenosi/ ; https://www.cnn.gr/ellada/story/543789/synagermos-gia-fotia-ekso-apo-ti-souroti-thessalonikis-ixise-112-gia-etoimotita ; https://www.zougla.gr/greece/fotia-sti-souroti-thessalonikis-ichise-to-112-gia-etoimotita-sikothikan-2-elikoptera/ ; https://www.newsit.gr/ellada/fotia-sti-souroti-thessalonikis-ixise-to-112/4729224/ ; https://www.rthess.gr/ellada/synagermos-sti-souroti-thessalonikis-pyrkagia-se-agrotodasiki-ektasi-estali-112/ ; https://www.ertnews.gr/roi-idiseon/pyrkagia-sti-souroti-thessalonikis-enisxythikan-oi-dynameis-tis-pyrosvestikis-5-aeroskafi-kai-2-elikoptera-sti-maxi-tis-katasvesis/</t>
  </si>
  <si>
    <t>Βόρειο αγροτοδασικό τμήμα Δ. Θέρμης. Πύρινο μέτωπο οριοθετήθηκε μετά μεγάλη κινητοποίηση. | Αγροτοδασική έκταση πλησίον κατοικιών. Μονάδα Εγκληματολογικών Ερευνών Πυρκαγιών παρούσα. Ίδιος Δήμος (Θέρμη) με τη φωτιά Βασιλικών 14/07 — ξεχωριστό συμβάν. | Φωτιά σε ξερά χόρτα έξω από τη Σουρωτή. Εντολή εκκένωσης βόρειου τμήματος στις 17:12. Τελικό status δεν επιβεβαιώθηκε. | Αγροτοδασική έκταση με διάσπαρτες κατοικίες πλησίον. Drone με οπτικές/θερμικές κάμερες (ΕΣΚΕΔΙΙΚ). Ανακριτικό κλιμάκιο εμπρησμού στο σημείο. Επίπεδο κινδύνου κατηγορία 3 σύμφωνα με πηγές.</t>
  </si>
  <si>
    <t>2026-07-17</t>
  </si>
  <si>
    <t>Φωτιά Γυθείου Λακωνίας</t>
  </si>
  <si>
    <t>Δ. Ανατολικής Μάνης</t>
  </si>
  <si>
    <t>1 πεζοπόρο τμήμα 9ης ΕΜΟΔΕ</t>
  </si>
  <si>
    <t>υδροφόρες Δ. Ανατολικής Μάνης</t>
  </si>
  <si>
    <t>Υπό διερεύνηση (Τμήμα Εγκληματολογίας Εμπρησμών Λακωνίας)</t>
  </si>
  <si>
    <t>https://www.newsit.gr/ellada/fotia-sto-gytheio-epigeia-kai-enaeria-mesa-sto-simeio/4729212/ ; https://www.efsyn.gr/ellada/1428515/fotia-sto-gytheio-epiheiroyn-pente-enaeria-mesa/ ; https://www.naftemporiki.gr/society/2138100/lakonia-fotia-tora-sto-gytheio/ ; https://www.lykavitos.gr/news/greece/fotia-sto-gytheio ; https://www.topontiki.gr/2026/07/15/fotia-sto-githio-sinagermos-stin-pirosvestiki/ ; https://civilprotection.gov.gr/sites/default/files/2026-07/260715.jpg ; https://www.anagnostis.org/2026/07/15/esvise-i-pyrkagia-sto-gytheio-lakonias-erevnes-gia-ta-aitia/</t>
  </si>
  <si>
    <t>Χαμηλή βλάστηση κοντά σε δασική έκταση. Δεν απειλούνταν κατοικίες κατά τη στιγμή ανάρτησης. | Χαμηλή βλάστηση κοντά σε δασική έκταση. Μονάδα Εγκληματολογικών Ερευνών Πυρκαγιών Λακωνίας παρούσα. Δεν εντοπίστηκε σήμα 112. | Χαμηλή βλάστηση, εξελίχθηκε προς δασική έκταση. Απουσία άμεσης απειλής κατοικιών κατά τη δημοσίευση. Ερευνητική ομάδα για αιτία. | Χαμηλή βλάστηση, χωρίς απειλή κατοικιών. Αίτια υπό διερεύνηση (Τμήμα Εγκληματολογίας Εμπρησμών Λακωνίας).</t>
  </si>
  <si>
    <t>Πυρκαγιά Μελιδοχωρίου Ηρακλείου</t>
  </si>
  <si>
    <t>Δ. Αρχανών-Αστερουσίων</t>
  </si>
  <si>
    <t>6 πεζοπόρα τμήματα 3ης &amp; 19ης ΕΜΟΔΕ</t>
  </si>
  <si>
    <t>υδροφόρες Δ. Αρχανών-Αστερουσίων</t>
  </si>
  <si>
    <t>3 εθελοντικές ομάδες</t>
  </si>
  <si>
    <t>εμπρησμός από αμέλεια (35χρονος αλλοδαπός, εξωτερικές εργασίες με τροχό κατά παράβαση απαγόρευσης λόγω ισχυρών ανέμων· σύλληψη αυτόφωρη)</t>
  </si>
  <si>
    <t>112 ~13:45: ενημέρωση Μελιδοχωρίου· 15:55: εκκένωση Μελιδοχωρίου και Βοριά προς Χαράκι και Δαμάνια | 112 εκκένωση Μελιδοχωρίου και Βοριά → Χαράκι και Δαμάνια | 112 ~13:45: πληροφοριακό μήνυμα για ευρύτερη περιοχή Μελιδοχωρίου· 112 15:55: εκκένωση Μελιδοχωρίου και Βοριά προς Χαράκι και Δαμάνια («Απομακρυνθείτε προς Χαράκι και Δαμάνια. Ακολουθείτε τις οδηγίες των Αρχών») | 112: εκκένωση Μελιδοχωρίου και Βοριά προς Χαράκι και Δαμάνια (πολλαπλά 112 — τελευταίο νέο μήνυμα κατά τη διάρκεια έντονης εξέλιξης)</t>
  </si>
  <si>
    <t>https://www.cnn.gr/ellada/story/543839/se-yfesi-i-megali-fotia-sto-melidoxori-irakleiou-paramenoun-oi-dynameis-gia-tyxon-anazopyrosi ; https://www.cnn.gr/ellada/story/543784/mainetai-i-fotia-sto-melidoxori-irakleiou-isxyroi-anemoi-anazopyronoun-to-metopo ; https://www.mononews.gr/society/kriti-oriothetithike-i-megali-pyrkagia-sto-melidochori-irakleiou ; https://prismaradio.gr/2026/07/15/fotia-sto-melidochori-irakleioy-minyma-112-gia-ekkenosi-11-enaeria-kai-85-pyrosvestes-sto-pyrino-metopo-ton-4chlm/ ; https://www.in.gr/2026/07/15/greece/fotia-sto-irakleio-ixise-to-112-gia-ekkenosi-tou-melidoxoriou/ ; https://creta24.gr/megali-fotia-sto-melidochori-irakleioy-minyma-apo-to-112-gia-ekkenosi-dyo-periochon/ ; https://www.newsbeast.gr/greece/arthro/13237987/skliri-machi-me-tis-floges-sto-melidochori-irakleiou-kritis-oi-anemoi-fysoun-me-mania-kai-to-112-ekkenonei-oikismous ; https://www.newsbomb.gr/ellada/story/1749920/fotia-sto-irakleio-minyma-112-gia-ekkenosi-sto-melidoxori-isxyroi-anemoi-sto-simeio ; https://www.newsbomb.gr/ellada/story/1749973/irakleio-oriothetithike-i-fotia-sto-melidoxori ; https://www.newsit.gr/ellada/fotia-sto-melidoxori-irakleiou-minyma-tou-112-gia-ekkenosi-dyo-perioxon/4729116/ ; https://www.zarpanews.gr/irakleio-ichise-neo-minyma-toy-112-gia-ekkenosi-ton-periochon-melidochori-kai-voriass/ ; https://www.tanea.gr/2026/07/15/greece/oriothetithike-kai-vrisketai-se-yfesi-i-megali-pyrkagia-poy-ekdilothike-se-xamili-vlastisi/ ; https://civilprotection.gov.gr/sites/default/files/2026-07/260715.jpg ; https://www.topontiki.gr/2026/07/16/chiropedes-se-35chrono-gia-ti-fotia-sto-melidochori-irakliou-stachti-chiliades-stremmata-ke-zoa/ ; https://www.cretalive.gr/kriti/melidohori-mia-syllipsi-gia-tin-katastrofiki-fotia-stahti-hiliades-stremmata-kai-zoa ; https://www.ertnews.gr/perifereiakoi-stathmoi/iraklio/irakleio-xoris-energo-metopo-i-fotia-sto-melidoxori/ ; https://www.skaikritis.gr/i-fotia-sto-melidochori-anedeixe-xana-tin-anagki-gia-erickson-stin-kriti/ ; https://www.enikos.gr/society/irakleio-ichise-neo-minyma-tou-112-gia-ekkenosi-ton-periochon-melidochori-kai-vorias-apomakryntheite-pros-charaki-kai-damania/2614264/ ; https://www.skai.gr/news/greece/kriti-fotia-sto-melidoxori-irakleiou-minyma-112 ; https://www.neakriti.gr/kriti/irakleio/2189656_irakleio-dramatiki-mahi-me-tis-floges-sto-melidohori-oi-ishyroi-anemoi</t>
  </si>
  <si>
    <t>Μέτωπο 4χλμ· επεκτάθηκε προς Γένα και Λαράνι. Άνεμοι έως 8 Μποφόρ. Κλιμακωτή ενίσχυση δυνάμεων (85→120 πυροσβέστες, 3→7 ελικόπτερα + 4 αεροσκάφη = 11 εναέρια αρχικά). Δυνάμεις παρέμειναν για αναζωπύρωση. | Ισχυροί άνεμοι με συνεχείς αλλαγές κατεύθυνσης. Αναζωπυρώσεις. Ενισχύσεις από Χανιά, Ρέθυμνο, Λασίθι. Δευτερεύουσα εστία στο Περί Μεσαράς (Μοίρες). | Μέτωπο ~4 χλμ. Ισχυροί άνεμοι έως 8 μποφόρ αλλάζουν κατεύθυνση. 3 ελικόπτερα αρχικά + 4 ενισχύσεις = 7 σύνολο. Οριοθετήθηκε, σε ύφεση. | Κάηκαν χιλιάδες στρέμματα χαμηλής βλάστησης και αγροτικών εκτάσεων· καταστράφηκαν κτηνοτροφικές εγκαταστάσεις με ζώα, γεωτρήσεις, δίκτυα ΔΕΗ και ΟΤΕ. | Άνεμοι έως 8 Beaufort· πολλαπλά μέτωπα σε δύσβατα φαράγγια. Αρχικά 85 πυροσβέστες (ενισχύθηκαν σε 120). Υπό ύφεση σύμφωνα με CNN.gr — παρέμειναν δυνάμεις για αναζωπυρώσεις. Επίπεδο κινδύνου 4 για Κρήτη από χάρτη ΓΓΠΠ 15/07.</t>
  </si>
  <si>
    <t>Κολινδρός Πιερίας</t>
  </si>
  <si>
    <t>Δ. Πύδνας-Κολινδρού</t>
  </si>
  <si>
    <t>2 πεζοπόρα τμήματα 2ης ΕΜΟΔΕ</t>
  </si>
  <si>
    <t>υδροφόρες και βαριά μηχανήματα τοπικής αυτοδιοίκησης</t>
  </si>
  <si>
    <t>https://www.newsit.gr/ellada/fotia-ston-kolindro-pierias-sikothikan-enaeria-mesa/4729065/ ; https://www.athensvoice.gr/epikairotita/ellada/975167/fotia-tora-ston-kolindro-pierias/ ; https://www.in.gr/2026/07/15/greece/fotia-se-agrotodasiki-perioxi-ston-kolindro-pierias/ ; https://www.firefightingreece.gr/2026/07/15/pyrkagia-se-agrotodasiki-ektasi-stin-periochi-kolindros-pierias/ ; https://www.skai.gr/news/greece/pieria-fotia-ston-kolindro ; https://olympiobima.gr/kolindros-pyrkagia-se-exelixi-me-ischyres-enaeries-dynameis/ ; https://olympiobima.gr/kolindros-ypo-elegcho-i-pyrkagia-me-epigeies-dynameis/ ; https://civilprotection.gov.gr/sites/default/files/2026-07/260715.jpg ; https://www.eleftherostypos.gr/ellada/pieria-ypo-pliri-elegcho-i-fotia-ston-kolindro-dierevnontai-ta-aitia-tis-pyrkagias</t>
  </si>
  <si>
    <t>Αγροτοδασική έκταση. Κατάσταση μη επιβεβαιωμένη μετά αρχική ανάπτυξη. | Αγροτοδασική έκταση. Περιορισμένες πληροφορίες. | Φωτιά σε φαράγγι, μακριά από κατοικημένες περιοχές. Τελικά ελέγχθηκε με επίγειες δυνάμεις. | Αγροτοδασική έκταση, μεσημέρι 15/7. Ελικόπτερο αναπτύχθηκε αεροπορικά. | Αγροτοδασική έκταση στον Κολινδρό Πιερίας. Σχετικά μικρή επέμβαση στο πλαίσιο 45 συνολικά αγροτοδασικών πυρκαγιών που εκδηλώθηκαν εκείνο το 24ωρο σε όλη τη χώρα. | Αγροτοδασική έκταση σε χαράδρα, μακριά από κατοικίες. Ανακριτικό Κλιμάκιο Εγκλημάτων Εμπρησμού Πιερίας στο σημείο. | Αγροτοδασική έκταση σε φαράγγι μακριά από κατοικίες. Επίγειες δυνάμεις παρέμειναν για επιτήρηση. Αίτια υπό διερεύνηση (κλιμάκιο εμπρησμών Πιερίας).</t>
  </si>
  <si>
    <t>13:01</t>
  </si>
  <si>
    <t>Φωτιά Φράγματος Θέρμης Θεσσαλονίκης</t>
  </si>
  <si>
    <t>1 ομάδα δασοκομάντος</t>
  </si>
  <si>
    <t>εμπρησμός από αμέλεια (66χρονος, σπίθες από γεωργικό ελκυστήρα με τεμαχιστή κατά εκχέρσωση πρανούς τοπικής οδού· σύλληψη αυτόφωρη)</t>
  </si>
  <si>
    <t>https://www.libre.gr/2026/07/15/fotia-sti-thermi/ ; https://civilprotection.gov.gr/sites/default/files/2026-07/260715.jpg ; https://www.ertnews.gr/ert3/thessaloniki-synelifthi-66xronos-gia-ti-fotia-sto-fragma-thermis-pos-proklithike-i-pyrkagia/ ; https://www.tanea.gr/2026/07/16/greece/thessaloniki-synelifthi-66xronos-gia-ti-fotia-sto-fragma-thermis/ ; https://www.businessdaily.gr/koinonia/221103_thessaloniki-syllipsi-gia-emprismo-apo-ameleia-sti-thermi ; https://www.skai.gr/news/greece/fotia-sti-thermi-thessalonikis-1 ; https://www.thestival.gr/eidiseis/astynomika/thessaloniki-esvise-i-pyrkagia-sto-fra/</t>
  </si>
  <si>
    <t>Χαμηλή βλάστηση στη θέση Φράγμα Θέρμης, πρωί 15/7. Αντιμετωπίστηκε άμεσα.</t>
  </si>
  <si>
    <t>Περαία Θεσσαλονίκης</t>
  </si>
  <si>
    <t>1 πεζοπόρο τμήμα 2ης ΕΜΟΔΕ</t>
  </si>
  <si>
    <t>βυτιοφόρα Δήμου Θέρμης</t>
  </si>
  <si>
    <t>Υπό διερεύνηση (ανακριτικό κλιμάκιο εμπρησμού Θεσσαλονίκης)</t>
  </si>
  <si>
    <t>112: ετοιμότητα κατοίκων Περαίας — «παραμείνουν σε ετοιμότητα και ακολουθούν οδηγίες Αρχών» | 112 ήχησε (τύπος αντίδρασης αδιευκρίνιστος) | 112 ηχησε (τύπος μη επιβεβαιωμένος)</t>
  </si>
  <si>
    <t>https://ertnews.gr/ert3/thessaloniki/ypo-elegxo-i-pyrkagia-stin-peraia-thessalonikis/?amp= ; https://www.emakedonia.gr/thessaloniki-ypo-eleghcho-i-dasiki-pirkaghia-stin-periochi-tis-peraias-sikothike-1-elikoptero ; https://www.naftemporiki.gr/society/2137673/pyrkagies-45-agrotodasikes-se-ena-24oro-elegchthike-amesa-stin-peraia-thessalonikis/ ; https://lawandorder.gr/pyrkagia-stin-peraia-thessalonikis-ichise-112-14-7/ ; https://parallaximag.gr/thessaloniki-news/thessaloniki-fotia-stin-periochi-osias-xenis-ichise-to-112</t>
  </si>
  <si>
    <t>Πυρκαγιά κοντά στην Οσία Ξένη. Χρήση drone θερμικής/οπτικής κάμερας. Διάσπαρτες κατοικίες πλησίον της εστίας. | «Ελέγχθηκε άμεσα» σύμφωνα με Πυροσβεστική. Αγροτική έκταση. | Αγροτική έκταση. Περιορισμένες πληροφορίες. | Πυρκαγιά στην περιοχή Οσίας Ξένης Περαίας. Μετέβη άμεσα Ανακριτικό Κλιμάκιο Αντιμετώπισης Εγκλημάτων Εμπρησμού Θεσσαλονίκης.</t>
  </si>
  <si>
    <t>Αλιβέρι Ευβοίας</t>
  </si>
  <si>
    <t>2 ομάδες πεζοπόρου τμήματος 20ης ΕΜΟΔΕ</t>
  </si>
  <si>
    <t>υδροφόρες Δήμου Κύμης-Αλιβερίου</t>
  </si>
  <si>
    <t>υπό διερεύνηση (Ανακριτικό Κλιμάκιο Εμπρησμών Ευβοίας)</t>
  </si>
  <si>
    <t>https://www.in.gr/2026/07/14/inview/inshorts/synagermos-gia-fotia-sto-aliveri-eyvoias-sikothikan-kai-enaeria-mesa/ ; https://www.naftemporiki.gr/society/2137529/eyvoia-choris-energo-metopo-i-pyrkagia-sto-aliveri/ ; https://www.skai.gr/news/greece/fotia-sto-aliveri-eyvoias-1 ; https://www.patrisnews.com/fotia-stin-eyvoia-kaigetai-agrotodasiki-ektasi-sto-aliveri-petane-9-enaeria-estali-minyma-apo-to-112/ ; https://www.eleftherostypos.gr/ellada/evvoia-fotia-tora-sto-aliveri-apeilountai-spitia-ichise-to-112</t>
  </si>
  <si>
    <t>Εκκενώθηκε ο οικισμός Προφήτης Ηλίας. Επιχείρησαν 2 ορεινές ομάδες 20ης ΕΜΟΔΕ. Σύνολο 9 εναέρια μέσα (6 αεροσκάφη + 3 ελικόπτερα). Τελική κατάσταση/έκταση δεν επιβεβαιώθηκε από διαθέσιμες πηγές. | Εντοπίστηκε αρχικά από drone επιτήρησης</t>
  </si>
  <si>
    <t>13:36</t>
  </si>
  <si>
    <t>Βασιλικά Θέρμης</t>
  </si>
  <si>
    <t>Δήμος Θέρμης</t>
  </si>
  <si>
    <t>Βυτιοφόρα Δήμου Θέρμης</t>
  </si>
  <si>
    <t>Υπό διερεύνηση (αποστολή ανακριτικής ομάδας εμπρησμού Θεσσαλονίκης)</t>
  </si>
  <si>
    <t>112: «Πυρκαγιά στην περιοχή Βασιλικά — παραμείνετε σε ετοιμότητα και ακολουθείτε οδηγίες Αρχών» | 112: παραμείνετε σε ετοιμότητα (κάτοικοι Βασιλικών) | 112 ετοιμότητα Βασιλικά: «Δασική πυρκαγιά στην περιοχή Βασιλικά Θεσσαλονίκης. Παραμείνετε σε ετοιμότητα και ακολουθήστε τις οδηγίες των Αρχών» | 12:58 — παραμείνετε σε ετοιμότητα</t>
  </si>
  <si>
    <t>https://www.in.gr/2026/07/14/greece/thessaloniki-fotia-se-agrotodasiki-ektasi-sta-vasilika-konta-se-spitia-oi-floges-minyma-apo-to-112/ ; https://www.tanea.gr/2026/07/14/greece/thessaloniki-pyrkagia-se-xamili-vlastisi-stin-perioxi-vasilika/ ; https://www.newsit.gr/ellada/fotia-sti-thermi-thessalonikis-epixeiroun-enaeria-mesa-ixise-to-112-gia-etoimotita-sta-vasilika/4728274/ ; https://www.halkidikipost.gr/2026/07/synagermos-sti-thessaloniki-megali-fotia-sta-vasilika-ichise-to-112-ischyres-dynameis-kai-enaeria-mesa-sto-simeio/ ; https://www.protothema.gr/greece/article/1850687/fotia-tora-sta-vasilika-thessalonikis-112-stous-katoikous-gia-etoimotita/ ; https://www.tanea.gr/2026/07/15/greece/mia-syllipsi-gia-ti-fotia-sta-vasilika-thessalonikis-apo-ti-ksespase-i-pyrkagia/ ; https://www.skai.gr/news/greece/fotia-sti-thermi-thessalonikis-1 ; https://www.ertnews.gr/ert3/thessaloniki-pyrkagia-sta-vasilika-epixeiroun-kai-enaeries-dynameis-ixise-to-112/</t>
  </si>
  <si>
    <t>Αγροτοδασική έκταση, κοντά σε κατοικίες. Drone παρακολούθηση με θερμική κάμερα. | Χαμηλή βλάστηση κοντά σε σποραδικές κατοικίες Δ. Θέρμης. | Αγροτοδασική έκταση κοντά σε κατοικίες. Χωρίς ενεργό μέτωπο μετά κατάσβεση. | 1 σύλληψη. Πυρκαγιά ξεκίνησε σε ξερά χόρτα εντός οικοπέδου, επεκτάθηκε σε αγροτική έκταση με υπολείμματα σιτηρών και ελαιόδεντρα.</t>
  </si>
  <si>
    <t>Βασιλικά Θεσσαλονίκης</t>
  </si>
  <si>
    <t>αμέλεια κατά τη διάρκεια εργασιών</t>
  </si>
  <si>
    <t>112: ετοιμότητα κατοίκων Βασιλικών Π.Ε. Θεσσαλονίκης — «παραμείνετε σε ετοιμότητα και ακολουθείτε οδηγίες Αρχών»</t>
  </si>
  <si>
    <t>https://www.ertnews.gr/ert3/thessaloniki-pyrkagia-sta-vasilika-epixeiroun-kai-enaeries-dynameis-ixise-to-112/ ; https://www.tanea.gr/2026/07/14/greece/thessaloniki-pyrkagia-se-xamili-vlastisi-stin-perioxi-vasilika/ ; https://www.in.gr/2026/07/14/greece/thessaloniki-fotia-se-agrotodasiki-ektasi-sta-vasilika-konta-se-spitia-oi-floges-minyma-apo-to-112/ ; https://www.protothema.gr/greece/article/1850687/fotia-tora-sta-vasilika-thessalonikis-112-stous-katoikous-gia-etoimotita/ ; https://newpost.gr/eidiseis/thessaloniki-pyrkagia-se-agrotodasiki-ektasi-sta-vasilika-ichise-to-112-sikothikan-dyo-elikoptera/ ; https://www.naftemporiki.gr/society/2137414/fotia-tora-sta-vasilika-thessalonikis-konta-se-katoikies-minyma-toy-112/ ; https://www.capital.gr/epikairotita/4004622/purkagia-se-agrotodasiki-ektasi-sta-basilika-thessalonikis-ixise-to-112/ ; https://www.efsyn.gr/ellada/1427372/fotia-sti-thermi-thessalonikis-epiheiroyn-enaeria-mesa-ihise-to-112-gia-etoimotita-sta-vasilika/ ; https://www.tanea.gr/2026/07/15/greece/mia-syllipsi-gia-ti-fotia-sta-vasilika-thessalonikis-apo-ti-ksespase-i-pyrkagia/ ; https://www.newsbomb.gr/ellada/story/1749815/thessaloniki-apo-ergasies-perifraksis-ksespase-i-fotia-sta-vasilika-synelifthi-ena-atomo ; https://www.naftemporiki.gr/society/2137824/thessaloniki-apo-ergasies-kataskeyis-perifraxis-i-fotia-sta-vasilika-mia-syllipsi/ ; https://www.real.gr/koinonia/arthro/thessaloniki-apo-chtypima-sfyriou-se-passalo-oi-spinthires-pou-prokalesan-ti-fotia-sta-vasilika-mia-syllipsi-882640/ ; https://www.in.gr/2026/07/15/greece/thessaloniki-mia-syllipsi-gia-emprismo-apo-ameleia-gia-ti-fotia-sta-vasilika/</t>
  </si>
  <si>
    <t>Αγροτοδασική έκταση κοντά σε κατοικίες. Χρήση drone με οπτικές και θερμικές κάμερες. Αποστολή ανακριτικού κλιμακίου. | Μία σύλληψη ανακοινώθηκε την 15/7/2026 σύμφωνα με follow-up ρεπορτάζ (tanea.gr). Αιτία: αμέλεια κατά εργασίες. | Σύλληψη 1 ατόμου για εμπρησμό από αμέλεια (15/07/2026). Η πυρκαγιά ξέσπασε από σπινθήρες κατά την κατασκευή περίφραξης σε αγροτοδασική έκταση. Αναφέρονται ζημιές σε ελαιόδεντρα.</t>
  </si>
  <si>
    <t>15:37</t>
  </si>
  <si>
    <t>Λάτα Αλιβερίου (Ταμυνέων)</t>
  </si>
  <si>
    <t>2 πεζοπόρα τμήματα 20ής ΕΜΟΔΕ</t>
  </si>
  <si>
    <t>Βυτιοφόρα Δήμου Κύμης-Αλιβερίου</t>
  </si>
  <si>
    <t>Ναι</t>
  </si>
  <si>
    <t>Υπό διερεύνηση (αποστολή ανακριτικής ομάδας εμπρησμού Εύβοιας)</t>
  </si>
  <si>
    <t>12:17 προειδοποίηση ευρύτερης περιοχής· 13:50 εκκένωση Προφήτη Ηλία Αλιβερίου προς Αλιβέρι («Απομακρυνθείτε από Προφήτη Ηλία προς Αλιβέρι») | 112 12:17: ετοιμότητα ευρύτερης περιοχής· 112 13:50: εκκένωση Προφήτη Ηλία προς Αλιβέρι («Πυρκαγιά στην περιοχή σας. Αν βρίσκεστε στον Προφήτη Ηλία Αλιβερίου, απομακρυνθείτε προς Αλιβέρι»)· 2ο μήνυμα εκκένωσης Προφήτη Ηλία | 112 12:17: ετοιμότητα Λατά· 13:50: εκκένωση Προφήτη Ηλία προς Αλιβέρι | 112 12:17: ετοιμότητα κατοίκων περιοχής Προφήτη Ηλία· 112 13:50: απομάκρυνση κατοίκων από περιοχή Προφήτης Ηλίας προς Αλιβέρι | 112 12:17: ενημέρωση ετοιμότητας ευρύτερης περιοχής· 13:50: εκκένωση Προφήτη Ηλία προς Αλιβέρι</t>
  </si>
  <si>
    <t>https://www.flash.gr/fotia-tora-sto-aliveri-eyvoias-megali-kinitopoiisi-tis-pyrosvestikis-1071986 ; https://www.tanea.gr/2026/07/14/greece/eyvoia-pyrkagia-se-agrotodasiki-ektasi-stin-perioxi-lata-tou-dimou-kymis-aliveriou/ ; https://www.ertnews.gr/eidiseis/ellada/aliveri-eyvoias-megali-kinitopoiisi-gia-ti-fotia-neo-112-gia-apomakrynsi-apo-ton-profiti-ilia-kaneis-den-kindyneyse-leei-o-antidimarxos/ ; https://www.skai.gr/news/greece/fotia-sto-aliveri-eyvoias-1 ; https://www.efsyn.gr/ellada/1427307/fotia-sto-aliveri-eyvoias-ihise-to-112-epiheiroyn-ishyres-dynameis-tis-pyrosvestikis/ ; https://www.cnn.gr/ellada/story/543563/se-ekseliksi-i-pyrkagia-sto-aliveri-eyvoias-ixise-to-112-gia-ekkenosi ; https://www.newsbomb.gr/ellada/story/1749648/fotia-sto-aliveri-deytero-112-gia-ekkenosi-tou-profiti-ileia-enisxythikan-oi-dynameis ; https://www.in.gr/2026/07/14/greece/synagermos-gia-fotia-sto-aliveri-eyvoias-sikothikan-kai-enaeria-mesa/ ; https://www.pontosnews.gr/853277/ellada/megali-fotia-stin-eyvoia-ischyres-dynameis-tis-pyrosvestikis-stin-periochi/ ; https://www.ertnews.gr/eidiseis/ellada/aliveri-eyvoias-fotia-se-agrotodasiki-ektasi-neo-minyma-apo-to-112-gia-apomakrynsi-apo-tin-perioxi-profiti-ilia/ ; https://thepressproject.gr/oriothetithike-i-pyrkagia-sto-aliveri-evvoias ; https://www.lifo.gr/now/greece/fotia-sto-aliberi-enishythikan-me-80-pyrosbestes-oi-dynameis-minyma-toy-112-gia-ekkenosi ; https://www.enikos.gr/society/fotia-sto-aliveri-ichise-to-112-ekkenonetai-i-periochi-profitis-ilias/2613629/ ; https://www.athensvoice.gr/epikairotita/ellada/974927/fotia-tora-sto-aliveri-euvoias-ekkenonetai-o-profitis-ilias-neo-minuma-apo-to-112/ ; https://www.protothema.gr/greece/article/1850655/fotia-tora-stin-euvoia-kaigetai-agrotodasiki-ektasi-sto-aliveri/ ; https://www.in.gr/2026/07/14/inview/inshorts/synagermos-gia-fotia-sto-aliveri-eyvoias-sikothikan-kai-enaeria-mesa/ ; https://www.eleftherostypos.gr/ellada/evvoia-fotia-tora-sto-aliveri-apeilountai-spitia-ichise-to-112 ; https://www.ertnews.gr/eidiseis/ellada/aliveri-eyvoias-oriothetithike-i-fotia-sti-lata-den-yparxei-pleon-energo-metopo/</t>
  </si>
  <si>
    <t>Αγροτοδασική έκταση, περιοχή Λάτα. Αντιδήμαρχος: «κανείς δεν κινδύνευσε». Ένα ελικόπτερο ως συντονιστικό εναέριων μέσων. | Η φωτιά καιγόταν σε πολλαπλά σημεία με ανέμους 4 μποφόρ. Φλόγες ~300 μ. από σπίτια στον Προφήτη Ηλία (δεκάδα οικιών σε αραιοκατοικημένη περιοχή). Κατ' αντιδήμαρχο κανείς δεν κινδύνευσε. | Drone πυροσβεσίας ανίχνευσε τη φωτιά. Αντιδήμαρχος: «κανείς δεν κινδύνευσε». Σποραδικές κατοικίες 300μ από μέτωπο. | Αγροδασική έκταση με διάσπαρτες κατοικίες. Δεν κινδύνεψε κάτοικος ούτε οικία (αναπλ. αντιδήμαρχος). Οριοθετήθηκε χωρίς ενεργό μέτωπο στις 15:37. | Αγροτοδασική περιοχή Λάτα (Δ.Ε. Ταμυνέων). Αναπλ. αντιδήμαρχος: «κανείς δεν κινδύνευσε» — χωρίς τραυματισμούς ή ζημιές σε κατοικίες. Ανακριτικό κλιμάκιο εμπρησμού Ευβοίας στο σημείο. Επίπεδο κινδύνου από χάρτη ΓΓΠΠ 14/07.</t>
  </si>
  <si>
    <t>Πυρκαγιά Αλιβερίου — Λατά / Προφήτης Ηλίας</t>
  </si>
  <si>
    <t>Υδροφόρες Δήμου Κύμης-Αλιβερίου</t>
  </si>
  <si>
    <t>112 12:17: πληροφοριακό μήνυμα ετοιμότητας για ευρύτερη περιοχή Αλιβερίου· 112 13:50: εκκένωση περιοχής Προφήτη Ηλία Αλιβερίου προς Αλιβέρι («Δασική πυρκαγιά στην περιοχή σας. Αν βρίσκεστε στον Προφήτη Ηλία Αλιβερίου, απομακρυνθείτε προς Αλιβέρι»)</t>
  </si>
  <si>
    <t>https://www.ertnews.gr/eidiseis/ellada/aliveri-eyvoias-fotia-se-agrotodasiki-ektasi-neo-minyma-apo-to-112-gia-apomakrynsi-apo-tin-perioxi-profiti-ilia/ ; https://www.naftemporiki.gr/society/2137529/eyvoia-choris-energo-metopo-i-pyrkagia-sto-aliveri/ ; https://www.skai.gr/news/greece/fotia-sto-aliveri-eyvoias-1 ; https://thepressproject.gr/oriothetithike-i-pyrkagia-sto-aliveri-evvoias ; https://civilprotection.gov.gr/sites/default/files/2026-07/260714.jpg</t>
  </si>
  <si>
    <t>Αγροτοδασική έκταση στη Λατά (Δ.Κ. Ταμυνέων). Φλόγες 300μ. από οικίες. Ισχυροί άνεμοι. Χωρίς ενεργό μέτωπο — οριοθετήθηκε. Αναζωπυρώσεις παρακολουθούνταν.</t>
  </si>
  <si>
    <t>2026-07-16</t>
  </si>
  <si>
    <t>Ψακούδια Χαλκιδικής</t>
  </si>
  <si>
    <t>1 πεζοπόρο τμήμα 2ης ΕΜΑΔΕ</t>
  </si>
  <si>
    <t>Δήμος Πολυγύρου (υδροφόρες)</t>
  </si>
  <si>
    <t>https://www.cnn.gr/ellada/story/543533/synagermos-stin-pyrosvestiki-fotia-konta-se-spitia-sta-psakoydia-xalkidikis ; https://www.tanea.gr/2026/07/14/greece/xalkidiki-pyrkagia-se-agrotiki-ektasi-konta-se-katoikies-sta-psakoudia/ ; https://www.naftemporiki.gr/society/2137379/chalkidiki-elegchthike-amesa-i-pyrkagia-sta-psakoydia/ ; https://www.newsit.gr/ellada/fotia-sta-psakoudia-xalkidikis-konta-se-spitia/4728187/ ; https://www.halkidikipost.gr/2026/07/synagermos-sti-thessaloniki-megali-fotia-sta-vasilika-ichise-to-112-ischyres-dynameis-kai-enaeria-mesa-sto-simeio/ ; https://www.ertnews.gr/ert3/xalkidiki-ypo-elegxo-i-pyrkagia-sta-psakoudia/ ; https://pelop.gr/fotia-sta-psakoudia-chalkidikis-konta-se-spitia-elegchthike-mesa-se-45-lepta/</t>
  </si>
  <si>
    <t>Αγροτική/οικοπεδική έκταση κοντά σε κατοικίες. Ελέγχθηκε σε ~45 λεπτά. Αποστολή ανακριτικού κλιμακίου εμπρησμού Χαλκιδικής. | Αγροτική έκταση και οικοπεδικοί χώροι κοντά σε κατοικίες. Τέθηκε υπό πλήρη έλεγχο εντός ~45 λεπτών από την έναρξη.</t>
  </si>
  <si>
    <t>Καλαμωτό Λαγκαδά Θεσσαλονίκης</t>
  </si>
  <si>
    <t>Λαγκαδάς</t>
  </si>
  <si>
    <t>Υδροφόρες Δήμου Λαγκαδά</t>
  </si>
  <si>
    <t>Υπό διερεύνηση (Ανακριτικό Κλιμάκιο Αντιμετώπισης Εγκλημάτων Εμπρησμού Θεσσαλονίκης)</t>
  </si>
  <si>
    <t>https://www.skai.gr/news/greece/fotia-ston-lagkada-thessalonikis-kinitopoiithikan-dekades-pyrosvestes-kai-enaeria ; https://www.tanea.gr/2026/07/13/greece/thessaloniki-pyrkagia-ston-lagkada-kai-aeroskafi-sti-maxi-tis-katasvesis/ ; https://www.naftemporiki.gr/society/2137139/fotia-tora-ston-lagkada-thessalonikis-3/ ; https://www.enikos.gr/society/pyrkagia-ston-lagkada-thessalonikis-epicheiroun-kai-aeroskafi/2613224/ ; https://www.in.gr/2026/07/13/greece/thessaloniki-fotia-konta-sto-kalamoto-lagkada-sikothikan-enaeria-mesa/ ; https://www.newsbomb.gr/ellada/story/1749468/fotia-sto-lagkada-thessalonikis-epixeiroyn-dyo-aeroskafi ; https://www.newsit.gr/ellada/ypo-elegxo-i-fotia-konta-sto-kalamoto-lagkada-stin-thessaloniki-sikothikan-enaeria-mesa/4727714/ ; https://www.ertnews.gr/ert3/thessaloniki-pyrkagia-konta-sto-kalamoto-lagkada-sikothikan-enaeria-mesa/ ; https://www.rthess.gr/ellada/thessaloniki-lagkada-fotia-se-exelixi-ripseis-apo-dyo-aeroskafi/ ; https://www.firefightingreece.gr/2026/07/13/pyrosvestiki-27-agrotodasikes-pyrkagies-to-teleftaio-24oro-13/ ; https://www.emakedonia.gr/sinaghermos-ston-laghkada-epigheies-kai-enaeries-dinameis-machontai-me-tis-floghes-sto-kalamoto ; https://www.kalitheapress.gr/esvise-o-kindynos-ston-lagkada-ypo-elegcho-i-pyrkagia-stin-periochi-tis-kalamotou/</t>
  </si>
  <si>
    <t>Χαμηλή βλάστηση, μακριά από κατοικίες. Ισχυροί άνεμοι (αίτημα δημάρχου για αεροστήριξη). Ανεξάρτητη εστία από πυρκαγιά Περιβολακίου 11/7. Κατηγορία κινδύνου 4 (ΠΟΛΥ ΥΨΗΛΗ) την ίδια ημέρα για Θεσσαλονίκη–Κιλκίς. | Χαμηλή βλάστηση, ΤΚ Καλαμωτού. Χωρίς ενεργό μέτωπο. Μακριά από κατοικίες. Χάρτης ΓΓΠΠ 13/07: Θεσσαλονίκης ΠΟΛΥ ΥΨΗΛΗ (4). | Πυρκαγιά σε χαμηλή βλάστηση, μακριά από οικίες και υποδομές. Συνδρομή υδροφόρων Δήμου Λαγκαδά. | Χαμηλή βλάστηση. Αντιμετωπίστηκε άμεσα στο αρχικό στάδιο. Επίπεδο κινδύνου 4 (Πολύ Υψηλός) για Θεσσαλονίκη–Κιλκίς από ειδησεογραφικές πηγές (χάρτης 13/7 δεν κατεβάστηκε).</t>
  </si>
  <si>
    <t>Ταρσός Λεβαδέων</t>
  </si>
  <si>
    <t>2 πεζοπόρα τμήματα 4ης ΕΜΟΔΕ</t>
  </si>
  <si>
    <t>βυτιοφόρα τοπικής αυτοδιοίκησης</t>
  </si>
  <si>
    <t>https://www.newsbomb.gr/ellada/story/1749514/oriothetithike-i-pyrkagia-se-agrotodasiki-ektasi-sti-voiotia ; https://www.newsit.gr/ellada/voiotia-oriothetimeni-i-fotia-ston-tarso-stin-maxi-kai-enaeria-mesa/4727715/ ; https://www.skai.gr/news/greece/fotia-se-agrotodasiki-ektasi-ston-tarso-voiotias ; https://www.protothema.gr/greece/article/1850296/fotia-tora-ston-tarso-livadeias-4-enaeria-stin-mahi/ ; https://athina984.gr/2026/07/13/pyrkagia-se-agrotodasiki-ektasi-ston-tarso-voiotias/ ; https://www.avgi.gr/koinonia/524713_oriothetithike-i-pyrkagia-ston-tarso-boiotias-ypo-elegho-sto-lagkada</t>
  </si>
  <si>
    <t>Αγροτοδασική έκταση μακριά από κατοικίες και υποδομές. Αποστολή ανακριτικού κλιμακίου Ευβοίας για διερεύνηση αιτίου.</t>
  </si>
  <si>
    <t>2026-07-15</t>
  </si>
  <si>
    <t>Ταρσός Λειβαδιάς</t>
  </si>
  <si>
    <t>Δήμος Λεβαδέων</t>
  </si>
  <si>
    <t>2 ομάδες πεζοπόρων τμημάτων 4ης ΕΜΟΔΕ</t>
  </si>
  <si>
    <t>διερευνάται</t>
  </si>
  <si>
    <t>https://www.newsit.gr/ellada/voiotia-oriothetimeni-i-fotia-ston-tarso-stin-maxi-kai-enaeria-mesa/4727715/ ; https://www.newsbomb.gr/ellada/story/1749469/fotia-se-agrotodasiki-ektasi-sti-voiotia ; https://www.newsbomb.gr/ellada/story/1749514/oriothetithike-i-pyrkagia-se-agrotodasiki-ektasi-sti-voiotia ; https://www.efsyn.gr/ellada/1426756/pyrkagia-se-agrotodasiki-ektasi-ston-tarso-leivadias/ ; https://www.naftemporiki.gr/society/2137133/fotia-tora-sti-livadeia/ ; https://www.zougla.gr/greece/fotia-ston-tarso-livadeias-megali-kinitopoiisi-kai-enaeria-mesa-sti-machi/ ; https://www.cnn.gr/ellada/story/543433/synagermos-gia-fotia-se-agrotodasiki-ektasi-sti-voiotia-epixeiroyn-enaeria-mesa</t>
  </si>
  <si>
    <t>Αγροτοδασική έκταση, Ταρσός Λειβαδιάς. Χωρίς ενεργό μέτωπο μετά κατάσβεση. Χάρτης ΓΓΠΠ 13/07: Βοιωτίας ΥΨΗΛΗ (3).</t>
  </si>
  <si>
    <t>Καλό Λιμάνι Καλλονής</t>
  </si>
  <si>
    <t>1 ομάδα πεζοπόρων 12ης ΕΜΟΣΕ</t>
  </si>
  <si>
    <t>Υδροφόρες Δήμου Δυτικής Λέσβου</t>
  </si>
  <si>
    <t>εθελοντές τοπικής αυτοδιοίκησης</t>
  </si>
  <si>
    <t>Υπό διερεύνηση (Ανακριτικό Κλιμάκιο Εγκλημάτων Εμπρησμού)</t>
  </si>
  <si>
    <t>112 16:25 ενημέρωση/ετοιμότητα: «Παραμείνετε σε ετοιμότητα και ακολουθείτε τις οδηγίες των Αρχών» (κάτοικοι και επισκέπτες ευρύτερης περιοχής) | 112 16:25 ετοιμότητα ευρύτερης περιοχής Καλού Λιμανιού | 112 ~16:25: ετοιμότητα στην ευρύτερη περιοχή Καλού Λιμανιού — «παραμείνετε σε ετοιμότητα»</t>
  </si>
  <si>
    <t>https://www.topontiki.gr/2026/07/13/lesvos-dasiki-pirkagia-stin-periochi-kalo-limani-ichise-to-112/ ; https://www.naftemporiki.gr/society/2137070/fotia-tora-sto-kalo-limani-kallonis-lesvoy/ ; https://www.protothema.gr/greece/article/1850242/fotia-tora-sto-kalo-limani-lesvou-sikothikan-aeroskafi-kai-elikoptero/ ; https://www.skai.gr/news/greece/fotia-sto-kalo-limani-tis-lesvou ; https://www.in.gr/2026/07/13/greece/fotia-sto-kalo-limani-sti-lesvo-minyma-apo-to-112/ ; https://www.tanea.gr/2026/07/13/greece/lesvos-fotia-sto-kalo-limani-sikothikan-tria-enaeria-mesa/ ; https://www.iefimerida.gr/ellada/fotia-sto-kalo-limani-lesboy-minyma-apo-112 ; https://www.skai.gr/news/greece/fotia-se-dasiki-ektasi-sti-lesvo-kinitopoiithikan-3-enaeria ; https://www.newsbomb.gr/ellada/story/1749440/fotia-tora-sti-mytilini-sto-kalo-limani-epixeiroyn-enaeria-mesa ; https://www.neolaia.gr/2026/07/13/fotia-sti-mytilini-ichise-to-112-parameinete-se-etoimotita/</t>
  </si>
  <si>
    <t>Πυρκαγιά σε χαμηλή βλάστηση χωρίς ενεργό μέτωπο σε ~45 λεπτά. Μακριά από κατοικίες και υποδομές. | Χαμηλή βλάστηση στον Δήμο Δυτ. Λέσβου (Καλλονή). Χωρίς ενεργό μέτωπο εντός ~45 λεπτών. Χάρτης ΓΓΠΠ 13/07: Λέσβου ΥΨΗΛΗ (3). | Δασική πυρκαγιά σε χαμηλή βλάστηση. Ελέγχθηκε σε ~45 λεπτά. Αποστολή ανακριτικού κλιμακίου για διερεύνηση αιτίου.</t>
  </si>
  <si>
    <t>Νέα Κερασιά Θερμαϊκού</t>
  </si>
  <si>
    <t>Δήμος Θερμαϊκού</t>
  </si>
  <si>
    <t>1 ομάδα πεζοπόρου τμήματος 2ης ΕΜΟΔΕ</t>
  </si>
  <si>
    <t>https://www.rthess.gr/ellada/synagermos-gia-fotia-stin-nea-kerasia-thessalonikis-apogeiothikan-enaeria/ ; https://www.naftemporiki.gr/society/2137042/fotia-tora-sti-nea-kerasia-thessalonikis/ ; https://www.newsit.gr/ellada/fotia-sti-nea-kerasia-thessalonikis-syndromi-kai-apo-dyo-elikoptera/4727589/ ; https://www.ertnews.gr/ert3/thessaloniki-pyrkagia-se-xamili-vlastisi-konta-sti-n-kerasia-tou-dimou-thermaikou/ ; https://newsit.gr/ellada/fotia-sti-nea-kerasia-thessalonikis-syndromi-kai-apo-dyo-elikoptera/4727589 ; https://www.thestival.gr/eidiseis/astynomika/thessaloniki-choris-energo-metopo-i-fot-6/ ; https://www.news247.gr/ellada/fotia-sti-nea-kerasia-thessalonikis-sikothikan-elikoptera/ ; https://www.neolaia.gr/2026/07/13/thessaloniki-pyrkagia-se-chamili-vlastisi-konta-sti-n-kerasia-tou-dimou-thermaikou/</t>
  </si>
  <si>
    <t>Χαμηλή βλάστηση κοντά σε σπίτια. Κλιμάκιο εμπρησμού Θεσσαλονίκης ερευνά αιτίες. Χάρτης ΓΓΠΠ 13/07: Θεσσαλονίκης ΠΟΛΥ ΥΨΗΛΗ (4). | Χαμηλή βλάστηση κοντά σε διάσπαρτες κατοικίες. Κατασβέστηκε σε ~45 λεπτά.</t>
  </si>
  <si>
    <t>12:20</t>
  </si>
  <si>
    <t>Καπελίτσα Τροπαίων Γορτυνίας</t>
  </si>
  <si>
    <t>Δήμος Γορτυνίας</t>
  </si>
  <si>
    <t>2 ομάδες πεζοπόρων τμημάτων 9ης ΕΜΟΔΕ</t>
  </si>
  <si>
    <t>υπό διερεύνηση (ΔΑΕΕ Αρκαδίας)</t>
  </si>
  <si>
    <t>https://www.skai.gr/news/greece/fotia-stin-kapelitsa-kinitopoiithikan-dekades-pyrosvestes-kai-5-enaeria ; https://www.iefimerida.gr/ellada/fotia-stin-kapelitsa-arkadias-pyrosbestes-enaeria ; https://www.news247.gr/ellada/fotia-stin-kapelitsa-arkadias-tethike-ipo-elegxo/ ; https://www.reporter.gr/eidhseis/680580-ypo-elegxo-fotia-pou-ekdilothike-se-agrotodasiki-ektasi-tin-arkadia ; https://www.naftemporiki.gr/society/2136869/fotia-tora-sta-tropaia-gortynias-stin-arkadia/</t>
  </si>
  <si>
    <t>Αγροτοδασική έκταση, ΤΚ Καπελίτσα, Τρόπαια Γορτυνίας. Χωρίς ενεργό μέτωπο εντός 20 λεπτών. Χάρτης ΓΓΠΠ 13/07: Αρκαδίας ΥΨΗΛΗ (3). | Αγροτοδασική έκταση μακριά από κατοικίες. Τέθηκε χωρίς ενεργό μέτωπο ~20 λεπτά μετά την έναρξη. Αιτία υπό διερεύνηση.</t>
  </si>
  <si>
    <t>Άβαντας Αλεξανδρούπολης</t>
  </si>
  <si>
    <t>https://www.tanea.gr/2026/07/12/greece/aleksandroypoli-pyrkagia-se-xamili-vlastisi-ston-avanta-sto-simeio-i-pyrosvestiki-me-epige/ ; https://www.in.gr/2026/07/12/greece/aleksandroupoli-fotia-ston-avanta-epixeiroun-tessera-enaeria-mesa/ ; https://www.newsbomb.gr/ellada/story/1749287/ypo-elegxo-tethikan-oi-foties-se-thessaloniki-kai-aleksandroypoli ; https://www.ertnews.gr/perifereiakoi-stathmoi/orestiada/oriothetimeni-i-fotia-ston-avanta-aleksandroupolis/ ; https://www.primenews.press/pirkaghia-ston-avanta-epikheiroun-23-pirosvestes-kai-tessera-enaeria-mesa/ ; https://www.lifo.gr/now/greece/alexandroypoli-fotia-se-hamili-blastisi-ston-abanta-epiheiroyn-kai-enaeria-mesa ; https://www.editorial.gr/ellada/458731/oriothetimeni-i-fotia-ston-avanta-alexandroupolis/ ; https://www.cnn.gr/ellada/story/543294/ypo-elegxo-oi-foties-se-avanta-aleksandroypolis-kai-agio-athanasio-thessalonikis ; https://www.newsbomb.gr/ellada/story/1749261/fotia-ston-avanta-aleksandroypolis-epixeiroyn-tria-aeroskafi</t>
  </si>
  <si>
    <t>Χαμηλή βλάστηση στο χωριό Άβαντας. Επιβεβαίωση ελέγχου στις 13/7 (Newsbomb). Διερεύνηση ΔΑΕΕ. | Νέο περιστατικό (ανακάλυψη). Χαμηλή βλάστηση κοντά σε κατοικίες και φωτοβολταϊκά. 15 στρέμματα = 1.5 ha. Οριοθετήθηκε γρήγορα.</t>
  </si>
  <si>
    <t>Άγιος Αθανάσιος Θεσσαλονίκης</t>
  </si>
  <si>
    <t>Χαλκιδόνος</t>
  </si>
  <si>
    <t>1 ομάδα πεζοπόρου τμήματος (2η ΕΜΟΔΕ)</t>
  </si>
  <si>
    <t>https://www.ertnews.gr/eidiseis/ellada/oriothetithike-i-fotia-ston-agio-athanasio-thessalonikis/ ; https://www.emakedonia.gr/fotia-ston-agio-athanasio-minyma-112-sti-machi-tis-katasvesis-kai-dyo-elikoptera ; https://www.tanea.gr/2026/07/12/greece/fotia-ston-agio-athanasio-thessalonikis-minyma-apo-to-112-sto-simeio-35-pyrosvestes-10-oximata-kai-2-elikoptera/ ; https://parallaximag.gr/thessaloniki-news/thessaloniki-fotia-se-xera-chorta-kai-aporrimmata-ston-agio-athanasio ; https://www.thetoc.gr/koinwnia/article/oriothetithike-i-fotia-ston-agio-athanasio-thessalonikis/ ; https://www.cnn.gr/ellada/story/543294/ypo-elegxo-oi-foties-se-avanta-aleksandroypolis-kai-agio-athanasio-thessalonikis</t>
  </si>
  <si>
    <t>Πυρκαγιά σε χαμηλή βλάστηση και απορρίμματα, Δήμος Χαλκιδόνος. Οριοθετήθηκε σε ~30 λεπτά. Νέο περιστατικό εντοπίστηκε από batch 10/10.</t>
  </si>
  <si>
    <t>Άγιος Αθανάσιος Χαλκηδόνος</t>
  </si>
  <si>
    <t>Χαλκηδόνα</t>
  </si>
  <si>
    <t>1 πεζοπόρο τμήμα (2η ΕΜΟΔΕ)</t>
  </si>
  <si>
    <t>112 ~18:02 ετοιμότητα ευρύτερης περιοχής Αγ. Αθανασίου</t>
  </si>
  <si>
    <t>https://www.protothema.gr/greece/article/1849776/fotia-ston-agio-athanasio-thessalonikis-minuma-tou-112-gia-etoimotita/ ; https://www.tanea.gr/2026/07/12/greece/fotia-ston-agio-athanasio-thessalonikis-minyma-apo-to-112-sto-simeio-35-pyrosvestes-10-oximata-kai-2-elikoptera/ ; https://www.ertnews.gr/eidiseis/ellada/oriothetithike-i-fotia-ston-agio-athanasio-thessalonikis/ ; https://www.naftemporiki.gr/society/2136652/thessaloniki-mesa-se-misi-ora-oriothetithike-i-fotia-ston-agio-athanasio-chalkidonos/</t>
  </si>
  <si>
    <t>Χαμηλή βλάστηση και απορρίμματα στον Δήμο Χαλκηδόνας. 112 στις 18:02 για ετοιμότητα. Παρακολούθηση με drone (οπτική + θερμική κάμερα) από Ενιαίο ΚΕΔΧ. Διερεύνηση ΔΑΕΕ. | Χαμηλή βλάστηση και απορρίμματα. Οριοθετήθηκε εντός ~30 λεπτών. Χάρτης ΓΓΠΠ 12/07: Θεσσαλονίκης ΜΕΣΗ (2).</t>
  </si>
  <si>
    <t>2026-07-14</t>
  </si>
  <si>
    <t>Καρτσανέικα Πατρών</t>
  </si>
  <si>
    <t>Δήμος Πατρέων</t>
  </si>
  <si>
    <t>https://tomanifesto.gr/fotia-kaiei-konta-se-kataylismo-stin-patra-oriothetithike-i-fotia-ston-agio-athanasio-thessalonikis-246067</t>
  </si>
  <si>
    <t>Χαμηλή βλάστηση και απορρίμματα κοντά σε καταυλισμό. Χάρτης ΓΓΠΠ 12/07: Αχαΐας ΜΕΣΗ (2).</t>
  </si>
  <si>
    <t>Χαλκούτσι Ωρωπού</t>
  </si>
  <si>
    <t>Ωρωπός</t>
  </si>
  <si>
    <t>1 ομάδα πεζοπόρων ΕΜΟΔΕ4</t>
  </si>
  <si>
    <t>υπό διερεύνηση (Κλιμάκιο Αντιμετώπισης Εγκλημάτων Εμπρησμού)</t>
  </si>
  <si>
    <t>112 16:37 ενημέρωση/ετοιμότητα κατοίκων περιοχής Πλατανίας | 112 16:37 ετοιμότητα ευρύτερης περιοχής Χαλκουτσίου | 112: παραμείνετε σε ετοιμότητα (κάτοικοι περιοχής Πλατάνια)</t>
  </si>
  <si>
    <t>https://www.tanea.gr/2026/07/12/greece/fotia-tora-ston-oropo-minyma-apo-to-112-sto-simeio-30-pyrosvestes-kai-10-oximata/ ; https://www.protothema.gr/greece/article/1849754/fotia-tora-ston-oropo-kinitopoiisi-tis-purosvestikis/ ; https://www.skai.gr/news/greece/pyrkagia-sto-xalkoutsi ; https://www.athensvoice.gr/epikairotita/ellada/974531/se-ufesi-kai-horis-energo-metopo-i-fotia-ston-oropo/ ; https://www.newsbomb.gr/ellada/story/1749224/fotia-ston-oropo-diaspartes-esties-anamesa-se-spitia-leei-o-dimarxos-ixise-to-112 ; https://www.newsit.gr/ellada/fotia-sta-platania-oropou-ixise-to-112/4726799/ ; https://www.naftemporiki.gr/society/2136604/fotia-tora-ston-oropo-ichise-to-112-gia-etoimotita/ ; https://www.documentonews.gr/article/se-yfesi-kai-choris-energo-metopo-i-fotia-ston-oropo/ ; https://www.ertnews.gr/eidiseis/ellada/se-yfesi-kai-xoris-energo-metopo-i-pyrkagia-sto-xalkoutsi-oropou/ ; https://www.cnn.gr/ellada/story/543254/synagermos-gia-fotia-ston-oropo-estali-minyma-apo-to-112 ; https://tomanifesto.gr/pyrkagia-ston-oropo-ichise-to-112-sikothikan-tessera-enaeria-video-246060 ; https://www.thetoc.gr/koinwnia/article/fotia-tora-ston-oropo-ixise-to-to-112---parameinete-se-etoimotita/ ; https://www.zougla.gr/greece/fotia-ston-oropo-2/ ; https://www.newsbeast.gr/greece/arthro/13230795/choris-energo-metopo-i-fotia-sto-chalkoutsi-oropou-ti-mazepsan-se-80-lepta ; https://www.thetoc.gr/koinwnia/article/fotia-sto-xalkoutsi-oropou-xoris-energo-metopo-sunexizetai-i-katasbesi/ ; https://www.capital.gr/epikairotita/4004261/purkagia-se-agrotodasiki-ektasi-sto-xalkoutsi-oropou-enimerotiko-minuma-tou-112-pros-tous-katoikous/</t>
  </si>
  <si>
    <t>Αγροτοδασική έκταση με ελαιόδεντρα στο Χαλκούτσι και Πλατάνια Ωρωπού. Μήνυμα 112 στις 16:37 για ετοιμότητα. Διάσπαρτες εστίες ανάμεσα σε σπίτια (δήλωση Δημάρχου Ωρωπού). Σε ύφεση. | Αγροτοδασική έκταση. 112 για ετοιμότητα. Χωρίς ενεργό μέτωπο σε ~80 λεπτά (control_time εκτιμάται ~17:20). Εναέριο αεροσκάφος σε προληπτική περιπολία συνέβαλε καθοριστικά. | Κατεστάλη σε ~80 λεπτά. Αεροσκάφος σε προγραμματισμένη πτήση περιοχής παρείχε άμεση αεροστήριξη στο αρχικό στάδιο. | Αγροτοδασική έκταση, οικία εντός χώρου. Άμεσες ρίψεις από αεροσκάφη περιπολίας. Χωρίς ενεργό μέτωπο. Χάρτης ΓΓΠΠ 12/07: Αττικής ΥΨΗΛΗ (3). | Αγροτοδασική έκταση. Εναέριο περιπολικό πραγματοποίησε άμεσες ρίψεις. Αντιμετωπίστηκε σε ~80 λεπτά.</t>
  </si>
  <si>
    <t>15:19</t>
  </si>
  <si>
    <t>Αγιάσος Λέσβου</t>
  </si>
  <si>
    <t>1 ομάδα πεζοπόρων 12η ΕΜΟΔΕ</t>
  </si>
  <si>
    <t>https://meteo24news.gr/meteo/fotia-lesvos-agiasos-112/ ; https://www.lesvosnews.net/articles/news-categories/astynomiko-reportaz/agiasos-ypo-pliri-elegho-i-fotia-se-koyknaria-kai ; https://www.zougla.gr/greece/fotia-stin-agiaso-lesvou-ichise-112/ ; https://www.protothema.gr/greece/article/1848822/fotia-tora-stin-agiaso-tis-lesvou-ihise-to-112-gia-etoimotita/ ; https://www.tovima.gr/2026/07/10/society/lesvos-megali-fotia-stin-agiaso-minyma-tou-112-stous-katoikous</t>
  </si>
  <si>
    <t>112 μήνυμα ετοιμότητας (όχι εκκένωσης) | Φωτιά στην περιοχή Κουκναριά-Μπιζάνι Αγιάσου. ΠΡΟΣΟΧΗ: η πηγή meteo24news.gr αναφέρει ημερομηνία 10/07/2026 — πιθανή σφαλμένη καταγραφή αρχικής ημερομηνίας στο σύστημα. | Εξωτερικές πηγές (tovima.gr, lesvosnews.net) αναφέρουν ημ/νία 10/07/2026 (Παρασκευή) αντί 12/07 — ενδεχόμενη ασυμφωνία στην καταγεγραμμένη ημερομηνία. Καμένη έκταση δεν εντοπίστηκε.</t>
  </si>
  <si>
    <t>Αλιβέρι</t>
  </si>
  <si>
    <t>1 πεζοπόρο τμήμα (20η ΕΜΟΔΕ)</t>
  </si>
  <si>
    <t>https://www.tanea.gr/2026/07/12/greece/fotia-tora-sto-aliveri-eyvoias-oi-floges-kaine-konta-se-spitia/</t>
  </si>
  <si>
    <t>Πυρκαγιά κοντά σε σπίτια. Υπό πλήρη έλεγχο σε 15 λεπτά.</t>
  </si>
  <si>
    <t>2026-07-13</t>
  </si>
  <si>
    <t>Δελβινάκι Πωγωνίου</t>
  </si>
  <si>
    <t>2 ομάδες πεζοπόρων τμημάτων 5ης ΕΜΟΔΕ</t>
  </si>
  <si>
    <t>https://www.iefimerida.gr/ellada/fotia-se-dysprositi-periohi-delbinaki-ioanninon</t>
  </si>
  <si>
    <t>Δυσπρόσιτη αγροτοδασική έκταση. Μέρος 24ωρου δελτίου 27 πυρκαγιών (12-13/07). Χάρτης ΓΓΠΠ 12/07: Ιωαννίνων ΜΕΣΗ (2).</t>
  </si>
  <si>
    <t>Ασπρόπυργος – Λάκκα Κάτσαρη</t>
  </si>
  <si>
    <t>https://www.thetoc.gr/koinwnia/article/fotia-tora-ston-aspropurgo-kaigontai-xorta-kai-skoupidia-sti-lakka-katsari/ ; https://www.ertnews.gr/roi-idiseon/fotia-ston-aspropyrgo-megali-kinitopoiisi-tis-pyrosvestikis-sti-lakka-katsari/ ; https://www.ertnews.gr/eidiseis/ellada/oriothetimeni-i-pyrkagia-se-xamili-vlastisi-ston-aspropyrgo/ ; https://www.ertnews.gr/roi-idiseon/ypo-elegxo-i-fotia-ston-aspropyrgo-megali-kinitopoiisi-tis-pyrosvestikis-sti-lakka-katsari/ ; https://www.cnn.gr/ellada/story/543233/synagermos-gia-fotia-ston-aspropyrgo-kaiei-ksera-xorta-kai-skoupidia ; https://www.alt.gr/pyrkagia-xespase-se-chamili-vlastisi-k/ ; https://www.newsbeast.gr/greece/arthro/13230557/kinitopoiisi-tis-pyrosvestikis-gia-fotia-sti-thesi-lakka-katsari-tou-aspropyrgou-kaiei-xera-chorta-kai-skoupidia ; https://www.skai.gr/news/greece/fotia-ston-aspropyrgo-kaiei-se-xamili-vlastisi-sti-lakka-katsari</t>
  </si>
  <si>
    <t>Χόρτα και απορρίμματα στη Λάκκα Κάτσαρη. Μεγάλη κινητοποίηση Πυροσβεστικής. Αρ. δυνάμεων μη αναφερόμενος στις πηγές. | Χαμηλή βλάστηση και απορρίμματα. Δεν απειλήθηκαν κατοικίες. Drone παρακολούθηση με θερμική/οπτική κάμερα από ΚΕΠΥΚ.</t>
  </si>
  <si>
    <t>Πάτρα</t>
  </si>
  <si>
    <t>https://www.tanea.gr/2026/07/12/greece/fotia-tora-stin-patra-kaiei-xamili-vlastisi-kai-aporrimmata/</t>
  </si>
  <si>
    <t>Χαμηλή βλάστηση και απορρίμματα. Αρ. δυνάμεων μη αναφερόμενος στις διαθέσιμες πηγές.</t>
  </si>
  <si>
    <t>19:34</t>
  </si>
  <si>
    <t>Δελβινάκι Ιωαννίνων</t>
  </si>
  <si>
    <t>4 πεζοπόρα τμήματα 5ης &amp; 8ης ΕΜΟΔΕ</t>
  </si>
  <si>
    <t>https://www.cnn.gr/ellada/story/543250/synagermos-gia-pyrkagia-sto-delvinaki-ioanninon-sikothikan-tria-elikoptera ; https://www.protothema.gr/greece/article/1849732/fotia-sto-delvinaki-ioanninon-sikothike-1-elikoptero/ ; https://tomanifesto.gr/fotia-tora-ston-avanta-alexandroypolis-oriothetithike-sto-delvinaki-ioanninon-photo-246071 ; https://newpost.gr/eidiseis/fotia-sto-delvinaki-ioanninon-dyskoli-epicheirisi-se-dysprositi-dasiki-ektasi/ ; https://www.documentonews.gr/article/fotia-sto-delvinaki-ioanninon-enischythikan-oi-dynameis-sikothikan-3-enaeria-mesa/ ; https://www.iefimerida.gr/ellada/fotia-se-dysprositi-periohi-delbinaki-ioanninon ; https://www.madata.gr/epikairotita/social/970980-synagermos-gia-fotia-sto-delvinaki-ioanninon-poly-ypshlos-kindynos-th-deytera-kai-apagoreyseis-kykloforias.html</t>
  </si>
  <si>
    <t>Αγροτοδασική έκταση. Ώρα έναρξης άγνωστη (απόγευμα Κυριακής). | Δυσπρόσιτη αγροτοδασική έκταση. Έναρξη λίγο πριν από τις 14:00. Αιτία υπό διερεύνηση από Ανακριτικό Κλιμάκιο Εμπρησμού Ιωαννίνων.</t>
  </si>
  <si>
    <t>Παραμυθιά Θεσπρωτίας</t>
  </si>
  <si>
    <t>Δήμος Σουλίου</t>
  </si>
  <si>
    <t>πεζοπόρα τμήματα</t>
  </si>
  <si>
    <t>Βυτιοφόρα &amp; μηχανήματα έργου Δήμου Σουλίου</t>
  </si>
  <si>
    <t>112: εκκένωση οικισμού Γαλατά προς Καριώτι</t>
  </si>
  <si>
    <t>https://www.tanea.gr/2026/07/11/greece/fotia-stin-thesprotia-dyo-metopa-se-kampo-kai-kato-paramythia-epixeiroun-25-pyrosvestes-kai-2-aeroskafi/ ; https://www.ertnews.gr/eidiseis/ellada/ypo-elegxo-i-fotia-stin-paramythia-thesprotias-paramenoun-isxyres-dynameis-sto-simeio/ ; https://www.newsbomb.gr/ellada/story/1749089/oriothetithikan-oi-dyo-foties-stin-paramythia-ypo-elegxo-i-pyrkagia-sto-perivolaki-thessalonikis</t>
  </si>
  <si>
    <t>Δύο πύρινα μέτωπα (κάμπος &amp; κάτω Παραμυθιά) με διαφορά 20 λεπτών. Σύνολο: 38 πυροσβέστες + 15 μέλη πεζοπόρων = 53.</t>
  </si>
  <si>
    <t>υδροφόρες Περιφέρειας Αττικής</t>
  </si>
  <si>
    <t>https://www.pontosnews.gr/852908/ellada/fotia-ston-aspropyrgo-konta-sto-kanali-toy-mornoy/ ; https://www.news247.gr/ellada/fotia-ston-aspropirgo-sikothikan-enaeria/ ; https://www.newsbomb.gr/ellada/story/1750215/oriothetithike-i-fotia-ston-aspropyrgo ; https://www.cnn.gr/ellada/story/543156/synagermos-gia-fotia-ston-aspropyrgo-oriothetithike-amesa-apo-tin-pyrosvestiki ; https://www.ertnews.gr/eidiseis/ellada/oriothetimeni-i-pyrkagia-se-xamili-vlastisi-ston-aspropyrgo/</t>
  </si>
  <si>
    <t>Χαμηλή βλάστηση κοντά στο κανάλι του Μόρνου, προς τη Χασιά. Δεν απειλούσε κατοικίες. Ανακριτικό Κλιμάκιο Εμπρησμού στην περιοχή. | Χαμηλή βλάστηση κοντά στο κανάλι Μόρνου, προς Χασιά. Οριοθετήθηκε σε ~40 λεπτά (~18:25). Δεν απειλήθηκαν κατοικίες.</t>
  </si>
  <si>
    <t>15:33</t>
  </si>
  <si>
    <t>Περιβολάκι Θεσσαλονίκης</t>
  </si>
  <si>
    <t>Υδροφόρες Περιφέρειας Κεντρικής Μακεδονίας</t>
  </si>
  <si>
    <t>https://www.thetoc.gr/koinwnia/article/fotia-sto-peribolaki-thessalonikis-minuma-tou-112---ekkenonetai-o-oikismos-enisxuthikan-oi-dunameis-purosbesis/ ; https://www.cnn.gr/ellada/story/543133/fotia-sto-perivolaki-thessalonikis-ixise-to-112-gia-etoimotita ; https://www.in.gr/2026/07/11/greece/fotia-sto-perivolaki-thessalonikis-ixise-to-112/amp/ ; https://www.newsbomb.gr/ellada/story/1749089/oriothetithikan-oi-dyo-foties-stin-paramythia-ypo-elegxo-i-pyrkagia-sto-perivolaki-thessalonikis ; https://www.pontosnews.gr/852891/ellada/fotia-ston-lagkada-megali-kinitopoiisi-tis-pyrosvestikis-konta-sto-perivolaki/ ; https://www.protothema.gr/greece/article/1849359/fotia-tora-sto-perivolaki-thessalonikis-ihise-to-112-gia-etoimotita/ ; https://www.madata.gr/epikairotita/social/970938-synagermos-sth-thessalonikh-ekkenonetai-to-perivolaki-lagkada-logo-megalhs-pyrkagias.html ; https://www.naftemporiki.gr/society/2136340/fotia-tora-sto-perivolaki-lagkada-ischyres-pyrosvestikes-dynameis-minyma-112-stoys-katoikoys/ ; https://www.thetoc.gr/koinwnia/article/fotia-sto-perivolaki-thessalonikis-minuma-tou-112---ekkenonetai-o-oikismos-enisxuthikan-oi-dunameis-purosbesis/ ; https://www.skai.gr/news/greece/oriothetimeni-i-pyrkagia-sto-perivolaki-lagkada-synexizetai-i-epixeirisi-plirous-katasvesi</t>
  </si>
  <si>
    <t>Χαμηλή βλάστηση και απορρίμματα κοντά σε αρδευτικό κανάλι, μικρή απόσταση από οικισμό. Εστάλη 112 για εκκένωση και ετοιμότητα. Δυνάμεις ενισχύθηκαν. Τελικά υπό έλεγχο. | Γεωργο-δασική πυρκαγιά σε χαμηλή βλάστηση και υλικά κοντά στον οικισμό Περιβολάκι. Δύο μηνύματα 112: πρώτα ετοιμότητα, μετά εκκένωση προς Λαγκαδά. | Γεωργο-δασική πυρκαγιά με ταχεία εξάπλωση. 112 στις 16:23 για εκκένωση οικισμού προς Λαγκαδά. «Πλήρης εξέλιξη» κατά τη δημοσίευση (17:00). Δεν εντοπίστηκε ρητή επιβεβαίωση κατάσβεσης. | ~120 στρέμματα (εκ των οποίων ~10 γεωργική, ~110 δασική έκταση) = 12 ha. Εκκένωση οικισμού (112). Αιτία υπό διερεύνηση. Σε ύφεση ως τελευταία ενημέρωση — δεν επιβεβαιώθηκε οριοθέτηση.</t>
  </si>
  <si>
    <t>Τάχι Θήβας</t>
  </si>
  <si>
    <t>υδροφόρες Δήμου Θήβας</t>
  </si>
  <si>
    <t>https://www.skai.gr/news/greece/pyrkagia-sto-taxi-thivas</t>
  </si>
  <si>
    <t>Αγροτοδασική έκταση. Επίγειες και εναέριες δυνάμεις (αριθμός εναέριων αδιευκρίνιστος). ΑΚΑ Βοιωτίας ανέλαβε έρευνα αιτίου.</t>
  </si>
  <si>
    <t>2026-07-12</t>
  </si>
  <si>
    <t>Περιβολάκι Λαγκαδά</t>
  </si>
  <si>
    <t>Υπό διερεύνηση (Ανακριτικό Κλιμάκιο Εγκλημάτων Εμπρησμού Θεσσαλονίκης)</t>
  </si>
  <si>
    <t>112 15:27 ενημέρωση/ετοιμότητα κατοίκων Περιβολακίου· 112 16:23 εκκένωση Περιβολακίου προς Λαγκαδά | 112 15:27 ετοιμότητα Περιβολάκι· 16:23 εκκένωση Περιβολάκι προς Λαγκαδά | Πολλαπλά μηνύματα 112: αρχικά ετοιμότητα κατοίκων· στη συνέχεια εκκένωση Περιβολακίου προς Λαγκαδά («Απομακρυνθείτε προς Λαγκαδά»)</t>
  </si>
  <si>
    <t>https://www.thetoc.gr/koinwnia/article/fotia-sto-peribolaki-thessalonikis-minuma-tou-112---ekkenonetai-o-oikismos-enisxuthikan-oi-dunameis-purosbesis/ ; https://www.naftemporiki.gr/society/2136340/fotia-tora-sto-perivolaki-lagkada-ischyres-pyrosvestikes-dynameis-minyma-112-stoys-katoikoys/ ; https://www.dnews.gr/eidhseis/ellada/599164/fotia-tora-sti-thessaloniki ; https://www.in.gr/2026/07/12/greece/thessaloniki-oriothetimeni-i-fotia-sto-perivolaki-lagkada-synexizetai-i-epixeirisi-katasvesis/ ; https://www.newsbomb.gr/ellada/story/1749069/fotia-sto-perivolaki-thessalonikis-neo-112-gia-ekkenosi-pros-lagkada-enisxythikan-oi-dynameis ; https://www.cnn.gr/ellada/story/543152/neo-112-gia-ti-fotia-sto-perivolaki-thessalonikis-apomakryntheite-pros-lagkada ; https://www.tanea.gr/2026/07/11/greece/se-yfesi-i-fotia-sto-perivolaki-lagkada-ypo-elegxo-kai-i-pyrkagia-sta-lavara-evroy/ ; https://www.alfavita.gr/koinonia/553309_pyrkagia-sti-thessaloniki-ishyres-epigeies-kai-enaeries-dynameis-mahontai-me-tis ; https://www.skai.gr/news/greece/oriothetimeni-i-pyrkagia-sto-perivolaki-lagkada-synexizetai-i-epixeirisi-plirous-katasvesi ; https://www.protothema.gr/greece/article/1849359/fotia-tora-sto-perivolaki-thessalonikis-ihise-to-112-gia-etoimotita/ ; https://www.cnn.gr/ellada/story/543133/fotia-sto-perivolaki-thessalonikis-ixise-to-112-gia-etoimotita ; https://www.cnn.gr/ellada/story/543158/se-yfesi-i-fotia-sto-perivolaki-thessalonikis ; https://www.in.gr/2026/07/11/greece/fotia-sto-perivolaki-thessalonikis-ixise-to-112/amp/ ; https://www.newsbomb.gr/ellada/story/1749089/oriothetithikan-oi-dyo-foties-stin-paramythia-ypo-elegxo-i-pyrkagia-sto-perivolaki-thessalonikis ; https://www.thetoc.gr/koinwnia/article/fotia-sto-perivolaki-thessalonikis-minuma-tou-112---ekkenonetai-o-oikismos-enisthikan-oi-dunameis-purosbesis/ ; https://www.newsbeast.gr/greece/arthro/13230338/oriothetithike-i-fotia-sto-perivolaki-lagkada-synechizetai-i-epicheirisi-plirous-katasvesis ; https://www.protothema.gr/greece/article/1849578/thessalonikioriothetimeni-i-purkagia-sto-perivolaki-lagada-sunehizetai-i-epiheirisi-plirous-katasvesis/ ; https://www.tanea.gr/2026/07/12/greece/thessaloniki-oriothetimeni-i-fotia-sto-perivolaki-lagkada-synexizetai-i-epixeirisi-katasve/</t>
  </si>
  <si>
    <t>Πυρκαγιά σε χαμηλή βλάστηση και απορρίμματα πλησίον αρδευτικού καναλιού· γρήγορη εξάπλωση προς οικισμό Περιβολακίου· οριοθετήθηκε το πρωί 12/7, συνεχίστηκε επιχείρηση πλήρους κατάσβεσης. | 120 στρέμματα καμένα (10 αγρ. + 110 δασ. = 12 ha). Yutori: «Περιβόλι, Θεσσαλονίκη». Σε ύφεση βάσει tanea.gr (11/07). Χάρτης ΓΓΠΠ 11/07: Θεσσαλονίκης ΜΕΣΗ (2). | Φωτιά σε χόρτα/απορρίμματα κοντά σε αρδευτικό κανάλι και οικισμό.</t>
  </si>
  <si>
    <t>21:24</t>
  </si>
  <si>
    <t>Γαλάτας – Κάμπος Παραμυθιάς</t>
  </si>
  <si>
    <t>2 πεζοπόρες ομάδες (5η ΕΜΟΔΕ)</t>
  </si>
  <si>
    <t>εκσκαφείς και βυτιοφόρα Περιφέρειας Ηπείρου</t>
  </si>
  <si>
    <t>υπό διερεύνηση (Ανακριτικό Κλιμάκιο Ιωαννίνων)</t>
  </si>
  <si>
    <t>112 17:45 εκκένωση/απομάκρυνση κατοίκων Γαλατά προς Καριώτη | 112 εκκένωση Γαλάτα προς Καραΐτη</t>
  </si>
  <si>
    <t>https://www.dnews.gr/eidhseis/ellada/599173/fotia-tora-sti-thesprotia-ixise-to-112 ; https://www.in.gr/2026/07/11/greece/fotia-stin-paramythia-thesprotias-minyma-tou-112-gia-ekkenosi-tou-galata/ ; https://www.protothema.gr/greece/article/1849385/fotia-tora-ston-kabo-paramuthias-ioanninon-epiheirei-kai-ena-elikoptero/ ; https://www.tanea.gr/2026/07/11/greece/fotia-stin-thesprotia-dyo-metopa-se-kampo-kai-kato-paramythia-epixeiroun-25-pyrosvestes-kai-2-aeroskafi/ ; https://www.skaikritis.gr/pyrkagia-se-agrotodasiki-ektasi-ston-kabo-paramythias-ioanninon/ ; https://www.newsbomb.gr/ellada/story/1749089/oriothetithikan-oi-dyo-foties-stin-paramythia-ypo-elegxo-i-pyrkagia-sto-perivolaki-thessalonikis ; https://www.cnn.gr/ellada/story/543154/synagermos-gia-fotia-stin-paramythia-thesprotias-ixise-to-112-gia-ekkenosi ; https://www.ekriti.gr/ellada/fotia-sti-thesprotia-dyo-metopa-stin-periohi-paramythias-ekkenonetai-o-galatas ; https://www.documentonews.gr/article/fotia-stin-paramythia-thesprotias-ichise-to-112-gia-ekkenosi-tou-galata/ ; https://www.newsit.gr/ellada/dyo-foties-sti-thesprotia-stin-perioxi-tou-kampou-paramythias-minyma-apo-to-112/4726250/ ; https://www.tovima.gr/2026/07/11/society/fotia-sti-thesprotia-dyo-metopa-stin-perioxi-paramythias-ekkenonetai-o-galatas ; https://www.thesprotia24.gr/2026/07/20-6.html ; https://pelop.gr/thesprotia-oriothetithikan-oi-dyo-pyrkagies-ston-kabo-paramythias-einai-choris-energo-metopo/ ; https://www.tanea.gr/2026/07/11/greece/fotia-ston-kampo-paramythias-ioanninon-sti-maxi-epigeies-kai-enaeries-dynameis/ ; https://www.ertnews.gr/eidiseis/ellada/ypo-elegxo-i-fotia-stin-paramythia-thesprotias-paramenoun-isxyres-dynameis-sto-simeio/ ; https://www.libre.gr/2026/07/11/thesprotia-choris-energo-metopo-oi-dyo-f/ ; https://www.capital.gr/epikairotita/4004186/fotia-se-dasiki-ektasi-stin-paramuthia-estali-minuma-ekkenosis-apo-to-112/</t>
  </si>
  <si>
    <t>Δύο εστίες ~20 λεπτά μεταξύ τους· 112 στις 17:45 εκκένωση Γαλατά προς Καριώτη· στις 12/7 εξακολουθούν να επιχειρούν 48 πυροσβέστες+15 οχήματα+4 αεροσκάφη+1 ελικόπτερο | Δύο μέτωπα που άνοιξαν με 20λεπτη διαφορά στην περιοχή Παραμυθιάς. Εκκένωση οικισμού Γαλατά προς Καριώτη μέσω 112. ΑΚΑ Ιωαννίνων ανέλαβε έρευνα αιτίου. | Δύο ξεχωριστές εστίες στην περιοχή Κάμπου Παραμυθίας, ~20 λεπτά απόσταση μεταξύ τους — χαρακτηρίστηκε ύποπτο. Εκκλήθηκε το Ανακριτικό Κλιμάκιο Εγκλημάτων Εμπρησμού (ΔΑΕΕ) Ιωαννίνων. Μήνυμα 112 στις 17:45 για εκκένωση Γαλατά προς Καριώτη. Οριοθετήθηκε χωρίς ενεργό μέτωπο ~2 ώρες μετά. | Δύο εστίες με διαφορά ~20 λεπτών. Yutori: «Γαλάτα, Θεσπρωτία». Έρευνα αιτιών από Ανακριτικό Κλιμάκιο Ιωαννίνων. Χάρτης ΓΓΠΠ 11/07: Θεσπρωτίας ΜΕΣΗ (2). | Δύο μέτωπα: (α) δασική έκταση κοντά στο πάρκινγκ Λαμπόβου / εκκλησία Αγίας Παρασκευής, (β) αγροτοδασική έκταση στον κάμπο Παραμυθιάς. 112 για εκκένωση περιοχής Γαλάτα προς Καριώτη (18:07). Ισχυρές δυνάμεις παρέμειναν στο σημείο. control_time ≈ ώρα τελευταίας ενημέρωσης ertnews. | Δύο εστίες: (α) δασική έκταση πλησίον χώρου στάθμευσης Λάμποβα–Αγίας Παρασκευής, (β) αγροτοδασική έκταση πεδιάδας Παραμυθιάς. Ισχυρές δυνάμεις παρέμειναν στο σημείο μετά τον έλεγχο. | ΔΥΟ ξεχωριστές πυρκαγιές με διαφορά ~20 λεπτών: μία στον Κάμπο Παραμυθιάς, μία κοντά στον Γαλάτα. Εστάλη 112 για άμεση εκκένωση Γαλατά προς Καριώτη. Στοιχεία δυνάμεων αφορούν και τις δύο φωτιές συνολικά. Αμφότερες οριοθετήθηκαν.</t>
  </si>
  <si>
    <t>Λάβαρα Έβρου</t>
  </si>
  <si>
    <t>Λάβαρα</t>
  </si>
  <si>
    <t>https://www.insider.gr/eidiseis/417080/ebros-pyrkagia-se-agrotodasiki-ektasi-sta-labara ; https://www.zougla.gr/greece/choris-energi-floga-i-agrotodasiki-ektasi-ston-evro/ ; https://www.newsbomb.gr/ellada/story/1749045/fotia-sta-lavara-evrou-xoris-energi-floga-meta-tin-kinitopoiisi-tis-pyrosvestikis ; https://www.documentonews.gr/article/ypo-elegcho-i-fotia-sta-lavara-evrou-dierevnontai-ta-aitia/ ; https://www.news247.gr/ellada/fotia-sta-lavara-evrou-apeileitai-ktinotrofiki-monada/ ; https://www.topontiki.gr/2026/07/11/evros-choris-energi-floga-i-agrotodasiki-ektasi-sta-lavara/ ; https://www.tanea.gr/2026/07/11/greece/evros-fotia-se-agrotodasiki-ektasi-sta-lavara-stis-floges-ktinotrofiki-monada/</t>
  </si>
  <si>
    <t>Αγροτοδασική έκταση. Η πυρκαγιά πλησίασε χώρο κτηνοτροφικής μονάδας με δέματα σανού. Μακριά από κατοικίες. Ανακριτικό Κλιμάκιο Εμπρησμού Έβρου στην περιοχή. | Αγροτοδασική έκταση. Αιτία υπό διερεύνηση. | Αγροτοδασική έκταση με κτηνοτροφική μονάδα (χωρίς ζώα). Κάηκαν 2 αποθήκες και 2.000–4.000 δεμάτια σανού. Έρευνα από Ανακριτικό Κλιμάκιο Εμπρησμών Έβρου. Χωρίς ενεργή φλόγα μετά κινητοποίηση. | Πυρκαγιά σε αγροτοδασική έκταση μακριά από κατοικίες· εγγύς κτηνοτροφικής εγκατάστασης με αποθηκευμένα δεμάτια άχυρου. Κινητοποίηση Ανακριτικού Κλιμακίου Εμπρησμού. | Κτηνοτροφική μονάδα επλήγη: 2 στέγαστρα κατεστράφησαν, χιλιάδες μπάλες άχυρου κάηκαν (2.000–4.000). Ο χώρος λειτουργούσε ως αποθήκη ζωοτροφών (χωρίς ζώα κατά την έναρξη).</t>
  </si>
  <si>
    <t>Λάβαρα Σουφλίου</t>
  </si>
  <si>
    <t>Δήμος Σουφλίου</t>
  </si>
  <si>
    <t>https://www.insider.gr/eidiseis/417080/ebros-pyrkagia-se-agrotodasiki-ektasi-sta-labara?amp ; https://www.newsbomb.gr/ellada/story/1749045/fotia-sta-lavara-evrou-xoris-energi-floga-meta-tin-kinitopoiisi-tis-pyrosvestikis ; https://www.tanea.gr/2026/07/11/greece/se-yfesi-i-fotia-sto-perivolaki-lagkada-ypo-elegxo-kai-i-pyrkagia-sta-lavara-evroy/ ; https://www.in.gr/2026/07/11/greece/evros-xoris-energi-estia-i-fotia-sta-lavara/ ; https://www.news247.gr/ellada/fotia-sta-lavara-evrou-apeileitai-ktinotrofiki-monada/ ; https://www.topontiki.gr/2026/07/11/evros-choris-energi-floga-i-agrotodasiki-ektasi-sta-lavara/</t>
  </si>
  <si>
    <t>Κινδύνευσε κτηνοτροφική μονάδα (αχυρόδεματα). Χωρίς ενεργή εστία μετά κινητοποίηση. Αρχικά ~28 πυρ, 9 οχ. Χάρτης ΓΓΠΠ 11/07: Έβρου ΜΕΣΗ (2). | Ίδιο συμβάν με Λάβαρα Έβρου. Κτηνοτροφική μονάδα επλήγη (2 στέγαστρα, μπάλες άχυρου). Χωρίς ενεργή φλόγα μετά την κινητοποίηση.</t>
  </si>
  <si>
    <t>Νέοι Επιβάτες</t>
  </si>
  <si>
    <t>υδροφόρες Περιφέρειας Κεντρικής Μακεδονίας</t>
  </si>
  <si>
    <t>υπό έρευνα</t>
  </si>
  <si>
    <t>https://www.ereportaz.gr/nea-fotia-sti-thessaloniki-stin-periochi-neoi-epivates/ ; https://www.athensvoice.gr/epikairotita/ellada/973145/oriothetithike-i-fotia-sti-thessaloniki-stin-periohi-neoi-epivates/ ; https://www.documentonews.gr/article/fotia-tora-stous-neous-epivates-thessalonikis-minyma-tou-112-gia-etoimotita/ ; https://www.newsit.gr/ellada/oriothetithike-i-fotia-sti-thessaloniki-stin-perioxi-neoi-epivates-minyma-tou-112-gia-etoimotita/4720274/ ; https://www.skai.gr/news/greece/fotia-stous-neous-epivates-thessalonikis ; https://civilprotection.gov.gr/sites/default/files/2026-07/260710.jpg</t>
  </si>
  <si>
    <t>Χαμηλή βλάστηση. 112 μήνυμα ετοιμότητας. Ανακριτικό Κλιμάκιο Εμπρησμού Θεσσαλονίκης στο σημείο. Χάρτης ΓΓΠΠ 10/7: Θεσσαλονίκη κίτρινο (3-ΥΨΗΛΗ). | ΠΡΟΣΟΧΗ ΗΜΕΡΟΜΗΝΙΑΣ: Βάσει πηγών (athensvoice.gr, in.gr) η φωτιά εκδηλώθηκε 04/07/2026 ~16:30 — η καταχωρισμένη ημερομηνία 2026-07-10 πιθανώς σφάλμα. Προτείνεται επαλήθευση και διόρθωση σε 2026-07-04.</t>
  </si>
  <si>
    <t>Πάμφιλα-Σκάλα Πάμφιλης Λέσβου</t>
  </si>
  <si>
    <t>1 ομάδα πεζοπόρων 12ης ΕΜΟΔΕ</t>
  </si>
  <si>
    <t>υπό διερεύνηση (Κλιμάκιο Εμπρησμού Λέσβου)</t>
  </si>
  <si>
    <t>https://www.dnews.gr/eidhseis/ellada/599014/lesvos-fotia-tora-sta-pamfila ; https://www.skai.gr/news/greece/pyrkagia-se-agrotiki-ektasi-sta-pamfila-lesvou ; https://www.naftemporiki.gr/society/2136053/lesvos-pyrkagia-tora-kai-sta-pamfila/ ; https://www.stonisi.gr/post/113998/fwtia-sta-pamfila-apo-ekrhksh-kolwnas-ths-deddhe ; https://www.enikos.gr/society/lesvos-fotia-se-agrotiki-ektasi-sta-pamfila-epicheiroun-epigeies-kai-enaeries-dynameis/2611886/ ; https://www.iefimerida.gr/ellada/fotia-stin-pamfila-lesboy-epiheiroyn-dyo-enaeria ; https://aeolos.tv/138248/synagermos-gia-fotia-metaxy-pamfilon-kai-skalas-pamfilon/ ; https://nealesvou.gr/ekrixi-metaschimatisti-kai-fotia-sti-skala-pamfilon/</t>
  </si>
  <si>
    <t>Αγροτική έκταση, μεταξύ Πάμφιλης και Σκάλας Πάμφιλης. Κατασβέστηκε γρήγορα. Ίδια ημέρα με πυρκαγιά Αγιάσου — πόροι 12ης ΕΜΟΔΕ μοιράστηκαν. danger_level 2 βάσει ΓΓΠΠ χάρτη 10/07/2026. | Αγροτική έκταση. Δεν απειλήθηκαν κατοικίες. Ταυτόχρονα με πυρκαγιά Αγιάσου – συνδυαστική κινητοποίηση στο νησί. Χάρτης ΓΓΠΠ 10/7: Λέσβου ΥΨΗΛΗ.</t>
  </si>
  <si>
    <t>Παναγία Βόνιτσας</t>
  </si>
  <si>
    <t>Ακτίου-Βόνιτσας</t>
  </si>
  <si>
    <t>μηχανήματα Δήμου (αντιπυρικές ζώνες)</t>
  </si>
  <si>
    <t>διερευνάται (Ανακριτικό Κλιμάκιο Εμπρησμού Λευκάδας)</t>
  </si>
  <si>
    <t>https://www.newsit.gr/ellada/fotia-sti-vonitsa-stin-perioxi-panagia-epixeiroun-kai-enaeria-mesa/4725532/ ; https://www.naftemporiki.gr/society/2136038/fotia-tora-stin-panagia-vonitsas-sikothikan-4-aeroskafi/ ; https://www.skai.gr/news/greece/fotia-se-agrotodasiki-ektasi-stin-perioxi-panagia-vonitsas ; https://www.huffingtonpost.gr/kinonia/fotia-stin-panagia-vonitsas-epicheiroun-kai-enaeria/ ; https://www.agriniosite.gr/pyrkagia-sti-nea-kamarina-vonitsas-ischyri-kinitopoiisi-tis-pyrosvestikis-kai-toy-dimoy/ ; https://www.skaikritis.gr/choris-energo-metopo-i-fotia-se-agrotodasiki-ektasi-stin-periochi-panagia-vonitsas/ ; https://thepressproject.gr/fotia-konta-sti-vonitsa-epicheiroun-4-aeroskafi-kai-19-pyrosvestes/ ; https://www.protothema.gr/greece/article/1848853/fotia-tora-stin-panagia-vonitsas-epiheiroun-tessera-aeroskafi/</t>
  </si>
  <si>
    <t>Πυρκαγιά σε αγροτοδασική έκταση (χαμηλή βλάστηση). Χωρίς ενεργό μέτωπο. Δεν απειλήθηκαν κατοικίες ή υποδομές. | Δρόμος προς Διασπορά, περιοχή Παναγία. Επιχείρησαν αεροσκάφη και ελικόπτερο (αριθμοί αδιευκρίνιστοι). Χωρίς ενεργό μέτωπο μετά άμεση επέμβαση. danger_level 2 βάσει ΓΓΠΠ χάρτη 10/07/2026. | Αγροτοδασική έκταση. Δεν απειλήθηκαν κατοικίες ή υποδομές. Χάρτης ΓΓΠΠ 10/7: Αιτωλοακαρνανία ΜΕΣΗ. | Αγροτοδασική έκταση. ΑΚΑ Λευκάδας ανέλαβε έρευνα αιτίου. | Αγροτοδασική έκταση. Δεν υπήρξε απειλή σε κατοικίες ή υποδομές. Δεν εστάλη 112 για εκκένωση.</t>
  </si>
  <si>
    <t>21:04</t>
  </si>
  <si>
    <t>Διαβατά</t>
  </si>
  <si>
    <t>Κορδελιού-Ευόσμου</t>
  </si>
  <si>
    <t>διερευνάται (Ανακριτικό Κλιμάκιο Εμπρησμού Θεσσαλονίκης)</t>
  </si>
  <si>
    <t>https://www.in.gr/2026/07/10/greece/fotia-konta-se-viomixaniki-perioxi-sta-diavata-thessalonikis-ixise-to-112/ ; https://www.naftemporiki.gr/society/2136019/fotia-tora-sta-diavata-thessalonikis-minyma-apo-to-112/ ; https://www.newsit.gr/ellada/thessaloniki-fotia-sta-ypsomata-diavaton-ixise-to-112-gia-etoimotita/4725454/ ; https://thepressproject.gr/treis-pyrkagies-se-exelixi-se-serres-thessaloniki-kai-lesvo-epicheiroun-ischyres-dynameis-minymata-apo-to-112-stous-katoikous/ ; https://www.ertnews.gr/roi-idiseon/thessaloniki-synagermos-stin-pyrosvestiki-gia-fotia-sta-diavata-ixise-to-112/ ; https://www.cnn.gr/ellada/story/543014/xoris-energo-metopo-i-fotia-sta-diavata-thessalonikis ; https://www.voria.gr/article/thessaloniki-synagermos-gia-fotia-sta-diabata-kaiei-agrotiki-ektasi-minyma-toy-112-binteo ; https://www.efsyn.gr/ellada/1425091/fotia-sta-diavata-thessalonikis-ihise-to-112-epiheiroyn-kai-enaeria-mesa/ ; https://grtimes.gr/thessaloniki/thessaloniki-choris-energo-metopo-i-fotia-sta-ypsomata-diavaton-ypo-elegcho-i-katastasi/ ; https://www.ertnews.gr/roi-idiseon/thessaloniki-xoris-energo-metopo-i-fotia-pou-ksespase-noritera-sta-diavata/</t>
  </si>
  <si>
    <t>Βλάστηση παρά βιομηχανική ζώνη. Ήχησε 112. Χωρίς ενεργό μέτωπο. | 112 εστάλη στις 15:25 για ετοιμότητα κατοίκων Διαβατών. Αγροτοδασική έκταση στα Υψώματα Διαβατών. Παρακολούθηση σε πραγματικό χρόνο με drone (οπτική &amp; θερμική κάμερα). Χωρίς ενεργό μέτωπο σύμφωνα με νεότερη ενημέρωση. | Αγροτοδασική έκταση. 112 εστάλη. Βόρεια Διαβατών πάνω από Εγνατία, κατεύθυνση Ωραιοκάστρου. Χάρτης ΓΓΠΠ 10/7: Θεσσαλονίκης ΥΨΗΛΗ. | Αγροτοδασική έκταση. Μήνυμα 112 για ετοιμότητα κατοίκων στις 15:25. Χωρίς ενεργό μέτωπο στις 21:04. Χωρίς εκκενώσεις ή ζημίες σε κτίσματα. Επιβεβαιώθηκε από ERT News (δύο ξεχωριστά άρθρα).</t>
  </si>
  <si>
    <t>Αγιάσος Λέσβου (Κουκναριά–Μπιζάνι)</t>
  </si>
  <si>
    <t>1 ομάδα πεζοπόρων (12η ΕΜΟΔΕ)</t>
  </si>
  <si>
    <t>υδροφόρες Δήμου Μυτιλήνης</t>
  </si>
  <si>
    <t>εξετάζεται ενδεχόμενο εμπρησμού</t>
  </si>
  <si>
    <t>https://www.protothema.gr/greece/article/1848822/fotia-tora-stin-agiaso-tis-lesvou-ihise-to-112-gia-etoimotita/ ; https://meteo24news.gr/meteo/fotia-lesvos-agiasos-112/ ; https://www.skai.gr/news/greece/fotia-se-dasiki-ektasi-sti-lesvo-kinitopoiithikan-3-enaeria ; https://www.naftemporiki.gr/society/2135989/fotia-tora-stin-agiaso-lesvoy-minyma-apo-to-112/ ; https://www.iefimerida.gr/ellada/fotia-agiasso-lesboy-112 ; https://www.thetoc.gr/koinwnia/article/fotia-stin-agiaso-lesbou-megali-kinitopoiisi-tis-purosbestikis---estali-112---epixeiroun-enaeria-mesa/ ; https://aeolos.tv/138239/esvise-i-fotia-stin-agiaso-perioristike-sta-3-stremmata/ ; https://www.lesvosnews.net/articles/news-categories/astynomiko-reportaz/agiasos-ypo-pliri-elegho-i-fotia-se-koyknaria-kai ; https://www.tanea.gr/2026/07/10/greece/lesvos-ypo-elegxo-i-fotia-sto-xorio-agiasos/ ; https://www.enikos.gr/society/fotia-sti-lesvo-ichise-to-112/2611824/</t>
  </si>
  <si>
    <t>Περιοχή Κουκουναριά-Απέσος, κορυφή χωριού. Κάηκαν ~3 στρέμματα (0,3 ha) με καρυδιές και κερασιές. 112 για ετοιμότητα κατοίκων (~14:52). Η φωτιά περιορίστηκε γρήγορα. | 112 εστάλη 14:52. Έκαψε ~3 στρέμματα (0,3 ha) – καρυδιές και κερασιές. Drone παρακολούθηση Ενιαίου Κέντρου Συντονισμού. Χάρτης ΓΓΠΠ 10/7: Λέσβου ΥΨΗΛΗ. | Δασική έκταση κοντά στον οικισμό. Μήνυμα 112 στις 14:52. Drone με οπτική και θερμική κάμερα. Ανακριτικό Κλιμάκιο Εμπρησμού Λέσβου στην περιοχή. Λέσβος σε κίτρινη ζώνη (ΥΨΗΛΗ) βάσει χάρτη ΓΓΠΠ 10/07. | Δασική έκταση κοντά στον οικισμό Αγιάσου. Μήνυμα 112 ενημέρωσης κατοίκων στις ~14:52. ΑΚΑ Λέσβου ανέλαβε έρευνα αιτίου.</t>
  </si>
  <si>
    <t>Οινούσσα Σερρών</t>
  </si>
  <si>
    <t>3 ομάδες πεζοπόρων τμημάτων (2η &amp; 21η ΕΜΟΔΕ)</t>
  </si>
  <si>
    <t>μηχανήματα έργου και υδροφόρες ΟΤΑ</t>
  </si>
  <si>
    <t>υπό διερεύνηση (2 προσαγωγές)</t>
  </si>
  <si>
    <t>https://www.in.gr/2026/07/10/greece/serres-oriothetimeni-kai-xoris-energo-metopo-i-fotia-stin-oinoussa-dyo-prosagoges/ ; https://www.newsit.gr/ellada/oriothetithike-i-fotia-stis-serres-eixe-stalei-112-gia-ekkenosi-kai-apeilithikan-epixeiriseis-kai-spitia/4725420/ ; https://www.skai.gr/news/greece/pyrkagia-se-agrotadasiki-ektasi-stin-oinoussa-serron ; https://thepressproject.gr/treis-pyrkagies-se-exelixi-se-serres-thessaloniki-kai-lesvo-epicheiroun-ischyres-dynameis-minymata-apo-to-112-stous-katoikous/ ; https://www.thetoc.gr/koinwnia/article/fotia-stis-serres-minuma-tou-112-gia-ekkenosi-tis-oinoussas---oi-floges-apeiloun-spitia-kai-epixeiriseis/ ; https://www.cnn.gr/ellada/story/542997/synagermos-gia-fotia-stis-serres-apeiloyntai-epixeiriseis-kai-spitia-estali-112-gia-ekkenosi ; https://www.news247.gr/ellada/megali-fotia-stin-oinoussa-serron-minima-112-gia-ekkenosi-konta-se-spitia-oi-floges/ ; https://www.ertnews.gr/perifereiakoi-stathmoi/seres/skliri-maxi-me-ti-floges-se-agrotodasiki-ektasi-stin-oinoussa-serron-minyma-112-stous-katoikous/ ; https://www.protothema.gr/greece/article/1848956/spinthires-apo-autokinito-prokalesan-ti-fotia-stis-serres-sunelifthisan-34hronos-kai-17hronos/</t>
  </si>
  <si>
    <t>112 εστάλη στις 15:13 για εκκένωση Οινούσσας (κατεύθυνση: Νέο Σούλι Σερρών). Φλόγες απείλησαν σπίτια και επιχειρήσεις, κάηκε αποθήκη. Δύο προσαγωγές. Αγροτοδασική έκταση, ισχυροί άνεμοι επέτειναν το φαινόμενο. | Μεταξύ Επταμύλων και Οινούσσας. Ξεκίνησε από ξερά χόρτα το μεσημέρι. Ισχυροί άνεμοι. Κάηκε αποθήκη. 112 εκκένωση Οινούσσας → Νέο Σούλι. Αρχικά 49 πυροσβέστες/16 οχήματα, ενισχύθηκαν σε 75/20. danger_level 2 βάσει ΓΓΠΠ χάρτη 10/07/2026. | Αγροτική έκταση Επταμύλοι–Οινούσσα. Ταχεία εξάπλωση λόγω ισχυρών ανέμων. 112 εκκένωση κοντά σε κατοικίες. Ολοκαύτωση αποθήκης. Επίπεδο κινδύνου 3 εκτιμάται από παρακείμενη κίτρινη ζώνη Θεσσαλονίκης στον χάρτη ΓΓΠΠ 10/7. | Μήνυμα 112 για εκκένωση προς Νέο Σούλι. Απειλήθηκαν επιχειρήσεις και κατοικίες. Οριοθετήθηκε 19:35. Συνελήφθησαν πατέρας 34 ετών και γιος 17 ετών για εμπρησμό από αμέλεια (τροχοφόρο 4x4 παρήγαγε σπίθες σε ανώμαλο έδαφος).</t>
  </si>
  <si>
    <t>14:27</t>
  </si>
  <si>
    <t>Κάστρι Ηγουμενίτσας</t>
  </si>
  <si>
    <t>Ηγουμενίτσα</t>
  </si>
  <si>
    <t>εμπρησμός από αμέλεια</t>
  </si>
  <si>
    <t>https://www.parapolitika.gr/ellada/article/1760094/igoumenitsa-sunelifthi-andras-gia-ebrismo-apo-ameleia-pos-prokalese-fotia-koda-se-dasiki-ektasi/</t>
  </si>
  <si>
    <t>Σύλληψη άνδρα για εμπρησμό από αμέλεια. Φωτιά από χόρτα επεκτάθηκε σε κοντινή δασική έκταση. Πρόστιμο €1.875. | Σύλληψη ανδρός για εμπρησμό από αμέλεια. Επέκταση σε κοντινή δασική έκταση. Πρόστιμο €1.875. | Σύλληψη άνδρα για εμπρησμό από αμέλεια· πρόστιμο €1.875. Επέκταση φωτιάς σε παρακείμενη δασική έκταση. Χάρτης ΓΓΠΠ 10/7 δεν κατέβηκε.</t>
  </si>
  <si>
    <t>Κουκουναριά-Απεσσός Αγιάσου</t>
  </si>
  <si>
    <t>Πολιτική Προστασία Δήμου Μυτιλήνης</t>
  </si>
  <si>
    <t>υπό διερεύνηση (Ανακριτικό Κλιμάκιο Εμπρησμού Λέσβου)</t>
  </si>
  <si>
    <t>https://www.skai.gr/news/greece/fotia-se-dasiki-ektasi-sti-lesvo-kinitopoiithikan-3-enaeria ; https://www.news247.gr/ellada/fotia-stin-mitilini-ixise-to-112/ ; https://meteo24news.gr/meteo/fotia-lesvos-agiasos-112/ ; https://www.lesvosnews.net/articles/news-categories/astynomiko-reportaz/agiasos-ypo-pliri-elegho-i-fotia-se-koyknaria-kai</t>
  </si>
  <si>
    <t>Αγροτοδασική έκταση κοντά στο Σανατόριο Αγιάσου και σε οικισμό. Μήνυμα 112 ετοιμότητας στις 14:52. ΕΣΚΕΔΙΚ παρακολούθηση με drone (οπτική+θερμική). danger_level 2 βάσει ΓΓΠΠ χάρτη 10/07/2026 (Λέσβος εκτός 4 κίτρινων περιοχών).</t>
  </si>
  <si>
    <t>Ίνι Ηρακλείου</t>
  </si>
  <si>
    <t>https://www.skai.gr/news/greece/fotia-sto-ini-irakleiou-kinitopoiithike-kai-elikoptero ; https://www.newsit.gr/ellada/ypo-elegxo-i-fotia-sto-ini-irakleiou-pou-ksespase-se-kalamia/4725244/ ; https://www.ertnews.gr/perifereiakoi-stathmoi/iraklio/fotia-stin-perioxi-ini-irakleiou/ ; https://www.anatolh.com/kriti/hrakleio/ischyri-kinitopoiisi-tis-pyrosvestikis-gia-pyrkagia-se-agrotiki-ektasi-sto-ini-irakleioy/ ; https://thepressproject.gr/kriti-megali-fotia-xespase-sto-ini-irakleiou</t>
  </si>
  <si>
    <t>Καλάμια και χαμηλή βλάστηση που επεκτάθηκε σε αγροτική γη. Ισχυρές ριπές ανέμου ~5 μποφόρ. Μακριά από κατοικίες/υποδομές. Ώρα 11:00 = ώρα ανακοίνωσης Π.Σ. danger_level 2 βάσει ΓΓΠΠ χάρτη 10/07/2026. | Καλάμια και χαμηλή βλάστηση επεκτάθηκαν σε αγροτική έκταση. Ισχυροί άνεμοι 5 μποφόρ. Μακριά από κατοικίες. | Ξέσπασε σε καλάμια/χαμηλή βλάστηση, επεκτάθηκε σε γειτονική αγροτοδασική έκταση. Άνεμοι 5 Bf.</t>
  </si>
  <si>
    <t>Καλοχώρι</t>
  </si>
  <si>
    <t>Κατασκευαστικό μηχάνημα Δήμου Δέλτα, υδροφόρες Περ. Κεντ. Μακεδονίας</t>
  </si>
  <si>
    <t>16:13</t>
  </si>
  <si>
    <t>https://www.tanea.gr/2026/07/09/greece/fotia-sto-kaloxori-thessalonikis-sto-simeio-18-pyrosvestes-kai-7-oximata/ ; https://www.naftemporiki.gr/society/2135500/fotia-tora-sto-kalochori-thessalonikis/ ; https://www.thetoc.gr/koinwnia/article/fotia-sto-kaloxori-thessalonikis-isxuri-kinitopoiisi-tis-purosbestikis/ ; https://www.newsbeast.gr/greece/arthro/13225392/fotia-kalochori-thessalonikis-pyrosvestiki ; https://www.naftemporiki.gr/society/2135606/pyrkagia-sto-kalochori-kalyteri-i-katastasi-toy-metopoy-synechizoyn-tin-katasvesi-oi-dynameis-tis-pyrosvestikis/ ; https://parallaximag.gr/thessaloniki-news/thessaloniki-ypo-meriko-elegcho-i-fotia-sto-kalochori-anafores-gia-syllipseis ; https://www.topontiki.gr/2026/07/09/fotia-sto-kalochori-thessalonikis-sinagermos-stin-pirosvestiki/ ; https://seleo.gr/eidiseis/astynomika/thessaloniki-se-yfesi-i-pyrkagia-sto-ka/ ; https://hellasjournal.com/2026/07/megali-fotia-se-exelixi-sto-kalochori-thessalonikis-kaigetai-epicheirisi-ichise-proeidopoiitiko-112-videos/ ; https://www.fireservice.gr/en_US/-/syllepse-gia-ten-pyrkagia-pou-ekdelotheke-stis-09-iouliou-2026-ste-thessalonike ; https://www.tanea.gr/2026/07/10/greece/thessaloniki-synexizetai-i-epixeirisi-katasvesis-tis-fotias-sto-kaloxori/ ; https://www.ertnews.gr/roi-idiseon/thessaloniki-fotia-sto-kaloxori-kaigetai-epixeirisi-megali-dynami-tis-pyrosvestikis-me-dyo-elikoptera-ixise-to-112/ ; https://www.newsit.gr/ellada/fotia-sto-kaloxori-thessalonikis-epektathike-se-diplano-ergostasio-maxi-ton-pyrosveston-me-tis-floges/4724600/</t>
  </si>
  <si>
    <t>Ξεκίνησε σε ξερά χόρτα/σκουπίδια/παλέτες σε υπαίθριο χώρο βιοτεχνίας, επεκτάθηκε σε εγκαταστάσεις. 112 ήχησε 16:13. Αναφορές για συλλήψεις. Δεν είναι καθαρά δασική — αγροτοβιομηχανικό περιβάλλον (Καλοχώρι = βιομηχανική ζώνη Θεσσαλονίκης). | Εκκίνηση σε χόρτα/παλέτες/απορρίμματα αυλής επιχείρησης κοντά στην παραλία. Επεκτάθηκε σε εργοστάσιο πλακιδίων (σχεδόν ολοσχερής καταστροφή). Εκκένωση εργαζομένων χωρίς τραυματισμούς. 112 στις 16:13 (παραμονή σε εσωτερικούς χώρους λόγω καπνών). Αναφορές για συλλήψεις.</t>
  </si>
  <si>
    <t>Πυρκαγιά Ξηρόβρυσης Κιλκίς</t>
  </si>
  <si>
    <t>3 τμήματα ΕΜΟΔΕ</t>
  </si>
  <si>
    <t>https://www.documentonews.gr/article/kilkis-oriothetithike-i-fotia-konta-ston-oikismo-xirovrysi/ ; https://www.rthess.gr/ellada/kilkis-oriothetithike-i-fotia-stin-xirovrysi/ ; https://www.skai.gr/news/greece/kilkis-fotia-se-xamili-vlastisi-konta-ston-oikismo-ksirovrysi ; https://www.thetoc.gr/koinwnia/article/fotia-tora-sto-kilkis---epixeiroun-isxures-dunameis-tis-purosbestikis-stin-xirobrusi/ ; https://www.voria.gr/article/oriothetithike-i-pyrkagia-stin-xirobrysi-kilkis</t>
  </si>
  <si>
    <t>Χαμηλή βλάστηση ~1 χλμ. βόρεια οικισμού Ξηρόβρυσης. Δεν κινδύνεψαν κατοικίες.</t>
  </si>
  <si>
    <t>2026-07-09</t>
  </si>
  <si>
    <t>Άγιος Γεώργιος Πελασγίας</t>
  </si>
  <si>
    <t>https://www.ilamia.gr/2026/07/09/fthiotida-prolave-i-pyrosvestiki-tin-pyrkagia-ston-agio-georgio-pelasgias/ ; https://www.lamiareport.gr/topika/topikanea/item/nea-pyrkagia-ston-agio-georgio-pelasgias-prolave-i-pyrosvestiki-foto/ ; https://stilida.com/periballon/fotia-xespase-ston-agio-georgio-pelasgias/ ; https://www.lamia-world.gr/pelasgia-amesi-epemvasi-tis-pyrosvestikis-gia-fotia-ston-agio-georgio/</t>
  </si>
  <si>
    <t>Ξηρά χόρτα κοντά σε ελαιοπερίβολο, παραλιακή ζώνη. Άμεση επέμβαση κλιμακίου Στυλίδας — πρόλαβε πριν επεκταθεί. | Καιγόντουσαν ξερά χόρτα εντός ελαιώνα. Δυνάμεις Σταθμού Στυλίδας. Δεύτερη πυρκαγιά στην ευρύτερη περιοχή εντός δύο εβδομάδων.</t>
  </si>
  <si>
    <t>08:59</t>
  </si>
  <si>
    <t>Μακρυκάπα Δερφύων</t>
  </si>
  <si>
    <t>ΕΜΟΔΕ</t>
  </si>
  <si>
    <t>Σύμβουλος Πολιτικής Προστασίας Δήμου</t>
  </si>
  <si>
    <t>ΣΕΔΔΔ Ψαχνών, ΕΜΟΔΕ</t>
  </si>
  <si>
    <t>https://www.in.gr/2026/07/09/greece/fotia-se-dasiki-ektasi-stin-eyvoia-pithanotata-proklithike-meta-apo-ptosi-keraynou/ ; https://www.neolaia.gr/2026/07/09/fotia-tora-stin-evvoia-pithano-na-xekinise-apo-ptosi-keravnou/ ; https://www.vradini.gr/ellada/fotia-stin-eyvoia-megali-epixeirisi-tis-pyrosvestikis-foto-vinteo/1583513/ ; https://www.skai.gr/news/greece/fotia-se-dasiki-ektasi-stin-eyvoia-deite-eikones ; https://www.athensvoice.gr/epikairotita/ellada/973998/fotia-se-dasiki-ektasi-stin-euvoia-pithanotata-proklithike-meta-apo-ptosi-keraunou/ ; https://www.thetoc.gr/koinwnia/article/fotia-tora-se-dasiki-ektasi-stin-euboia/ ; https://civilprotection.gov.gr/sites/default/files/2026-07/260709.jpg ; https://www.skai.gr/news/greece/fotia-stin-eyvoia-3 ; https://www.news.gr/ellada/article/4173101/fotia-sto-chorio-makrikapa-stin-evvia.html ; https://www.evia-press.gr/ypo-elegcho-i-pyrkagia-se-dasiki-ektasi-stin-evvoia/ ; https://www.lamiareport.gr/topika/topikanea/item/pyrkagia-apo-kerayno-sti-makrykapa-eyvoias/ ; https://todaypress.gr/2026/07/09/dimos-dirfyon-messapion-fotia-tora-stin-makrykapa-kaiei-dasos/</t>
  </si>
  <si>
    <t>~1 στρ./0.1 ha. Γρήγορη κατάσβεση χάρη σε ταχεία κινητοποίηση. Χάρτης 09/07: ειδική επισήμανση αυξημένου κινδύνου σε περιοχές με κεραυνόπτωση σε δάση. | Δασική έκταση — ισχυρές δυνάμεις Πυροσβεστικής Υπηρεσίας Χαλκίδας. Χάρτης ΓΓΠΠ 9/7 φέρει επισήμανση: σε περιοχές πτώσης κεραυνών σε δάση ο κίνδυνος εκδήλωσης πυρκαγιάς είναι αυξημένος — συνεπώς ο πρακτικός κίνδυνος υψηλότερος από την κατηγορία 2. | Δασική έκταση Μακρυκάπα Δήμου Διρφύων-Μεσσαπίων. Ισχυρές δυνάμεις Πυροσβεστικής Υπηρεσίας Χαλκίδας. Skai αναφέρει οριοθέτηση. Αιτία κεραυνός — συμφωνεί με χαμηλή πρόβλεψη χάρτη (επισήμανση κεραυνών στον χάρτη ΓΓΠΠ).</t>
  </si>
  <si>
    <t>Δέλτα Θεσσαλονίκης</t>
  </si>
  <si>
    <t>Δήμος Δέλτα</t>
  </si>
  <si>
    <t>εμπρησμός</t>
  </si>
  <si>
    <t>https://www.fireservice.gr/en_US/-/syllepse-gia-ten-pyrkagia-pou-ekdelotheke-stis-09-iouliou-2026-ste-thessalonike</t>
  </si>
  <si>
    <t>Σύλληψη επ' αυτοφώρω για εμπρησμό αγροτικής έκτασης. Διοικητικό πρόστιμο €5.886,56. Δεν εντοπίστηκαν στοιχεία για καμένη έκταση, ώρα έναρξης ή δυνάμεις.</t>
  </si>
  <si>
    <t>Μακρυκάπα Δήμου Δίρφης-Μεσσαπίων</t>
  </si>
  <si>
    <t>Δήμος Δίρφης-Μεσσαπίων</t>
  </si>
  <si>
    <t>2 ομάδες πεζοπόρων, ΕΜΟΔΕ</t>
  </si>
  <si>
    <t>εθελοντές ΣΕΔΔΔ Ψαχνών</t>
  </si>
  <si>
    <t>πτώση κεραυνού (πιθανή)</t>
  </si>
  <si>
    <t>https://www.in.gr/2026/07/09/greece/fotia-se-dasiki-ektasi-stin-eyvoia-pithanotata-proklithike-meta-apo-ptosi-keraynou/ ; https://www.newsbeast.gr/greece/arthro/13223692/fotia-tora-sto-chorio-makrykapa-stin-evvoia ; https://www.neolaia.gr/2026/07/09/fotia-tora-stin-evvoia-pithano-na-xekinise-apo-ptosi-keravnou/ ; https://www.evia-press.gr/ypo-elegcho-i-pyrkagia-se-dasiki-ektasi-stin-evvoia/ ; https://todaypress.gr/2026/07/09/dimos-dirfyon-messapion-fotia-tora-stin-makrykapa-kaiei-dasos/</t>
  </si>
  <si>
    <t>Δασική έκταση. Άμεση επέμβαση — δεν επεκτάθηκε. Δεν απειλήθηκαν κατοικίες. danger_level 3 βάσει ΓΓΠΠ χάρτη 09/07/2026. | Δασική έκταση. Καύση ~1 στρέμμα (0,1 ha) δάσους. Χάρτης ΓΓΠΠ 9/7: Εύβοια ΜΕΣΗ – αλλά με σημείωση κεραυνών.</t>
  </si>
  <si>
    <t>εθελοντές ΣΕΔΔΔ Ψαχνών, ΕΜΟΔΕ</t>
  </si>
  <si>
    <t>https://www.in.gr/2026/07/09/greece/fotia-se-dasiki-ektasi-stin-eyvoia-pithanotata-proklithike-meta-apo-ptosi-keraynou/ ; https://www.firefightingreece.gr/2026/07/09/pyrosvestiki-34-agrotodasikes-pyrkagies-to-teleftaio-24oro-15/ ; https://www.evia-press.gr/ypo-elegcho-i-pyrkagia-se-dasiki-ektasi-stin-evvoia/ ; https://www.skai.gr/news/greece/fotia-se-dasiki-ektasi-stin-eyvoia-deite-eikones ; https://www.neolaia.gr/2026/07/09/fotia-tora-stin-evvoia-pithano-na-xekinise-apo-ptosi-keravnou/ ; https://www.vradini.gr/ellada/fotia-stin-eyvoia-megali-epixeirisi-tis-pyrosvestikis-foto-vinteo/1583513/ ; https://www.lamiareport.gr/topika/topikanea/item/pyrkagia-apo-kerayno-sti-makrykapa-eyvoias/ ; https://www.newsbeast.gr/greece/arthro/13223692/fotia-tora-sto-chorio-makrykapa-stin-evvoia</t>
  </si>
  <si>
    <t>Πυρκαγιά σε δασική έκταση στο χωριό Μακρυκάπα. Καταγράφηκε πτώση κεραυνού ως πιθανή αιτία. Άμεση αντιμετώπιση με εθελοντές ΣΕΔΔΔ Ψαχνών, Πυροσβεστική και ΕΜΟΔΕ. Έκταση ~1 εκτάριο δάσους. | Δασική πυρκαγιά από κεραυνό κοντά στον οικισμό Μακρυκάπα. ~1 στρέμμα (~0.1 ha) καμένο. Χάρτης ΓΓΠΠ 09/07 μη διαθέσιμος. | Δασική έκταση Μακρυκαπιάς, Δ. Διρφύων-Μεσσαπίων. Άμεση κατάσβεση (~1 στρέμμα/0.1 ha). Χάρτης ΓΓΠΠ 09/07 σημειώνει αυξημένο κίνδυνο σε περιοχές με πτώση κεραυνών σε δάση. | Δύο πεζοπόρα τμήματα, εθελοντές ΣΕΔΔΔ Ψαχνών και ΠΥ Χαλκίδας. Άμεση αντίδραση πριν εξαπλωθεί η φωτιά.</t>
  </si>
  <si>
    <t>Πυρκαγιά Χρούσου - Σκάλας Ερεσού</t>
  </si>
  <si>
    <t>Λέσβος</t>
  </si>
  <si>
    <t>1 τμήμα πεζοπόρων 12ης ΕΜΟΔΕ</t>
  </si>
  <si>
    <t>https://www.news.gr/ellada/article/4171828/veltiomeni-ine-i-ikona-tis-fotias-se-disvati-periochi-metaxi-chrousou-ke-skalas-eresou-stin-lesvo.html</t>
  </si>
  <si>
    <t>Δύσβατη περιοχή χαμηλής βλάστησης, δυτική Λέσβος. Βελτιωμένη εικόνα.</t>
  </si>
  <si>
    <t>12:45</t>
  </si>
  <si>
    <t>Αργυρόμυλος</t>
  </si>
  <si>
    <t>Λάρισα</t>
  </si>
  <si>
    <t>5 ομάδες πεζοπόρων</t>
  </si>
  <si>
    <t>Υδροφόρες Περιφέρειας Θεσσαλίας</t>
  </si>
  <si>
    <t>υπό διερεύνηση (ΔΑΕΕ Λάρισας)</t>
  </si>
  <si>
    <t>https://www.newsit.gr/ellada/fotia-ston-argyromylo-larisas-ripseis-nerou-apo-3-aeroplana-kai-1-elikoptero/4723343/ ; https://www.newsit.gr/ellada/fotia-ston-argyromylo-larisas-maxi-ton-pyrosveston-me-tous-isxyrous-anemous/4723574/ ; https://www.newsbomb.gr/ellada/story/1748449/larisa-oriothetithike-i-fotia-pou-ksespase-to-mesimeri-ston-argomylo ; https://www.ertnews.gr/perifereiakoi-stathmoi/larisa/se-ekseliksi-i-fotia-se-agrotodasiki-ektasi-ston-argyromylo-larisas-synexeis-ripseis-apo-4-enaeria-mesa/ ; https://www.kalitheapress.gr/breaking-fotia-larisa-se-exelixi-pyrkagia-ston-argyromylo/ ; https://newpost.gr/eidiseis/larisa-mainetai-i-fotia-ston-argyromylo-enischythikan-oi-pyrosvestikes-dynameis-epicheiroyn-4-enaeria-mesa-vinteo/ ; https://www.newsbeast.gr/greece/arthro/13222673/fotia-argyromylos-larisa-pyrosvestes-enaeria-mesa</t>
  </si>
  <si>
    <t>Αγροτοδασική έκταση κοντά σε φωτοβολταϊκό πάρκο. Μεταβαλλόμενοι άνεμοι. Δεν απειλήθηκαν κατοικίες. Αρχικά 3 αεροπλάνα+1 ελικόπτερο, ενισχύθηκε σε 5+2. Oριοθετήθηκε ~18:00.</t>
  </si>
  <si>
    <t>Αργυρόμυλος Λάρισας</t>
  </si>
  <si>
    <t>Δήμος Λαρισαίων</t>
  </si>
  <si>
    <t>3 ομάδες ΕΜΟΔΕ 10ης Μονάδας</t>
  </si>
  <si>
    <t>αντλητικά Περιφέρειας Θεσσαλίας</t>
  </si>
  <si>
    <t>υπό διερεύνηση (Τμήμα Εγκλημάτων Εμπρησμού Λάρισας)</t>
  </si>
  <si>
    <t>https://www.newsit.gr/ellada/fotia-ston-argyromylo-larisas-ripseis-nerou-apo-3-aeroplana-kai-1-elikoptero/4723343/ ; https://www.newsbomb.gr/ellada/story/1748449/larisa-oriothetithike-i-fotia-pou-ksespase-to-mesimeri-ston-argomylo ; https://www.lamiareport.gr/topika/topikanea/item/pyrkagia-ston-argyromylo-larisas-enisxythikan-oi-dynameis-sikothikan-4-enaeria/ ; https://www.reader.gr/ellada/fotia-tora-sin-larisa-megali-kinitopoiisi-tis-pyrosbestikis/653199 ; https://www.firefightingreece.gr/2026/07/08/pyrosvestiki-27-agrotodasikes-pyrkagies-to-teleftaio-24oro-12/ ; https://www.kalitheapress.gr/breaking-fotia-larisa-se-exelixi-pyrkagia-ston-argyromylo/ ; https://www.ertnews.gr/perifereiakoi-stathmoi/larisa/se-ekseliksi-i-fotia-se-agrotodasiki-ektasi-ston-argyromylo-larisas-synexeis-ripseis-apo-4-enaeria-mesa/ ; https://www.newsbeast.gr/greece/arthro/13222673/fotia-argyromylos-larisa-pyrosvestes-enaeria-mesa ; https://www.newsit.gr/ellada/fotia-ston-argyromylo-larisas-maxi-ton-pyrosveston-me-tous-isxyrous-anemous/4723574/ ; https://www.thetoc.gr/koinwnia/article/fotia-tora-ston-arguromulo-larisas-sti-maxi-4-enaeria/ ; https://www.emakedonia.gr/larisa-ypo-meriko-elegcho-i-fotia-ston-argyromylo-oriothetithike-to-metopo-817200</t>
  </si>
  <si>
    <t>Ξεκίνησε σε χαμηλή βλάστηση κοντά σε φωτοβολταϊκό πάρκο, εξαπλώθηκε σε δάσος. Αρχικά: 52 πυροσβέστες, 3 αεροσκάφη, 1 ελικόπτερο. Μετά ενίσχυση: 90 πυρ., 20 οχ., 5 αερ., 2 ελικ. Δεν απειλήθηκαν κατοικίες/υποδομές. | Εκδηλώθηκε κοντά σε φωτοβολταϊκό πάρκο σε χαμηλή βλάστηση, εξελίχθηκε σε δασική έκταση. Μεταβαλλόμενοι άνεμοι. Αρχικά: 52 πυροσβέστες, 11 οχήματα, 3 αεροσκάφη, 1 ελικόπτερο. Τελικά οριοθετήθηκε. | Αγροτοδασική έκταση κοντά σε φωτοβολταϊκό πάρκο. Δεν κινδύνεψαν σπίτια ή υποδομές. Δυσκολία λόγω μεταβαλλόμενων ανέμων. Αιτία άγνωστη — υπό έρευνα Κλιμακίου Εμπρησμού Λάρισας. | 5 ομάδες πεζοπόρων τμημάτων 10ης ΕΜΟΔΕ· υποστήριξη βυτίων Περιφέρειας Θεσσαλίας. Καμένη έκταση δεν προσδιορίστηκε σε δημοσιευμένα άρθρα.</t>
  </si>
  <si>
    <t>Ξηρόβρυση</t>
  </si>
  <si>
    <t>3 ομάδες πεζοπόρων 2ης ΕΜΟΔΕ</t>
  </si>
  <si>
    <t>υδροφόρες δήμου, μηχανήματα έργου</t>
  </si>
  <si>
    <t>https://ifn.gr/2026/07/08/%CE%B5%CE%BD%CE%B9%CF%83%CF%87%CF%85%CE%BC%CE%AD%CE%BD%CE%B5%CF%82-%CE%B4%CF%85%CE%BD%CE%AC%CE%BC%CE%B5%CE%B9%CF%82-%CE%B3%CE%B9%CE%B1-%CF%84%CE%B7%CE%BD-%CE%BA%CE%B1%CF%84%CE%AC%CF%83%CE%B2%CE%B5/ ; https://www.news.gr/ellada/article/4172422/pirkagia-se-chamili-vlastisi-konta-ston-ikismo-xirovrisi-sto-kilkis.html ; https://www.naftemporiki.gr/society/2134823/fotia-tora-stin-xirovrysi-kilkis/ ; https://www.tanea.gr/2026/07/08/greece/oriothetithike-i-pyrkagia-stin-ksirovrysi-kilkis ; https://www.efsyn.gr/ellada/1423154/kilkis-pyrkagia-se-hamili-vlastisi-konta-ston-oikismo-xirovrysi-epiheirei-kai-ena-elikoptero/ ; https://www.makedonikanea.gr/ellada/kilkis-pyrkagia-se-hamili-blastisi-konta-ston-oikismo-xirobrysi ; https://civilprotection.gov.gr/sites/default/files/2026-07/260708.jpg ; https://www.ertnews.gr/ert3/kilkis-pyrkagia-se-xamili-vlastisi-konta-ston-oikismo-ksirovrysi-enisxythikan-oi-dynameis/ ; https://www.capital.gr/epikairotita/4003544/kilkis-purkagia-se-xamili-blastisi-konta-ston-oikismo-xirobrusi/ ; https://www.zougla.gr/greece/fotia-sto-kilkis-konta-stin-xirovrysi-epicheirei-kai-ena-elikoptero/ ; https://pelop.gr/kilkis-synelifthi-42chronos-gia-ti-fotia-stin-xirovrysi-kaikan-120-stremmata/ ; https://www.capital.gr/epikairotita/4003995/kilkis-sullipsi-42xronou-gia-proklisi-purkagias-apo-ameleia-kata-ti-diarkeia-agrotikon-ergasion-stin-xirobrusi/</t>
  </si>
  <si>
    <t>Χαμηλή βλάστηση κοντά σε καλλιεργήσιμη έκταση. Δεν απειλήθηκαν κατοικίες ή υποδομές. Ανακριτικό Κλιμάκιο Εμπρησμού Θεσσαλονίκης μεταβαίνει για διερεύνηση αιτίων. Επίπεδο κινδύνου 3 επιβεβαιώθηκε και από πηγές. | Χαμηλή βλάστηση / αγροτοδασική έκταση. Χρήση drone. Δεν απειλήθηκαν κατοικίες. Κατηγορία κινδύνου 3 επιβεβαιωμένη από πηγές. | Κάηκαν 120 στρέμματα (110 δασικά + 10 αγροτικά). Συνελήφθη 42χρονος κατ' αυτόφωρο για πρόκληση πυρκαγιάς από αμέλεια.</t>
  </si>
  <si>
    <t>Σκάλα Ερεσσού – Χρούσος</t>
  </si>
  <si>
    <t>1 ομάδα 12ης ΕΜΟΔΕ</t>
  </si>
  <si>
    <t>https://www.skai.gr/news/greece/fotia-sti-skala-eressou-mytilinis-kinitopoiithikan-kai-4-enaeria ; https://www.tanea.gr/2026/07/07/greece/veltiomeni-einai-i-eikona-tis-fotias-se-dysvati-perioxi-metaksy-xroysoy-kai-skalas-eresoy/</t>
  </si>
  <si>
    <t>Δύσβατη περιοχή, χαμηλή βλάστηση. Αιτία υπό έρευνα (Υπηρεσία Έρευνας Πυρκαγιάς Μυτιλήνης). Βελτιωμένη εικόνα 7/7 βράδυ.</t>
  </si>
  <si>
    <t>2026-07-08</t>
  </si>
  <si>
    <t>12:41</t>
  </si>
  <si>
    <t>Πυρκαγιά Τριαδίου Θέρμης</t>
  </si>
  <si>
    <t>Θέρμη</t>
  </si>
  <si>
    <t>Αμέλεια (σύλληψη 66χρονου)</t>
  </si>
  <si>
    <t>https://www.skai.gr/news/greece/thessaloniki-synelifthi-66xronos-gia-proklisi-pyrkagias-apo-ameleia-sti-thermi</t>
  </si>
  <si>
    <t>Περιοχή Τριάδι, Δήμος Θέρμης. Συνελήφθη 66χρονος για πρόκληση πυρκαγιάς από αμέλεια. | Σύλληψη 66χρονου για πρόκληση πυρκαγιάς εξ αμελείας.</t>
  </si>
  <si>
    <t>Μπραμιανά Ιεράπετρας</t>
  </si>
  <si>
    <t>Δήμος Ιεράπετρας</t>
  </si>
  <si>
    <t>Υδροφόρες Τοπικής Αυτοδιοίκησης</t>
  </si>
  <si>
    <t>https://www.newsbomb.gr/ellada/story/1747820/fotia-stin-ierapetra ; https://thepressproject.gr/fotia-sta-bramiana-ierapetras-minyma-112-gia-ekkenosi-ischyres-dynameis-kai-7-bofor-stin-periochi/</t>
  </si>
  <si>
    <t>Εκκένωση οικισμού Μπραμιανά via 112. Ισχυροί άνεμοι 7 Μποφόρ. Πυρκαγιά σε αγροτική περιοχή κοντά στο φράγμα Μπραμιανά.</t>
  </si>
  <si>
    <t>2026-07-07</t>
  </si>
  <si>
    <t>Πετροχώρι Τρικάλων</t>
  </si>
  <si>
    <t>Δήμος Πύλης</t>
  </si>
  <si>
    <t>Αμέλεια — θερμές εργασίες (ηλεκτροσυγκόλληση) σε μνημείο πεσόντων· σύλληψη 52χρονου, πρόστιμο €1.546</t>
  </si>
  <si>
    <t>https://www.protothema.gr/greece/article/1847489/mia-sullipsi-gia-proklisi-purkagias-apo-ameleia-sta-trikala/ ; https://www.tanea.gr/2026/07/08/greece/trikala-synelifthi-52xronos-gia-emprismo-apo-ameleia-kata-ti-diarkeia-thermon-ergasion/ ; https://www.firefightingreece.gr/2026/07/08/synelifthi-52chronos-gia-ti-fotia-sto-petrochori-trikalon-proklithike-apo-thermes-ergasies/ ; https://www.skai.gr/news/greece/trikala-mia-syllipsi-gia-proklisi-pyrkagias-apo-ameleia</t>
  </si>
  <si>
    <t>Χαμηλή βλάστηση κοινότητας Πετροχωρίου Δήμου Πύλης. Εξαπλώθηκε σε γειτονική δασική βλάστηση. Παράλειψη μέτρων πυροπροστασίας. Παραπέμφθηκε στο Πλημμελειοδικείο Τρικάλων.</t>
  </si>
  <si>
    <t>Αγία Ελένη Τροιζηνίας</t>
  </si>
  <si>
    <t>Δήμος Τροιζηνίας-Μεθάνων</t>
  </si>
  <si>
    <t>3 τμήματα πεζοπόρων 9ης ΕΜΟΔΕ</t>
  </si>
  <si>
    <t>Υδροφόρες Περιφέρειας Πελοποννήσου</t>
  </si>
  <si>
    <t>https://www.in.gr/2026/07/06/greece/fotia-stin-agia-eleni-troizinas-entoli-ekkenosis-apo-to-112-sikothikan-6-enaeria-mesa/amp/ ; https://www.insider.gr/eidiseis/416485/pyrkagia-stin-agia-eleni-troizinias-minyma-toy-112 ; https://www.pontosnews.gr/852277/ellada/fotia-stin-troizinia-megali-kinitopoiisi-tis-pyrosvestikis-minyma-112/ ; https://www.theopinion.gr/ellada/koinonia/pyrkagia-stin-agia-eleni-troizinias-minyma-112-gia-ekkenosi/ ; https://www.cnn.gr/ellada/story/542374/xoris-energo-metopo-i-pyrkagia-se-agrotodasiki-ektasi-stin-agia-eleni-troizinias ; https://www.cnn.gr/ellada/story/542353/fotia-sti-agia-eleni-troizinias-ixise-to-112-gia-ekkenosi-pros-ano-fanari-enisxyontai-oi-dynameis ; https://www.thetoc.gr/koinwnia/article/fotia-tora-stin-troizinia-sunagermos-gia-metopo-stin-agia-eleni---ixise-to-112/ ; https://www.naftemporiki.gr/society/2134012/fotia-tora-stin-troizinia-methanon-minyma-toy-112/ ; https://www.in.gr/2026/07/06/greece/fotia-stin-agia-eleni-troizinas-entoli-ekkenosis-apo-to-112-sikothikan-6-enaeria-mesa/</t>
  </si>
  <si>
    <t>Εντολή εκκένωσης 112 στις 17:18. Καίει ελαιώνες και δασική βλάστηση. Ενισχύθηκαν δυνάμεις Πυροσβεστικής. Π.Ε. Πειραιώς / Νήσων Αττικής. | Μηνύματα 112: ετοιμότητα 17:18, εκκένωση Αγίας Ελένης προς Άνω Φανάρι 17:47. Ελαιώνες και δασική έκταση. Άνεμοι 6 μποφόρ. Υπό έρευνα Κλιμακίου Εμπρησμού Αργολίδος.</t>
  </si>
  <si>
    <t>Πυρκαγιά Αγίας Ελένης Τροιζηνίας</t>
  </si>
  <si>
    <t>Νήσων</t>
  </si>
  <si>
    <t>5 πεζοπόρα τμήματα</t>
  </si>
  <si>
    <t>https://www.thetoc.gr/koinwnia/article/fotia-tora-stin-troizinia-sunagermos-gia-metopo-stin-agia-eleni---ixise-to-112/ ; https://www.in.gr/2026/07/06/greece/fotia-stin-agia-eleni-troizinas-entoli-ekkenosis-apo-to-112-sikothikan-6-enaeria-mesa/amp/ ; https://www.newsbomb.gr/ellada/story/1747941/argolida-xoris-energo-metopo-i-fotia-stin-agia-eleni-troizinas ; https://www.documentonews.gr/article/fotia-stin-agia-eleni-troizinias-ichise-to-112/</t>
  </si>
  <si>
    <t>Αγροτοδασική έκταση με ελαιόδεντρα και δάσος. 112 εκκένωση Αγίας Ελένης προς Άνω Φανάρι (ανακλήθηκε αργότερα). Άνεμοι 6 μποφόρ. Χωρίς ενεργό μέτωπο μετά κατάσβεση.</t>
  </si>
  <si>
    <t>Μάνδρα - Οινόη Αττικής</t>
  </si>
  <si>
    <t>6 ομάδες πεζοπόρων τμημάτων</t>
  </si>
  <si>
    <t>ναι (συμπεριλαμβάνονται στους 210)</t>
  </si>
  <si>
    <t>https://www.dailymail.com/news/article-15961671/Southern-Europe-flames.html ; https://www.iqair.com/newsroom/wildfire-map-spotlight-southern-europe-wildfires ; https://gr.euronews.com/my-europe/2026/07/05/megalh-pyrkagia-mandra-attikhs-hxhse-112 ; https://www.alphanews.live/greece/vinteo-megali-fotia-stin-mandra-attikis-sti-machi-140-pyrosvestes-kai-enaeria-mesa/ ; https://www.iefimerida.gr/ellada/fotia-stin-oinoi-attiki-epiheiroyn-tria-enaeria-mesa</t>
  </si>
  <si>
    <t>Δάσος πεύκων στην περιοχή Σφάκα / Αγία Σωτήρα Μάνδρας έως διασταύρωση Βιλίων. Ήχησε 112. Διακοπή κυκλοφορίας ΠΕΟ Αθηνών-Θηβών. Σε ύφεση/χωρίς ενεργό μέτωπο αναφέρεται στις 6/7, αλλά email 8/7 την καταγράφει ενεργή. Κίνδυνος: χάρτης 08/07/2026.</t>
  </si>
  <si>
    <t>2026-07-10</t>
  </si>
  <si>
    <t>Πυρκαγιά Ιεράπετρας-Μπραμιανών</t>
  </si>
  <si>
    <t>2 ομάδες πεζοπόρων τμημάτων 3ης ΕΜΟΔΕ</t>
  </si>
  <si>
    <t>https://www.tanea.gr/2026/07/06/greece/fotia-sto-lasithi-kaiei-agrotodasiki-ektasi-ston-dimo-ierapetras-sti-maxi-kai-dyo-elikoptera/ ; https://www.documentonews.gr/article/fotia-tora-stin-ierapetra-se-agrotodasiki-ektasi/ ; https://www.athensvoice.gr/epikairotita/ellada/973363/minuma-tou-112-gia-ti-fotia-sto-lasithi-apomakruntheite-pros-ierapetra/ ; https://www.huffingtonpost.gr/kinonia/oriothetithike-i-fotia-stin-ierapetra-lasithiou-ypo-meriko-elegcho-i-fotia-sto-gazi-irakleioufotia-stin-agia-eleni-troizinias-oriothetithike-i-fotia-stin-ierapetra-lasithiou-ypo-meriko-elegcho-sto/ ; https://www.news247.gr/ellada/kriti-ipo-elegxo-i-fotia-stin-ierapetra/ ; https://www.tanea.gr/2026/07/07/greece/lasithi-ypo-meriko-elegxo-i-fotia-sta-mpramiana-ypsilos-kai-simera-o-kindynos-stin-kriti/</t>
  </si>
  <si>
    <t>Αγροτοδασική έκταση κοντά στο φράγμα Μπραμιανών. 112 εκκένωση οικισμού Μπραμιανά 12:29 EEST, κατεύθυνση Ιεράπετρα. Άνεμοι 7 μποφόρ. | Αγροτοδασική έκταση, Δήμος Ιεράπετρας. Ήχησε 112. | Υπό μερικό έλεγχο στις 7/7. Ημερομηνία έναρξης εκτιμάται 6/7. 40 πυροσβέστες + 10 οχήματα παρέμεναν για πλήρη κατάσβεση.</t>
  </si>
  <si>
    <t>Πυρκαγιά Γαζίου</t>
  </si>
  <si>
    <t>Δήμος Μαλεβιζίου</t>
  </si>
  <si>
    <t>https://www.huffingtonpost.gr/kinonia/oriothetithike-i-fotia-stin-ierapetra-lasithiou-ypo-meriko-elegcho-i-fotia-sto-gazi-irakleioufotia-stin-agia-eleni-troizinias-oriothetithike-i-fotia-stin-ierapetra-lasithiou-ypo-meriko-elegcho-sto/</t>
  </si>
  <si>
    <t>Ελάχιστα διαθέσιμα στοιχεία. Αναφέρεται ως 'υπό μερικό έλεγχο' παράλληλα με Ιεράπετρα (6/7/2026). Μοναδική αναφορά από huffingtonpost.</t>
  </si>
  <si>
    <t>Οινόη (θέση Σφάκα)</t>
  </si>
  <si>
    <t>Οινόη</t>
  </si>
  <si>
    <t>6 ομάδες πεζοπόρων 1ης ΕΜΟΔΕ + ομάδα DRONE ΙΚΑΡΟΣ Αττικής</t>
  </si>
  <si>
    <t>Πιθανώς τσιγάρο από αυτοκίνητο (υπό επιβεβαίωση)</t>
  </si>
  <si>
    <t>https://www.in.gr/2026/07/05/greece/oinoi-i-dasiki-pyrkagia-dimiourgei-to-diko-tis-kairo-ti-edeiksan-oi-kameres-tou-meteo-stin-penteli/ ; https://www.newsit.gr/ellada/megali-fotia-stin-oinoi-minyma-tou-112-gia-etoimotita-isxyres-dynameis-sto-simeio/4720887/ ; https://newpost.gr/eidiseis/megali-fotia-stin-oinoi-minyma-112-ischyres-dynameis-kai-machi-na-anakopei-to-metopo-konta-stin-palaia-ethniki-odo/ ; https://www.naftemporiki.gr/society/2133457/fotia-tora-stin-oinoi-attikis/ ; https://www.news247.gr/ellada/fotia-stin-oinoi-megali-kinitopoiisi-tis-pirosvestikis/ ; https://www.in.gr/2026/07/05/greece/fotia-stin-oinoi-synagermos-stin-pyrosvestiki-sikothikan-10-enaeria/ ; https://www.athensvoice.gr/epikairotita/ellada/973255/epektathike-i-fotia-stin-oinoi-pou-ehei-diakopei-i-kukloforia/ ; https://www.newsbeast.gr/greece/arthro/13214282/fotia-tora-stin-oinoi-122-pyrosvestes-8-aeroskafi-kai-2-elikoptera-sti-machi ; https://www.megatv.com/2026/07/06/oinoi-olonyxtia-maxi-me-tis-floges-oriothetithike-i-megali-pyrkagia-pou-katekapse-dasos/ ; https://www.megatv.com/2026/07/05/fotia-stin-oinoi-enisxythikan-oi-epigeies-kai-enaeries-dynameis-apo-tsigaro-feretai-na-ksekinise-i-fotia/ ; https://www.protothema.gr/greece/article/1845931/fotia-tora-stin-oinoi-sikothikan-kai-enaeria-mesa/ ; https://www.in.gr/2026/07/05/greece/oinoi-oi-protes-martyries-gia-tin-enarksi-tis-fotias-kaiei-anamesa-stis-kamenes-ektaseis-tou-21-kai-23/ ; https://www.newsbeast.gr/greece/arthro/13214456/megali-fotia-stin-oinoi-minyma-tou-112-pano-apo-20-enaeria-mesa-diakopi-kykloforias-stin-palia-ethniki-athinon-thivon ; https://www.theguardian.com/world/2026/jul/06/wildfires-southern-europe-evacuations-tour-de-france-portugal-spain-greece-heatwave ; https://www.ertnews.gr/eidiseis/ellada/xoris-energo-metopo-i-pyrkagia-stin-oinoi-olonyxtia-maxi-ton-pyrosveston-me-tis-anazopyroseis-synexizontai-oi-peripolies-kai-oi-diavroxes/</t>
  </si>
  <si>
    <t>Ξεκίνησε σε αγροτοδασική έκταση, επεκτάθηκε σε πευκόφυτο δάσος. Μήνυμα 112 για ετοιμότητα. Pyrocumulus φαινόμενο («δημιουργεί δικό της καιρό»). Καίει μεταξύ καμένων εκτάσεων '21 και '23. Κέντρο Επιχειρήσεων ΟΛΥΜΠΟΣ. Κυκλοφορία διακόπηκε σε σημεία Παλαιάς Εθνικής Οδού. Δυνάμεις: αρχικά 122 πυρ.+33 οχ.+8 αεροσκ.+2 ελικ., ενισχύθηκαν σε 155+39+16+6. | Καίει μεταξύ καμένων εκτάσεων '21 και '23. Ήχησε 112. Κλειστή παλαιά Εθνική Ελευσίνας-Θηβών. Pyroconvection: φωτιά δημιούργησε τον δικό της καιρό (Meteo). Βελτιωμένη εικόνα από ~19:00, οριοθετήθηκε αργά βράδυ. | Τελικές δυνάμεις αιχμής: 210 πυροσβέστες, 45 οχήματα, 29 εναέρια μέσα συνολικά. Ολονύχτια επιχείρηση με διαβροχές/περιπολίες λόγω αναζωπυρώσεων. Αιτία: πιθανώς τσιγάρο από διερχόμενο αυτοκίνητο (δεν επιβεβαιώθηκε επίσημα).</t>
  </si>
  <si>
    <t>Οινόη Μάνδρας</t>
  </si>
  <si>
    <t>Δήμος Μάνδρας-Ειδυλλίας</t>
  </si>
  <si>
    <t>10 τμήματα ΠΕΜΔΕ (1η Ειδική Μονάδα Δασικών Επιχειρήσεων) + στρατιωτικά εκσκαπτικά</t>
  </si>
  <si>
    <t>Κ.Ε.Κ. ΟΛΥΜΠΟΣ, Κ.Ε.Κ. επιτήρησης DRONE</t>
  </si>
  <si>
    <t>Αναμμένο τσιγάρο από διερχόμενο όχημα (μαρτυρίες)</t>
  </si>
  <si>
    <t>https://www.theguardian.com/world/2026/jul/06/wildfires-southern-europe-evacuations-tour-de-france-portugal-spain-greece-heatwave ; https://www.dw.com/en/wildfires-rage-in-portugal-greece-france-and-spain/a-77839526 ; https://www.capital.gr/epikairotita/4002870/megali-fotia-stin-oinoi-tou-dimou-mandras-stalthike-112-epixeiroun-210-purosvestes/ ; https://www.verginanews.gr/dimarchos-mandras-pericharakosame-ti-fotia-kai-den-echei-kaei-kapoio-spiti-ekkenosame-proliptika-7-spitia/ ; https://www.megatv.com/2026/07/06/oinoi-olonyxtia-maxi-me-tis-floges-oriothetithike-i-megali-pyrkagia-pou-katekapse-dasos/ ; https://www.in.gr/2026/07/05/greece/oinoi-oi-protes-martyries-gia-tin-enarksi-tis-fotias-kaiei-anamesa-stis-kamenes-ektaseis-tou-21-kai-23/ ; https://www.timeout.com/news/is-it-safe-to-visit-southern-europe-latest-advice-as-wildfires-blaze-in-greece-france-and-more-070626 ; https://www.dailymail.com/news/article-15961671/Southern-Europe-flames.html ; https://www.iqair.com/newsroom/wildfire-map-spotlight-southern-europe-wildfires ; https://gr.euronews.com/my-europe/2026/07/05/megalh-pyrkagia-mandra-attikhs-hxhse-112 ; https://www.alphanews.live/greece/vinteo-megali-fotia-stin-mandra-attikis-sti-machi-140-pyrosvestes-kai-enaeria-mesa/ ; https://www.iefimerida.gr/ellada/fotia-stin-oinoi-attiki-epiheiroyn-tria-enaeria-mesa ; https://www.protothema.gr/greece/article/1845931/fotia-tora-stin-oinoi-sikothikan-kai-enaeria-mesa/ ; https://www.topontiki.gr/2026/07/06/veltiomeni-i-ikona-me-tin-fotia-sti-periochi-inoi-stin-mandra-attikis-enischithikan-i-dinamis-diaspartes-esties/ ; https://www.tanea.gr/2026/07/06/greece/xoris-energo-metopo-i-pyrkagia-se-agrotodasiki-ektasi-stin-oinoi/ ; https://www.lykavitos.gr/news/greece/se-yfesi-i-megali-fotia-stin-oinoi-tou-dimou-mandras-epixeiroun-210-pyrosvestes-me-45-ox ; https://parianostypos.gr/ellada/ellada-koinonia/item/110899-dimarxos-mandras-sto-ertnews-aftoptes-martyres-katiggeilan-oti-i-fotia-ksekinise-apo-tsigaro-pou-petaxtike-apo-aftokinito-vinteo ; https://www.ertnews.gr/eidiseis/ellada/xoris-energo-metopo-i-pyrkagia-stin-oinoi-olonyxtia-maxi-ton-pyrosveston-me-tis-anazopyroseis-synexizontai-oi-peripolies-kai-oi-diavroxes/ ; https://www.megatv.com/2026/07/05/fotia-stin-oinoi-enisxythikan-oi-epigeies-kai-enaeries-dynameis-apo-tsigaro-feretai-na-ksekinise-i-fotia/ ; https://www.athensvoice.gr/epikairotita/ellada/973263/megali-purkagia-stin-oinoi-kaigetai-dasiki-ektasi-kleisti-i-palaia-ethniki-odos-eleusinas-thivon/ ; https://www.news247.gr/ellada/fotia-stin-oinoi-megali-kinitopoiisi-tis-pirosvestikis/ ; https://www.capital.gr/epikairotita/4002870/megali-fotia-stin-oinoi-tou-dimou-mandras-stalthike-112-epixeiroun-210-purosbestes/ ; https://www.parapolitika.gr/ellada/article/1756767/sunagermos-sti-mandra-enishuthikan-dramatika-oi-dunameis-gia-ti-fotia-stin-oinoi-sti-mahi-140-purosvestes-kai-12-enaeria-mesa/</t>
  </si>
  <si>
    <t>Θέση «Σφάκα». Καίει μεταξύ καμένων εκτάσεων 2021 και 2023. 7 κατοικίες εκκενώθηκαν προληπτικά — καμία κατοικία δεν κάηκε. Ολονύχτια μάχη — οριοθετήθηκε 6/7. 19 αεροπλάνα + 10 ελικόπτερα (εκ των 29 εναέριων μέσων). | Δάσος πεύκων, τοποθεσία Σφάκα. Καίει ανάμεσα στις καμένες εκτάσεις 2021/2023. Μήνυμα 112 εκκένωσης. Ενεργή ακόμη στις 08/07/2026 (απόγευμα). | Αγροτοδασική έκταση Σφάκα, Οινόη. Δάσος πεύκων, ταχεία εξάπλωση λόγω ισχυρών μεταβαλλόμενων ανέμων. 112 στις 16:22. Κλειστή ΠΕΟ Αθηνών-Θηβών. Αρχικά (05/07): 155 πυροσβέστες, 39 οχήματα, 16 αεροσκάφη+6 ελικόπτερα. Κατά 08/07 ενεργή με 210 άτομα και 29 αεροσκάφη. | Θέση Σφάκα, δάσος πεύκων. 112 εκπέμφθηκε. Διακοπή κυκλοφορίας ΠΕΟ Αθηνών-Θηβών. Στις 6/7 χωρίς ενεργό μέτωπο αλλά με διάσπαρτες εστίες — στις 8/7 ακόμη ενεργή (email Yutori). Επίπεδο κινδύνου 4 (ΠΟΛΥ ΥΨΗΛΗ) στην Αττική κατά την ημέρα έναρξης. | Δάσος πεύκων, θέση Σφακά, Οινόη. Ήχησε 112. Διακοπή κυκλοφορίας ΠΕΟ Αθηνών-Θηβών. Σε ύφεση χωρίς ενεργό μέτωπο εντός 24ωρών· διάσπαρτες εστίες. Yutori 8/7: ακόμα ενεργή (210 πυρ/στές, 29 εναέρια). Αφορά Δήμο Μάνδρας-Ειδυλλίας. | Θέση Σφάκα, αγροτοδασική έκταση πευκόφυτο παρθένο δάσος. 29 εναέρια μέσα συνολικά (από τίτλο protothema). ΠΕΟ Αθηνών-Θηβών: διακόπηκε κυκλοφορία. Χωρίς ενεργό μέτωπο 6/7, αλλά Yutori email 8/7 ανέφερε ως ενεργή. danger_level 4 βάσει πηγής protothema για ημέρα εκδήλωσης. | Δάσος πεύκων, Σφάκα Οινόης. Email 8/7: ενεργή με 29 εναέρια. 9/7: χωρίς ενεργό μέτωπο – ολονύχτιες περιπολίες/διαβροχές για αναζωπυρώσεις. Χάρτης ΓΓΠΠ 9/7: Αττική ΜΕΣΗ. | Ξέσπασε στη Σφάκα, Δήμος Μάνδρας-Ειδυλλίας. Οριοθετήθηκε ~6/7. Αναζωπυρώσεις 7-8/7. Πυροεπαγωγική συμπεριφορά (δημιούργησε τον δικό της καιρό). Κλειστή παλαιά Εθνική Οδός Ελευσίνας-Θηβών. Αριθμοί 8/7: 210 πυροσβέστες/εθελοντές, 29 αεροσκάφη. | Σε ύφεση μετά τις 20:20 της 5/7. Χωρίς ενεργό μέτωπο από 6/7. Κινδύνευσαν κατοικίες στο σημείο εκκίνησης. Διακοπή κυκλοφορίας ΠΕΟ Αθηνών-Θηβών. Καίγε ανάμεσα στις καμένες εκτάσεις του 2021 και 2023.</t>
  </si>
  <si>
    <t>Οινόη — θέση Σφάκα</t>
  </si>
  <si>
    <t>10 ομάδες πεζοπόρων 1ης ΕΜΟΔΕ</t>
  </si>
  <si>
    <t>αμέλεια — τσιγάρο από διερχόμενο όχημα (μαρτυρίες κατοίκων)</t>
  </si>
  <si>
    <t>https://www.athensvoice.gr/epikairotita/ellada/973263/megali-purkagia-stin-oinoi-kaigetai-dasiki-ektasi-kleisti-i-palaia-ethniki-odos-eleusinas-thivon/ ; https://www.documentonews.gr/article/fotia-stin-oinoi-155-pyrosvestes-kai-22-enaeria-mesa-sti-machi-se-ischy-kykloforiakes-rythmiseis/ ; https://www.in.gr/2026/07/05/greece/oinoi-i-dasiki-pyrkagia-dimiourgei-to-diko-tis-kairo-ti-edeiksan-oi-kameres-tou-meteo-stin-penteli/ ; https://www.cnn.gr/ellada/story/542164/megali-fotia-stin-oinoi-sikothikan-enaeria-mesa ; https://www.meteo.gr/article_view.cfm?entryID=4219 ; https://www.naftemporiki.gr/society/2133457/fotia-tora-stin-oinoi-attikis/ ; https://www.libre.gr/2026/07/06/oinoichoris-energo-metopo-i-fotia-kata/ ; https://www.ertnews.gr/eidiseis/ellada/se-yfesi-i-pyrkagia-stin-oinoi-se-epifylaki-gia-anzopyroseis-oi-pyrosvestikes-dynameis/ ; https://www.tanea.gr/2026/07/06/greece/xoris-energo-metopo-i-pyrkagia-se-agrotodasiki-ektasi-stin-oinoi/</t>
  </si>
  <si>
    <t>Αγροτοδασική έκταση, επέκταση σε πευκόφυτο δάσος. Παρουσιάστηκε πυροεπαγωγική συμπεριφορά (pyrocumulus). Κλειστή Παλαιά ΕΟ Ελευσίνας–Θηβών. Μήνυμα 112 ετοιμότητας κατοίκων. 'Σαφώς βελτιωμένη εικόνα' στις 19:00 05/07, διάσπαρτες ενεργές εστίες. Καίει ανάμεσα σε καμένες εκτάσεις '21 και '23. Peak 29 εναέρια μέσα (19 αεροσκάφη + 10 ελικόπτερα). | Χωρίς ενεργό μέτωπο από 06/07 · δυνάμεις παρέμειναν σε επιφυλακή για αναζωπυρώσεις</t>
  </si>
  <si>
    <t>15:25</t>
  </si>
  <si>
    <t>Πυρκαγιά Οινόης-Μάνδρας</t>
  </si>
  <si>
    <t>6 ομάδες πεζοπόρων τμημάτων 1ης ΕΜΟΔΕ</t>
  </si>
  <si>
    <t>εθελοντικές ομάδες Πολιτικής Προστασίας</t>
  </si>
  <si>
    <t>ύποπτη αμέλεια (μαρτυρίες για τσιγάρο από αυτοκίνητο)</t>
  </si>
  <si>
    <t>https://www.dw.com/en/wildfires-rage-in-portugal-greece-france-and-spain/a-77839526 ; https://www.theguardian.com/world/2026/jul/06/wildfires-southern-europe-evacuations-tour-de-france-portugal-spain-greece-heatwave ; https://www.protothema.gr/greece/article/1845931/fotia-tora-stin-oinoi-sikothikan-kai-enaeria-mesa/ ; https://www.meteo.gr/article_view.cfm?entryID=4219 ; https://www.thetoc.gr/koinwnia/article/megali-fotia-tora-stin-oinoi-attikis-terastia-kinitopoiisi-tis-purosbestikis ; https://www.libre.gr/2026/07/06/oinoichoris-energo-metopo-i-fotia-kata/ ; https://www.tanea.gr/2026/07/06/greece/xoris-energo-metopo-i-pyrkagia-se-agrotodasiki-ektasi-stin-oinoi/</t>
  </si>
  <si>
    <t>112 για ετοιμότητα. Θέση Σφάκα. Πυροθερμικό φορτίο δυσχέραινε προσέγγιση πεζοπόρων. Στήλη καπνού 55 χλμ νότια, έφτανε ως Αίγινα. Yutori 6/7: παραμένει ενεργή. | Χωρίς ενεργό μέτωπο από 06/07 · πιθανώς ίδιο περιστατικό με «Οινόη — θέση Σφάκα» (διαφορετική αποτύπωση αρχικής ανακοίνωσης)</t>
  </si>
  <si>
    <t>Κοσκινού (Προφήτης Ηλίας)</t>
  </si>
  <si>
    <t>Δήμος Ρόδου</t>
  </si>
  <si>
    <t>1 ομάδα πεζοπόρου 11ης ΕΜΟΔΕ</t>
  </si>
  <si>
    <t>υδροφόρες Περιφέρειας Νοτίου Αιγαίου</t>
  </si>
  <si>
    <t>https://www.lykavitos.gr/news/greece/rodos-ypo-pliri-elegxo-i-pyrkagia-sto-xorio-koskinou-se-epifylaki-isxyres-dynameis-gia-t ; https://www.dimokratiki.gr/05-07-2026/fotia-xespase-stin-periochi-profitis-ilias-sta-koskinou/ ; https://www.skai.gr/news/greece/rodos-pliros-elegxomeni-i-pyrkagia-konta-sto-xorio-koskinou-paramenoun-isxyres-dynameis-gi ; https://www.tanea.gr/2026/07/05/greece/dasiki-pyrkagia-stis-ammoudes-rodou/</t>
  </si>
  <si>
    <t>Πλήρης έλεγχος. Ισχυρές δυνάμεις σε επιφυλακή για αναζωπυρώσεις. Εντός δασικής περιοχής Προφήτης Ηλίας.</t>
  </si>
  <si>
    <t>2026-07-05</t>
  </si>
  <si>
    <t>Δροσιά Χαλκίδας</t>
  </si>
  <si>
    <t>Χαλκίδα</t>
  </si>
  <si>
    <t>https://www.in.gr/2026/07/05/greece/xalkida-megali-fotia-sikothikan-6-enaeria-mesa/</t>
  </si>
  <si>
    <t>Πυρκαγιά σε χαμηλή βλάστηση στη Δροσιά Ευβοίας. Εστάλη μήνυμα 112. 6 εναέρια μέσα συνολικά (4 αεροσκάφη + 2 ελικόπτερα). Τέθηκε υπό έλεγχο.</t>
  </si>
  <si>
    <t>2026-07-06</t>
  </si>
  <si>
    <t>Ωραιόκαστρο Θεσσαλονίκης</t>
  </si>
  <si>
    <t>https://www.ynetnews.com/environment/article/hjjvq0oqgl ; https://www.iqair.com/newsroom/wildfire-map-spotlight-southern-europe-wildfires ; https://www.dailymail.com/news/article-15961671/Southern-Europe-flames.html ; https://www.cnn.gr/ellada/story/542106/fotia-sto-oraiokastro-thessalonikis-minyma-tou-112-gia-ekkenosi ; https://www.ertnews.gr/eidiseis/ellada/thessaloniki-to-toksiko-nefos-apo-ti-fotia-sto-oraiokastro-exei-skepasei-oli-tin-poli/</t>
  </si>
  <si>
    <t>Πυρκαγιά σε εγκατάσταση ανακύκλωσης και γειτονικά εργοστάσια (υφάσματα, ελιές). Κάηκαν 3 βιομηχανικές εγκαταστάσεις, μεταξύ τους αποθήκη OK ANYTIME MARKET. Τοξικό νέφος μαύρου καπνού κάλυψε τη Θεσσαλονίκη (&gt;20 χλμ). Εκκενώθηκαν οικισμοί και Κέντρο Χρόνιων Παθήσεων. Κατά την αναφορά email 8/7 ήταν ακόμα ενεργή. Χωρίς ενεργό μέτωπο αναφέρεται σε μεταγενέστερη πηγή. Κίνδυνος: χάρτης 08/07/2026.</t>
  </si>
  <si>
    <t>20:52</t>
  </si>
  <si>
    <t>Ανθούπολη Ωραιοκάστρου</t>
  </si>
  <si>
    <t>5 ομάδες πεζοπόρων 2ης ΕΜΟΔΕ</t>
  </si>
  <si>
    <t>μηχανήματα έργου Περιφέρειας Κεντρικής Μακεδονίας</t>
  </si>
  <si>
    <t>ανθρώπινη δραστηριότητα (συνελήφθη 76χρονος)</t>
  </si>
  <si>
    <t>https://www.cnn.gr/ellada/story/542106/fotia-sto-oraiokastro-thessalonikis-minyma-tou-112-gia-ekkenosi ; https://www.newsbomb.gr/ellada/story/1747539/fotia-oraiokastro-ekkenothike-proliptika-idryma-xronion-pathiseon-anafores-gia-kamena-spitia ; https://www.skai.gr/news/greece/thessaloniki-mainetai-i-pyrkagia-sto-oraiokastro ; https://www.in.gr/2026/07/04/greece/fotia-sto-oraiokastro-thessalonikis-dipla-sta-spitia-oi-floges-entoli-ekkenosis-tis-anthoupolis/ ; https://www.makedonikanea.gr/ellada/fotia-sto-oraiokastro-ihise-112 ; https://www.dnews.gr/eidhseis/ellada/597951/anekselegkti-i-fotia-sti-thessaloniki-eikones-katastrofis-kaikan-epixeiriseis-ekrikseis-sto-oraiokastro ; https://www.thetoc.gr/koinwnia/article/gi-tou-puros-i-kentriki-makedonia-16-foties-xespasan-sxedon-tautoxrona-se-thessaloniki-xalkidiki-kai-kilkis/ ; https://www.newsbeast.gr/greece/arthro/13205503/foniki-fotia-sto-oraiokastro-eichan-enan-idiaitero-tropo-zois-emenan-sto-parapigma-pos-egine-i-tragodia ; https://www.eleftherostypos.gr/ellada/fotia-sto-oraiokastro-synelifthi-76chronos-i-dramatiki-nychta-kai-i-torini-eikona-sto-metopo ; https://www.naftemporiki.gr/society/2133253/fotia-tora-stin-anthoypoli-oraiokastroy-thessalonikis-minyma-112-gia-ekkenoseis/ ; https://www.ethnos.gr/greece/article/413596/kalyterhheikonastooraiokastrometathnefialtikhnyxtamegaleszhmiesseepixeirhseiskaiktiria ; https://ukranews.com/en/news/1161310-forest-fire-near-thessaloniki-forces-evacuation-of-three-settlements-police-detain-suspect ; https://www.cnn.gr/ellada/story/542144/oraiokastro-xoris-energo-metopo-i-fotia-eikones-apognosis-kai-katastrofis-katagrafei-o-fakos ; https://www.tanea.gr/2026/07/05/greece/oraiokastro-ektetamenes-katastrofes-apo-tin-pyrini-lailapa-xoris-energo-metopo-sto-dasiko-kommati/ ; https://greekreporter.com/2026/07/05/greece-sixty-wildfires-day/ ; https://www.skai.gr/news/greece/thessaloniki-apagoreysi-kykloforias-sto-periastiko-dasos-thessalonikis-stis-dasikes-ektase ; https://www.theguardian.com/world/2026/jul/06/wildfires-southern-europe-evacuations-tour-de-france-portugal-spain-greece-heatwave ; https://www.dw.com/en/from-france-to-greece-wildfires-rage-across-europes-south/g-77852792 ; https://www.youtube.com/watch?v=hq2iWMN8Fm0 ; https://www.ynetnews.com/environment/article/hjjvq0oqgl ; https://www.iqair.com/newsroom/wildfire-map-spotlight-southern-europe-wildfires ; https://www.dailymail.com/news/article-15961671/Southern-Europe-flames.html ; https://www.ertnews.gr/eidiseis/ellada/thessaloniki-to-toksiko-nefos-apo-ti-fotia-sto-oraiokastro-exei-skepasei-oli-tin-poli/ ; https://www.protothema.gr/greece/article/1845743/oraiokastro-olonuhtia-mahi-me-ti-fotia-se-duo-epiheiriseis-epikedronetai-i-purosvestiki/ ; https://www.protothema.gr/greece/article/1845897/thessaloniki-kamenes-viotehnies-autokinita-fotia-sto-oraiokastro-ektos-apo-ta-duo-ergostasia-pou-tulihthikan-stis-floges/ ; https://www.olympia.gr/1662689/ellada/toxiko-nefos-skepazei-ti-thessaloniki-choris-energo-metopo-i-fotia-sto-oraiokastro/ ; https://www.newsit.gr/ellada/fotia-sto-oraiokastro-prosagogi-76xronou-os-ypoptou-gia-tin-pyrkagia/4720498/ ; https://www.athensvoice.gr/epikairotita/ellada/973161/fotia-tora-sto-oraiokastro-thessalonikis-minuma-tou-112-gia-ekkenosi-tis-anthoupolis/</t>
  </si>
  <si>
    <t>Εκκένωση οικισμών Ανθούπολη και Φιλοθέη και ιδρύματος Αγ. Παντελεήμονας (150+ τρόφιμοι). Τοξικό νέφος ~20χλμ. Ζημιές σε βιοτεχνίες, εργοστάσια, κτίρια. 2 πυροσβέστες με αναπνευστικά. 16 πυρκαγιές σχεδόν ταυτόχρονα στην Κεντρική Μακεδονία. Φωτιά σε χώρο ανακύκλωσης Φιλοθέης συνεχίζει 5/7 πρωί. | Εκκενώθηκαν Ανθούπολη, Φιλοθέη, Γαλήνη, Ίδρυμα Χρόνιων Παθήσεων «Άγιος Παντελεήμων». Ζημιές σε κτίσματα, βιοτεχνίες, εργοστάσιο ανακύκλωσης. Τοξικό νέφος. Αναφορές για νεκρό (άτομο σε παράπηγμα). 4 πυροσβέστες νοσηλεύθηκαν. Χωρίς ενεργό μέτωπο στο δασικό τμήμα ως 5/7 πρωί. 600 στρέμματα = 60 εκτ. | Εκδήλωση σε ορεινή κοιλάδα, επέκταση σε πεδιάδες. Εκκενώσεις Ανθούπολης, Φιλοθέης, Γαλήνης. Εκκενώθηκε Ίδρυμα Αγ. Παντελεήμονα (150+ τρόφιμοι). 4 πυροσβέστες τραυματίστηκαν ελαφρά (νοσηλεία 424). 1 κατοικία κάηκε, ζημιές σε εργοστάσιο ανακυκλώσιμων και βιοτεχνίες. Peak εναέρια: ~10 συνολικά (ημέρα). Νυχτερινή φάση: 2 αεροσκάφη + 2 ελικόπτερα. Χωρίς ενεργό μέτωπο στο δασικό κομμάτι από 05/07. | Εστία σε εγκατάσταση ανακύκλωσης και διυλιστήριο λαδιού· τοξικό νέφος κάλυψε τη Θεσσαλονίκη (καπνός &gt;20χλμ). Κάηκαν 3 εργοστάσια. Εκκενώσεις Ανθούπολης, Φιλοθέης, Γαλήνης και Κέντρου Χρόνιων Παθήσεων. 16 ταυτόχρονες πυρκαγιές Κεντρικής Μακεδονίας. Κατά 08/07 παρέμενε ενεργή (160 άτομα, 30 αεροσκάφη). | Πυρκαγιά σε εγκατάσταση ανακύκλωσης και εγκατάσταση επεξεργασίας πετρελαίου — επεκτάθηκε σε δεκάδες στρέμματα δάσους. Εκκενώσεις Ανθούπολης, Φιλοθέης, Γαλήνης. Τοξικός καπνός. Ζημιές σε επιχειρήσεις — μάχη κατάσβεσης συνεχίζεται στη μονάδα ανακύκλωσης έως 8/7. Ενεργή επίσης στον Δήμο Παύλου Μελά. Χάρτης ΓΓΠΠ 8/7: Θεσσαλονίκη κίτρινο (3-ΥΨΗΛΗ). | Πυρκαγιά σε εργοστάσιο ανακύκλωσης &amp; βιοτεχνία υφασμάτων με δασικό κομμάτι. Εκκένωση Αντούπολης, Φιλοθέης, Γαλήνης. Τοξικός καπνός &gt;20 χλμ κάλυψε Θεσσαλονίκη. Δασικό τμήμα οριοθετήθηκε νωρίς, βιομηχανικές εστίες συνέχισαν. Ακόμα ενεργή κατά Yutori 8/7 βράδυ (160 πυρ/στές). Καταστράφηκαν επιχειρήσεις &amp; αυτοκίνητα. | ΟΛΟΝΥΧΤΙΑ ΜΑΧΗ. Εκκενώθηκαν Ανθούπολη και Φιλοθέη (112). Εκκενώθηκε Ίδρυμα Χρόνιων Παθήσεων «Άγιος Παντελεήμων». Καμένα κτίρια επιχειρήσεων, εκρήξεις από εύφλεκτα υλικά. Συμμετείχε ο στρατός. 2 πυροσβέστες τραυματίστηκαν, νοσηλεύτηκαν. 76χρονος συνελήφθη ως ύποπτος. Μέρος της «Γης του Πυρός» Κεντρικής Μακεδονίας (16 ταυτόχρονες εστίες στις 04/07). | Μέγιστη ανάπτυξη δυνάμεων (αργότερα δημοσιευθείσα): 150 πυροσβέστες, 5 ομάδες πεζοπόρων, 48 οχήματα. Κατά τις πρώτες πρωινές ώρες 5/7 η κατάσταση εξελισσόταν προς οριοθέτηση – αεροπορικά μέσα επανέλαβαν ρίψεις στις 06:00. Ενεργοποιήθηκε ΔΕΥΚΑΛΙΩΝ (ΓΕΕΘΑ).</t>
  </si>
  <si>
    <t>Ορεοκάστρο — Λίτη</t>
  </si>
  <si>
    <t>Δήμος Ωραιοκάστρου</t>
  </si>
  <si>
    <t>Αμέλεια — 76χρονος οδηγός (υπό επήρεια) εκτράπηκε, σπινθήρες αναλωθέντος οχήματος ανέφλεξαν ξερή βλάστηση· σύλληψη</t>
  </si>
  <si>
    <t>https://www.alfavita.gr/koinonia/552670_pyrinos-synagermos-stin-ellada-96-pyrkagies-se-48-ores-ypsilos-kindynos-kai-simera ; https://www.lifo.gr/now/greece/fotia-sto-oraiokastro-tritos-thanatos-sti-liti ; https://www.tanea.gr/2026/07/06/greece/fotia-sto-oraiokastro-pente-ekat-eyro-gia-apokatastasi-ton-ypodomon-kai-epidoma-stoys-poli/ ; https://www.theguardian.com/world/2026/jul/06/wildfires-southern-europe-evacuations-tour-de-france-portugal-spain-greece-heatwave ; https://www.dw.com/en/from-france-to-greece-wildfires-rage-across-europes-south/g-77852792 ; https://www.ynetnews.com/environment/article/hjjvq0oqgl ; https://www.iqair.com/newsroom/wildfire-map-spotlight-southern-europe-wildfires ; https://www.dailymail.com/news/article-15961671/Southern-Europe-flames.html ; https://www.megatv.com/2026/07/05/thessaloniki-olonyxtia-maxi-me-floges-sto-oraiokastro-kaikan-ergostasia-kai-epixeiriseis ; https://www.newsit.gr/ellada/fotia-sto-oraiokastro-skliri-i-maxi-me-tis-floges-sta-dyo-ergostasia-sygklonistikes-fotografies-apo-ta-apokaidia/4720772/ ; https://ukranews.com/en/news/1161310-forest-fire-near-thessaloniki-forces-evacuation-of-three-settlements-police-detain-suspect ; https://www.naftemporiki.gr/society/2133380/peplo-epikindynoy-nefoys-20-chiliometron-sti-thessaloniki-apo-ti-fotia-sto-oraiokastro/ ; https://www.cnn.gr/ellada/story/542144/oraiokastro-xoris-energo-metopo-i-fotia-eikones-apognosis-kai-katastrofis-katagrafei-o-fakos ; https://www.skai.gr/news/greece/thessaloniki-mainetai-i-pyrkagia-sto-oraiokastro ; https://www.newsbomb.gr/ellada/story/1747650/thessaloniki-sygklonistiko-vinteo-drone-apo-tis-kamenes-ektaseis-se-oraiokastro-kai-filothei ; https://gr.euronews.com/2026/07/06/wildfires-rage-in-portugal-and-spain-as-authorities-in-greece-warn-of-toxic-smoke ; https://www.news247.gr/ellada/oraiokastro-thavoun-ti-fotia-gia-na-periorisoun-to-toxiko-nefos-xekina-i-katagrafi-ton-zimion/ ; https://www.zougla.gr/greece/eleftheros-o-76chronos-pou-synelifthi-gia-tin-pyrkagia-sto-oraiokastro/ ; https://www.in.gr/2026/07/04/greece/fotia-sto-oraiokastro-thessalonikis-dipla-sta-spitia-oi-floges-entoli-ekkenosis-tis-anthoupolis/amp/</t>
  </si>
  <si>
    <t>3 νεκροί. Τοξικός καπνός 20 χλμ. έφτασε ως Αττική. Κάηκαν: εγκατάσταση ανακύκλωσης, εργοστάσιο υφασμάτων, μονάδα ελαιολάδου, αποθήκες OK ANYTIME MARKET. €5 εκατ. για αποκατάσταση υποδομών. Εκκενώσεις: Ανθούπολη, Φιλοθέη, Γαλήνη, 150 τρόφιμοι ΜΦ Αγ. Παντελεήμονα. Ενεργή ακόμη στις 08/07/2026 (~20:30 EEST). | 3 νεκροί. Εκκενώσεις Αντούπολης, Φιλοτέης, Γαλήνης, Κέντρου Χρόνιων Παθήσεων. Ζημιές σε επιχειρήσεις/κατοικίες. €5 εκατ. για αποκατάσταση υποδομών. Πέπλο καπνού 20 χλμ. Καμένα δύο εργοστάσια. Ζώνη Ευκαρπία επηρεάστηκε. ΣΚΑΙ: 'Οριοθετήθηκε η πυρκαγιά' (5/7) αλλά Yutori 6/7: παραμένει ενεργή με ορισμένα ενεργά σημεία. | 3 νεκροί (Λίτη). Εκκενώσεις: Αντούπολη, Φιλοθέη, Γαληνή. Τοξικός καπνός εργοστασίου ανακύκλωσης σε ακτίνα 20+ χλμ πάνω από τη Θεσσαλονίκη. Αιχμή κινητοποίησης: 200+ πυροσβέστες, 30 αεροσκάφη. €5 εκ. για αποκατάσταση υποδομών. Αριθμοί 8/7 ~20:30 EEST: 160 πυροσβέστες/εθελοντές, 52 οχήματα, 2 αεροσκάφη, 2 ελικόπτερα — κατάσβεση εργοστασίου συνεχιζόταν. | 3 θάνατοι (μεταξύ αυτών πατέρας 65 ετών και γιος 12 ετών στη Λίτη). Εκκενώσεις: Αντούπολη, Φιλοθέη, Γαλήνη, δομή φιλοξενίας, ίδρυμα «Άγιος Παντελεήμων» (157 τρόφιμοι). 3 επιχειρήσεις ολοσχερώς καταστράφηκαν, 3 με ζημιές — καμία κατοικία. €5 εκ. για αποκατάσταση υποδομών. Ενεργό μέτωπο εργοστασίου ανακύκλωσης Φιλοθέης «εντοιχίζεται» (3ο 24ωρο 6/7). Τοξικό νέφος. Peak δυνάμεις: &gt;200 πυροσβέστες — αργότερα ανεθεωρήθηκαν σε 160 (52 οχήματα). | 3 ΝΕΚΡΟΙ (Λίτη). Εκκενώσεις Αντούπολης, Φιλοθέης, Γαλήνης μέσω 112. Τοξικός καπνός ~20χλμ. Καταστροφή: εργοστάσιο ανακύκλωσης, υφασμάτων, ελαιώνα. Αποθήκη OK ANYTIME MARKET. €5 εκατ. αποκατάσταση υποδομών. Πυρκαγιά επεκτάθηκε προς Ευκαρπία βράδυ (~20:30). Σε αυτή την εγγραφή ενσωματώνεται και η φωτιά στην εγκατάσταση ανακύκλωσης Φιλοθέης (ίδια πυρκαγιά).</t>
  </si>
  <si>
    <t>Νέα Καλλικράτεια Χαλκιδικής</t>
  </si>
  <si>
    <t>Προποντίδας</t>
  </si>
  <si>
    <t>Μηχανήματα και υδροφόρες Περιφέρειας Κεντρικής Μακεδονίας</t>
  </si>
  <si>
    <t>https://www.athensvoice.gr/epikairotita/ellada/973159/halkidiki-oriothetithike-i-fotia-sti-nea-kallikrateia-paramenoun-sto-simeio-oi-purosvestes/ ; https://www.avgi.gr/koinonia/524321_ekkenosi-stin-anthoypoli-oraiokastroy-ypo-meriko-elegho-se-kallikrateia-kai-kerkyra ; https://www.athensvoice.gr/epikairotita/ellada/973144/halkidiki-fotia-tora-sti-nea-kallikrateia-minuma-apo-to-112-gia-etoimotita/ ; https://www.ethnos.gr/greece/article/413555/fotiatoraepipodoshpyrosbestikhmepyrinametopasediaforashmeiathsxorasliveoxarths ; https://www.thetoc.gr/koinwnia/article/gi-tou-puros-i-kentriki-makedonia-16-foties-xespasan-sxedon-tautoxrona-se-thessaloniki-xalkidiki-kai-kilkis/ ; https://www.skai.gr/news/greece/fotia-sti-neas-kallikrateias-xalkidikis-sikothikan-enaeria-mesa-ixise-to-to-112 ; https://greekreporter.com/2026/07/05/greece-sixty-wildfires-day/ ; https://www.in.gr/2026/07/04/greece/fotia-sti-nea-kallikrateia-xalkidikis-ixise-to-112/ ; https://www.reader.gr/ellada/fotia-stin-halkidiki-oriothetithike-i-fotia-stin-nea-kallikrateia-fthores-se-spitia/652735 ; https://www.ertnews.gr/eidiseis/fotia-sti-nea-kallikrateia-xalkidikis-minyma-ekkenosis-apo-to-112-gia-ampelakia-kai-kipoupoli/</t>
  </si>
  <si>
    <t>Ζημιές σε τουλάχιστον 4 σπίτια. Εκκενώσεις κατοίκων από αστυνομία. Παρακολούθηση με drone θερμικής απεικόνισης (ΕΣΚΕΔΙΚ). Έρευνα για εμπρησμό από Ανακριτικό Κλιμάκιο Θεσσαλονίκης. | Μήνυμα 112 για ετοιμότητα. Ζημιές σε τουλάχιστον 4 κατοικίες. Drone ΕΣΚΔΙΚ με θερμική απεικόνιση. | Εκκένωση Κηπούπολης και Αμπελακίων προς Νέα Καλλικράτεια. 3 απεγκλωβισμοί ΕΛ.ΑΣ. Ζημιές σε αύλειους χώρους, ~4 σπίτια επηρεάστηκαν. 112 εστάλη στις 17:54. | Μικρές ζημιές σε εξοχικές κατοικίες. Εκκενώθηκαν Αμπελάκια και Κηπούπολη (112). Αίτιο υπό διερεύνηση από ΥΔΔΕ Θεσσαλονίκης.</t>
  </si>
  <si>
    <t>Νέοι Επιβάτες Θεσσαλονίκης</t>
  </si>
  <si>
    <t>δημοτικές υδροφόρες Δήμου Θερμαϊκού</t>
  </si>
  <si>
    <t>https://www.athensvoice.gr/epikairotita/ellada/973138/nea-fotia-tora-sti-thessaloniki-stin-periohi-neoi-epivates-minuma-tou-112-gia-etoimotita/ ; https://www.tanea.gr/2026/07/04/greece/pyrkagia-stous-neous-epivates-estali-112-gia-etoimotita/ ; https://www.thetoc.gr/koinwnia/article/gi-tou-puros-i-kentriki-makedonia-16-foties-xespasan-sxedon-tautoxrona-se-thessaloniki-xalkidiki-kai-kilkis/ ; https://www.newsit.gr/ellada/oriothetithike-i-fotia-sti-thessaloniki-stin-perioxi-neoi-epivates-minyma-tou-112-gia-etoimotita/4720274/ ; https://www.skai.gr/news/greece/fotia-stous-neous-epivates-thessalonikis ; https://www.efsyn.gr/ellada/1420439/pyrkagia-stoys-neoys-epivates-thessalonikis-epiheirei-kai-elikoptero/</t>
  </si>
  <si>
    <t>Χαμηλή βλάστηση. Μήνυμα 112 για ετοιμότητα. | Μήνυμα 112 για ετοιμότητα. Χαμηλή βλάστηση. Μία εκ των 16 ταυτόχρονων πυρκαγιών 4/7. | Αιτία υπό διερεύνηση από ΑΚΑΕΕ Θεσσαλονίκης.</t>
  </si>
  <si>
    <t>17:39</t>
  </si>
  <si>
    <t>Λειψύδριο Κιλκίς</t>
  </si>
  <si>
    <t>https://www.newsit.gr/ellada/fotia-sto-kilkis-ixise-to-112-stin-perioxi-leipsydrio-parameinete-se-etoimotita/4720252/ ; https://www.protothema.gr/greece/article/1845632/fotia-sto-leipsydrio-tou-kilkis-ihise-to-112/ ; https://www.thetoc.gr/koinwnia/article/fotia-tora-sto-leipsydrio-kilkis-minuma-apo-to-112/ ; https://www.newsbomb.gr/ellada/story/1747473/pyrkagia-sto-leipsydrio-tou-kilkis-epixeiroyn-5-aeroskafi ; https://www.dnews.gr/eidhseis/ellada/597912/fotia-tora-sto-kilkis-ixise-to-112 ; https://www.ethnos.gr/greece/article/413555/fotiatoraepipodoshpyrosbestikhmepyrinametopasediaforashmeiathsxorasliveoxarths ; https://www.thetoc.gr/koinwnia/article/gi-tou-puros-i-kentriki-makedonia-16-foties-xespasan-sxedon-tautoxrona-se-thessaloniki-xalkidiki-kai-kilkis/ ; https://www.cnn.gr/ellada/story/544014/oriothetithike-i-pyrkagia-pou-ksespase-se-xamili-vlastisi-sto-kilkis ; https://www.huffingtonpost.gr/kinonia/machi-me-tis-foties-se-koufalia-leipsydrio-kai-kristoni-kilkis-oriothetithike-i-pyrkagia-stin-chalkidiki/ ; https://www.rthess.gr/ellada/enischyontai-oi-pyrosvestikes-dynameis-gia-ti-fotia-sto-leipsydrio-kilkis/</t>
  </si>
  <si>
    <t>Μήνυμα 112 στις 16:22 για ετοιμότητα. Δεν απειλούνταν κατοικίες ή υποδομές κατά την ανακοίνωση. Έρευνα αιτιών από Ανακριτικό Κλιμάκιο Εμπρησμών Θεσσαλονίκης. Ταυτόχρονα 16 πυρκαγιές στην Κεντρική Μακεδονία. | Μήνυμα 112 για ετοιμότητα. Αρχικές δυνάμεις 36 πυρ/στες·11 οχ.·5 Α/Φ· ενισχύθηκαν σε 55 πυρ.·15 οχ. Μία εκ των 16 ταυτόχρονων πυρκαγιών Κεντρικής Μακεδονίας 4/7.</t>
  </si>
  <si>
    <t>16:10</t>
  </si>
  <si>
    <t>Αταβύρου (Έμπωνα - Άγιος Ισίδωρος)</t>
  </si>
  <si>
    <t>Ρόδου</t>
  </si>
  <si>
    <t>https://www.athensvoice.gr/epikairotita/ellada/973134/upo-elegho-i-fotia-sti-rodo-megali-kinitopoiisi-epigeion-kai-enaerion-dunameon/</t>
  </si>
  <si>
    <t>Χαμηλή βλάστηση, χωρίς δάσος. Μεγάλη κινητοποίηση επίγειων και εναέριων δυνάμεων (τοπικά εναέρια μέσα Ρόδου). Υπό έλεγχο περίπου 2 ώρες μετά την εκδήλωση. Αντιδήμαρχος και Αντιπεριφερειάρχης Δωδεκανήσου στο σημείο.</t>
  </si>
  <si>
    <t>13:52</t>
  </si>
  <si>
    <t>Ασίνη Αργολίδας</t>
  </si>
  <si>
    <t>Ναύπλιο</t>
  </si>
  <si>
    <t>αμέλεια — πυρκαγιά οχήματος που επεκτάθηκε σε δασική έκταση</t>
  </si>
  <si>
    <t>https://www.skai.gr/news/greece/tesseris-syllipseis-gia-treis-pyrkagies-apo-ameleia-se-argolida-kavala-kai-korinthia ; https://www.in.gr/2026/07/04/greece/tesseris-syllipseis-gia-treis-pyrkagies-apo-ameleia-se-argolida-kavala-kai-korinthia/ ; https://www.tanea.gr/2026/07/04/greece/tesseris-syllipseis-gia-treis-pyrkagies-apo-ameleia-se-argolida-kavala-kai-korinthia/</t>
  </si>
  <si>
    <t>Συνελήφθη 40χρονος. Πρόστιμο 2.707,03€.</t>
  </si>
  <si>
    <t>Παλλήνη - Λεωφόρος Σπάτων</t>
  </si>
  <si>
    <t>https://www.insider.gr/eidiseis/416261/oriothetithike-i-pyrkagia-se-hamili-blastisi-epi-tis-leoforoy-spaton-stin-pallini ; https://www.newsit.gr/ellada/fotia-stin-pallini-kaiei-konta-se-spitia-ixise-to-112-parameinete-se-etoimotita/4720134/ ; https://www.protothema.gr/greece/article/1845569/fotia-stin-pallini-koda-sto-ktima-nasioutzik-ihise-112-stous-katoikous/ ; https://www.skai.gr/news/greece/fotia-tora-se-ekseliksi-epi-tis-leoforou-spaton ; https://www.naftemporiki.gr/society/2133165/fotia-stin-pallini-ichise-to-112-gia-etoimotita/ ; https://www.newsbomb.gr/ellada/story/1747437/fotia-stin-pallini-minyma-tou-112-stous-katoikous ; https://www.huffingtonpost.gr/kinonia/fotia-stin-pallini-konta-se-spitia-ichise-to-112/</t>
  </si>
  <si>
    <t>Χαμηλή βλάστηση και ελαιόδεντρα κοντά στο κτήμα Νάσιουτζικ. Οριοθετήθηκε εντός ~45 λεπτών. Μήνυμα 112 για ετοιμότητα. Παρακολούθηση με drone. | Φωτιά κοντά στο κτήμα Νάσιουτζικ. Ήχησε 112 (ετοιμότητα). Οριοθετήθηκε σε ~45 λεπτά. Φωτιά σε χαμηλή βλάστηση μεταξύ ελαιώνων.</t>
  </si>
  <si>
    <t>10:46</t>
  </si>
  <si>
    <t>Καλαμίτσα Καβάλας</t>
  </si>
  <si>
    <t>Συνελήφθη 60χρονη αλλοδαπή.</t>
  </si>
  <si>
    <t>Κουφάλια Θεσσαλονίκης</t>
  </si>
  <si>
    <t>https://www.ethnos.gr/greece/article/413555/fotiatoraepipodoshpyrosbestikhmepyrinametopasediaforashmeiathsxorasliveoxarths ; https://www.news247.gr/ellada/sinexizetai-i-maxi-me-tis-floges-sto-kalapodi-fthiotidas-se-exelixi-sta-koufalia-thessalonikis/</t>
  </si>
  <si>
    <t>Μία εκ των 16 ταυτόχρονων πυρκαγιών Κεντρικής Μακεδονίας 4/7.</t>
  </si>
  <si>
    <t>Κρηστώνη Κιλκίς</t>
  </si>
  <si>
    <t>Κρηστώνη</t>
  </si>
  <si>
    <t>https://www.ethnos.gr/greece/article/413555/fotiatoraepipodoshpyrosbestikhmepyrinametopasediaforashmeiathsxorasliveoxarths</t>
  </si>
  <si>
    <t>Μία εκ των 16 ταυτόχρονων πυρκαγιών Κεντρικής Μακεδονίας 4/7. Λιγοστές λεπτομέρειες διαθέσιμες.</t>
  </si>
  <si>
    <t>Στρογγυλή - Ψαθοτόπι - Αγ. Σπυρίδων</t>
  </si>
  <si>
    <t>Αρταίων</t>
  </si>
  <si>
    <t>εξοπλισμός Περιφέρειας Ηπείρου + Δήμου Αρταίων (προχώματα)</t>
  </si>
  <si>
    <t>https://www.newsbomb.gr/ellada/story/1747032/arta-mainetai-i-fotia-sti-stroggyli-isxyroi-anemoi-dysxerainoun-tin-epixeirisi-katasvesis ; https://www.naftemporiki.gr/society/2132435/arta-pyrkagies-se-stroggyli-kai-psathotopi-minyma-toy-112/ ; https://www.newsit.gr/ellada/fotia-stin-arta-ixise-to-112-parameinete-se-etoimotita/4718533/ ; https://www.eleftherostypos.gr/ellada/fotia-tora-stin-arta-ischyri-kinitopoiisi-tis-pyrosvestikis-minyma-112-gia-etoimotita ; https://epirusonline.gr/eidiseis/ipeiros/megali-epicheirisi-tis-pyrosvestikis-se-fotia-stin-arta/ ; https://www.capital.gr/epikairotita/4002317/arta-purkagia-se-agrotodasiki-ektasi-metaxu-agiou-spuuridona-kai-stroggulis/</t>
  </si>
  <si>
    <t>Πολλαπλά ενωμένα πύρινα μέτωπα (Στρογγυλή, Βίγλα, Αγ. Σπυρίδων). Ισχυροί άνεμοι, πυκνά καλάμια· συνεχείς αναζωπυρώσεις. 112 για Αγ. Σπυρίδων («παραμείνετε σε ετοιμότητα»). Άκρως δύσκολη επιχείρηση. ΓΓΠΠ χάρτης 04/07: Άρτας ΥΨΗΛΗ (3) — Θεσσαλονίκης/Κιλκίς ΠΟΛΥ ΥΨΗΛΗ (4). | Πυρκαγιά ξεκίνησε 2 Ιουλίου σε αγροτοδασική έκταση μεταξύ Αγ. Σπυρίδωνα και Στρογγυλής· στις 4/7 συνεχιζόταν με ισχυρούς ανέμους που δυσχέρεναν κατάσβεση.</t>
  </si>
  <si>
    <t>Νέα Αρτάκη</t>
  </si>
  <si>
    <t>Χαλκιδέων</t>
  </si>
  <si>
    <t>υπό διερεύνηση — ΔΑΕΕ Εύβοιας (πιθανή αρχή από σπίτι, επέκταση σε αγροτοδασική έκταση)</t>
  </si>
  <si>
    <t>https://www.tanea.gr/2026/07/03/greece/eyvoia-fotia-sti-nea-artaki/ ; https://www.skai.gr/news/greece/fotia-stin-eyvoia-3 ; https://evianews.com/xalkida/73266/ektakto-synagermos-stin-nea-artaki-xespase-fotia-tora ; https://www.newsbomb.gr/ellada/story/1750388/fotia-stin-eyvoia-epixeiroyn-kai-enaeria-mesa ; https://www.newsbomb.gr/ellada/story/1750396/fotia-stin-eyvoia-ylikes-zimies-se-spiti-xoris-energo-metopo ; https://e-sterea.gr/oriothetimeni-i-fotia-stin-evvoia-paramenoun-oi-ischyres-dynameis-sto-simeio/</t>
  </si>
  <si>
    <t>Δασική έκταση. 112 ήχησε. Έγκαιρη επέμβαση· οριοθετήθηκε χωρίς αναφορές ζημιών/τραυματισμών. ΓΓΠΠ χάρτης 03/07: Εύβοιας ΥΨΗΛΗ (3). | Υλικές ζημιές σε σπίτι (προπάνιο) · δυνάμεις 20ής ΕΜΟΔΕ · Κατηγορία κινδύνου 3 · άνεμοι 4 Bf</t>
  </si>
  <si>
    <t>Σπαθοβούνι Κορινθίας</t>
  </si>
  <si>
    <t>Σπαθοβούνι</t>
  </si>
  <si>
    <t>3 ομάδες πεζοπόρων 9ης ΕΜΟΔΕ + Ομάδα Drone Ίκαρος Πελοποννήσου</t>
  </si>
  <si>
    <t>υδροφόρες Περιφέρειας Πελοποννήσου</t>
  </si>
  <si>
    <t>8 ομάδες</t>
  </si>
  <si>
    <t>υπό διερεύνηση (ΔΑΕΕ Κορίνθου)</t>
  </si>
  <si>
    <t>https://www.tanea.gr/2026/07/03/greece/fotia-tora-sto-spathovouni-korinthias-7-enaeria-mesa-stin-maxi-me-tis-floges/ ; https://www.newsbomb.gr/ellada/story/1747294/korinthos-fotia-sto-spathovoyni ; https://www.newsbomb.gr/ellada/story/1747333/korinthia-xoris-energo-metopo-i-fotia-sto-spathovoyni ; https://www.skai.gr/news/greece/pyrkagia-stin-stin-perioxi-agios-vasileios-korinthias ; https://www.parapolitika.gr/ellada/article/1756090/fotia-tora-sto-spathovouni-korinthias-terastia-kinitopoiisi-tis-purosvestikis-ishuroi-anemoi-duskoleuoun-tin-epiheirisi/ ; https://www.aftodioikisi.gr/koinonia/korinthos-oriothetithike-i-pyrgkagia/ ; https://www.news247.gr/ellada/pirosvestiki-44-pirkagies-ekdilothikan-to-teleftaio-24oro/ ; https://www.newsit.gr/ellada/fotia-sto-spathovouni-korinthias-ixise-to-112-gia-etoimotita/4719569/ ; https://www.in.gr/2026/07/03/greece/fotia-sto-spathovouni-korinthias-konta-sta-diodia-tis-ethnikis-odou/amp/ ; https://www.tovima.gr/2026/07/03/society/fotia-sto-spathovouni-korinthias-isxyres-epigeies-kai-enaeries-dynameis-sti-maxi-me-tis-floges ; https://www.parapolitika.gr/ellada/article/1756213/korinthia-horis-energo-metopo-i-megali-fotia-sto-spathovouni-ishures-dunameis-apetrepsan-ta-heirotera/ ; https://www.madata.gr/epikairotita/social/970625-fotia-sto-spathovoyni-korinthias-mhnyma-112-stoys-katoikoys-na-einai-se-etoimothta.html ; https://agioitheodoroi.com/megali-fotia-sto-spathovoyni-korinthias-ichise-to-112-gia-etoimotita/ ; https://www.iefimerida.gr/ellada/pyrosbestiki-tesseris-syllipseis-gia-treis-pyrkagies ; https://www.naftemporiki.gr/society/2132914/fotia-tora-sto-spathovoyni-korinthias/ ; https://www.skai.gr/news/greece/tesseris-syllipseis-gia-treis-pyrkagies-apo-ameleia-se-argolida-kavala-kai-korinthia ; https://www.in.gr/2026/07/04/greece/tesseris-syllipseis-gia-treis-pyrkagies-apo-ameleia-se-argolida-kavala-kai-korinthia/ ; https://www.protothema.gr/greece/article/1845496/tesseris-sullipseis-gia-foties-apo-ameleia-se-argolida-kavala-kai-korinthia/ ; https://www.ertnews.gr/eidiseis/ellada/tesseris-syllipseis-gia-treis-pyrkagies-apo-ameleia-se-argolida-kavala-kai-korinthia/ ; https://www.news.gr/ellada/article/4169279/tesseris-sillipsis-gia-tris-pirkagies-apo-amelia-se-argolida-kavala-ke-korinthia.html ; https://www.news.gr/ellada/article/4169047/choris-energo-metopo-i-fotia-sto-spathovouni-korinthias-katasvestike-to-pirino-metopo-stis-acharnes.html</t>
  </si>
  <si>
    <t>112 στις 17:00 για ετοιμότητα κατοίκων. Αγροτοδασική έκταση. Χωρίς ενεργό μέτωπο μετά αρχική κινητοποίηση. Ομάδα εντοπισμού εμπρησμού Κορίνθου παρούσα. ΓΓΠΠ χάρτης 03/07: Κορινθίας ΥΨΗΛΗ (3). | Αγροτοδασική έκταση κοντά σε διόδια Εθνικής Οδού. 112 στις 17:00 για ετοιμότητα κατοίκων. 1 ελικόπτερο συντονισμού. Χωρίς ενεργό μέτωπο. Χάρτης ΓΓΠΠ 3/7: Κορινθία κίτρινο = ΥΨΗΛΗ (3). | Συνελήφθησαν 2 άνδρες (48 και 59 ετών). | Μήνυμα 112 για ετοιμότητα. Κοντά στα διόδια Εθνικής Οδού. Συνελήφθησαν δύο άνδρες 48 και 59 ετών. Χωρίς ενεργό μέτωπο σύμφωνα με Newsbomb. | Συλλήψεις 48χρονου και 59χρονου Ελλήνων. Μέρος των 44 αγροτοδασικών πυρκαγιών 24ώρου 3/7.</t>
  </si>
  <si>
    <t>Ασίνη</t>
  </si>
  <si>
    <t>Ναυπλίου</t>
  </si>
  <si>
    <t>Φωτιά σε ΙΧ όχημα που επεκτάθηκε σε δασική έκταση</t>
  </si>
  <si>
    <t>https://www.iefimerida.gr/ellada/pyrosbestiki-tesseris-syllipseis-gia-treis-pyrkagies ; https://www.ertnews.gr/eidiseis/ellada/tesseris-syllipseis-gia-treis-pyrkagies-apo-ameleia-se-argolida-kavala-kai-korinthia/ ; https://www.voria.gr/article/tesseris-syllipseis-gia-pyrkagies-apo-ameleia-se-argolida-kabala-kai-korinthia</t>
  </si>
  <si>
    <t>Συνελήφθη 40χρονος. Διοικητικό πρόστιμο €2.707,03. | Σύλληψη 40χρονου Έλληνα από ΑΚΑΕΕ. Πρόστιμο €2.707,03.</t>
  </si>
  <si>
    <t>Δήμος Ναυπλιέων</t>
  </si>
  <si>
    <t>αμέλεια (φωτιά από όχημα 40χρονου εξαπλώθηκε σε δασική έκταση)</t>
  </si>
  <si>
    <t>https://www.protothema.gr/greece/article/1845496/tesseris-sullipseis-gia-foties-apo-ameleia-se-argolida-kavala-kai-korinthia/ ; https://www.skai.gr/news/greece/tesseris-syllipseis-gia-treis-pyrkagies-apo-ameleia-se-argolida-kavala-kai-korinthia ; https://www.ertnews.gr/eidiseis/ellada/tesseris-syllipseis-gia-treis-pyrkagies-apo-ameleia-se-argolida-kavala-kai-korinthia/</t>
  </si>
  <si>
    <t>Σύλληψη 40χρονου κατ' επίληψιν. Μέρος των 44 αγροτοδασικών πυρκαγιών 24ώρου 3/7. | Σύλληψη 40χρονου Έλληνα από ΑΚΑΕΕ. Πρόστιμο €2.707,03. Πιθανή ταύτιση με εγγραφή prefecture=Αργολίδας ίδιας ημερομηνίας/τοποθεσίας.</t>
  </si>
  <si>
    <t>Κανάλια Μουζακίου</t>
  </si>
  <si>
    <t>Μουζακίου</t>
  </si>
  <si>
    <t>https://www.newsbomb.gr/ellada/story/1747255/fotia-se-dasiki-ektasi-sta-kanalia-mouzakiou-stin-karditsa-epixeiroyn-5-enaeria ; https://www.skai.gr/news/greece/fotia-se-dasiki-ektasi-sta-kanalia-mouzakiou ; https://www.newsbomb.gr/ellada/story/1747281/ypo-elegxo-i-fotia-sta-kanalia-mouzakiou-stin-karditsa ; https://www.naftemporiki.gr/society/2132865/karditsa-choris-energo-metopo-i-pyrkagia-sto-moyzaki/ ; https://www.ertnews.gr/perifereia/karditsa-fotia-se-dasiki-ektasi-sta-kanalia-mouzakiou-sikothikan-5-enaeria-mesa/ ; https://www.tanea.gr/2026/07/03/greece/fotia-sto-mouzaki-karditsas-epixeiroun-enaeria-mesa-katasvesis/ ; https://www.skaikritis.gr/oriothetithike-i-fotia-sta-kanalia-mouzakiou/ ; https://www.in.gr/2026/07/03/greece/karditsa-fotia-sto-mouzaki-sikothikan-5-enaeria-mesa/</t>
  </si>
  <si>
    <t>Δασική έκταση δύσβατη. Χωρίς ενεργό μέτωπο. ΔΑΕΕ Καρδίτσας για διερεύνηση αιτίας. Χάρτης ΓΓΠΠ 3/7: Θεσσαλία κίτρινο = ΥΨΗΛΗ (3). | Αιτία υπό διερεύνηση από ΑΚΑΕΕ Καρδίτσας. Πυκνή δασική/δυσπρόσιτη περιοχή – κυρίως εναέρια επέμβαση.</t>
  </si>
  <si>
    <t>Μουζάκι - Κανάλια</t>
  </si>
  <si>
    <t>1 ομάδα πεζοπόρων 10ης ΕΜΟΔΕ + εθελοντές</t>
  </si>
  <si>
    <t>υδροφόρες Περιφέρειας Θεσσαλίας</t>
  </si>
  <si>
    <t>https://www.efsyn.gr/ellada/1419720/dasiki-pyrkagia-sto-moyzaki-karditsas-kinitopoiithikan-5-enaeria-mesa/ ; https://www.in.gr/2026/07/03/greece/karditsa-fotia-sto-mouzaki-sikothikan-5-enaeria-mesa/ ; https://www.naftemporiki.gr/society/2132811/fotia-tora-sto-moyzaki-karditsas-dyskolia-proseggisis/ ; https://www.naftemporiki.gr/society/2132865/karditsa-choris-energo-metopo-i-pyrkagia-sto-moyzaki/</t>
  </si>
  <si>
    <t>Δασική έκταση σε δυσπρόσιτη περιοχή· μεγάλη δυσκολία προσέγγισης υδροφόρων. Οριοθετήθηκε τις απογευματινές ώρες. ΓΓΠΠ χάρτης 03/07: Καρδίτσας ΥΨΗΛΗ (3).</t>
  </si>
  <si>
    <t>2026-07-04</t>
  </si>
  <si>
    <t>Καλαμίτσα</t>
  </si>
  <si>
    <t>3 ομάδες πεζοπόρων (2η, 7η, 21η ΕΜΟΔΕ)</t>
  </si>
  <si>
    <t>Φωτιά σε όχημα που επεκτάθηκε σε δασική έκταση</t>
  </si>
  <si>
    <t>https://www.iefimerida.gr/ellada/pyrosbestiki-tesseris-syllipseis-gia-treis-pyrkagies ; https://www.protothema.gr/greece/article/1845496/tesseris-sullipseis-gia-foties-apo-ameleia-se-argolida-kavala-kai-korinthia/ ; https://www.ertnews.gr/eidiseis/ellada/tesseris-syllipseis-gia-treis-pyrkagies-apo-ameleia-se-argolida-kavala-kai-korinthia/ ; https://www.firefightingreece.gr/2026/07/03/amesa-oriothetithike-i-pyrkagia-stin-kalamitsa-kavalas/ ; https://www.reader.gr/ellada/kabala-aytokinito-pire-fotia-en-kinisei-kai-prokalese-pyrkagia-se-dasiki-ektasi/652590</t>
  </si>
  <si>
    <t>Συνελήφθη 60χρονη γυναίκα. Επιβλήθηκε διοικητικό πρόστιμο. | Σύλληψη 60χρονης αλλοδαπής. Μέρος των 44 αγροτοδασικών πυρκαγιών 24ώρου 3/7. | 60χρονος αλλοδαπός συνελήφθη από ΑΚΑΕΕ Καβάλας. Πυρκαγιά οριοθετήθηκε άμεσα.</t>
  </si>
  <si>
    <t>Άγιος Σίλας - Αντιφίλιπποι</t>
  </si>
  <si>
    <t>3 ομάδες πεζοπόρων (2ης, 7ης, 21ης ΕΜΟΔΕ) + εθελοντές</t>
  </si>
  <si>
    <t>υδροφόρες Περιφέρειας Ανατολικής Μακεδονίας και Θράκης</t>
  </si>
  <si>
    <t>Ανάφλεξη αυτοκινήτου εν κινήσει στην Εγνατία Οδό</t>
  </si>
  <si>
    <t>https://www.newsbomb.gr/ellada/story/1747207/fotia-se-dasiki-ektasi-stin-kavala-lampadiase-oxima-kai-epektathike ; https://www.reader.gr/ellada/kabala-aytokinito-pire-fotia-en-kinisei-kai-prokalese-pyrkagia-se-dasiki-ektasi/652590 ; https://www.naftemporiki.gr/society/2132730/kavala-stis-floges-dasiki-ektasi-apo-anaflexi-aytokinitoy/ ; https://www.skai.gr/news/greece/pyrkagia-stin-kavala-kinitopoiithikan-kai-enaeria-mesa ; https://www.thasos.news/%CE%BA%CE%B1%CE%B2%CE%AC%CE%BB%CE%B1-%CF%86%CF%89%CF%84%CE%B9%CE%AC-%CF%83%CE%B5-%CE%B1%CF%85%CF%84%CE%BF%CE%BA%CE%AF%CE%BD%CE%B7%CF%84%CE%BF-%CE%B5%CF%80%CE%B5%CE%BA%CF%84%CE%AC%CE%B8%CE%B7%CE%BA/ ; https://thesstoday.gr/%CE%BA%CE%B1%CE%B2%CE%AC%CE%BB%CE%B1-%CF%83%CE%B5-%CF%8D%CF%86%CE%B5%CF%83%CE%B7-%CE%B7-%CE%BC%CE%B5%CE%B3%CE%AC%CE%BB%CE%B7-%CF%80%CF%85%CF%81%CE%BA%CE%B1%CE%B3%CE%B9%CE%AC-%CF%83%CF%84%CE%BF%CF%85/</t>
  </si>
  <si>
    <t>Αυτοκίνητο ανεφλέγη εν κινήσει στο ρεύμα Θεσσαλονίκης, ύψος Αγ. Σίλα. Κλειστή προσωρινά Εγνατία Οδός. Κάηκε χαμηλή βλάστηση + μερικά δέντρα· ζημιά σε ΔΕΗ κολόνα. ΓΓΠΠ χάρτης 03/07: Καβάλας ΥΨΗΛΗ (3).</t>
  </si>
  <si>
    <t>Αχαρνές</t>
  </si>
  <si>
    <t>https://www.tanea.gr/2026/07/03/greece/ypo-elegxo-i-fotia-se-xamili-vlastisi-stis-axarnes-xoris-energo-metopo/</t>
  </si>
  <si>
    <t>Φωτιά σε χαμηλή βλάστηση. Χωρίς ενεργό μέτωπο. ΓΓΠΠ χάρτης 03/07: Αττικής ΥΨΗΛΗ (3).</t>
  </si>
  <si>
    <t>13:55</t>
  </si>
  <si>
    <t>Στρογγυλή – Άγιος Σπυρίδωνας Άρτας</t>
  </si>
  <si>
    <t>2 ομάδες πεζοπόρων ΕΜΟΔΕ</t>
  </si>
  <si>
    <t>Υδροφόρες + μηχανήματα Περιφέρειας Ηπείρου και Δήμου Αρταίων</t>
  </si>
  <si>
    <t>σε ύφεση</t>
  </si>
  <si>
    <t>υπό διερεύνηση (ΔΑΕΕ Ηπείρου)</t>
  </si>
  <si>
    <t>https://newpost.gr/eidiseis/arta-diplo-pyrino-metopo-se-stroggyli-kai-agio-spyridona-energopoiithike-to-112/ ; https://www.news247.gr/ellada/fotia-stin-arta-sikothikan-4-enaeria-minima-112-gia-etoimotita/ ; https://www.newsbomb.gr/ellada/story/1747032/arta-mainetai-i-fotia-sti-stroggyli-isxyroi-anemoi-dysxerainoun-tin-epixeirisi-katasvesis ; https://www.athensvoice.gr/epikairotita/ellada/972769/arta-purkagia-metaxu-agiou-spuridona-kai-stroggulis-enishuthikan-oi-purosvestikes-dunameis/ ; https://www.huffingtonpost.gr/kinonia/synagermos-gia-fotia-stin-arta-minyma-tou-112-gia-etoimotita/ ; https://www.cnn.gr/ellada/story/541768/enisxythikan-oi-dynameis-stin-fotia-stin-arta-synexeis-ripseis-apo-eksi-aeroskafi-kai-elikopera ; https://www.in.gr/2026/07/02/greece/fotia-stin-arta-minyma-apo-112/ ; https://www.tanea.gr/2026/07/02/greece/fotia-ston-agio-spyridona-artas-ixise-112-gia-etoimotita/ ; https://www.eleftherostypos.gr/ellada/fotia-tora-stin-arta-ischyri-kinitopoiisi-tis-pyrosvestikis-minyma-112-gia-etoimotita ; https://www.protothema.gr/greece/article/1844596/fotia-tora-stin-arta-112-gia-etoimotita-stin-periohi-agios-spuridon-sikothikan-2-aeroskafi-kai-2-elikoptera/ ; https://www.dnews.gr/eidhseis/ellada/597528/fotia-tora-stin-arta-minyma-apo-to-112 ; https://www.capital.gr/epikairotita/4002317/arta-purkagia-se-agrotodasiki-ektasi-metaxu-agiou-spuuridona-kai-stroggulis/ ; https://www.naftemporiki.gr/society/2132435/arta-pyrkagies-se-stroggyli-kai-psathotopi-minyma-toy-112/</t>
  </si>
  <si>
    <t>112 ετοιμότητα για Άγιο Σπυρίδωνα (~16:23). Ισχυροί άνεμοι + καλαμιές δυσχέρεναν κατάσβεση με συνεχείς αναζωπυρώσεις. Μέτωπα Στρογγυλή-Βίγλα-Άγιος Σπυρίδωνας ενώθηκαν. Κίνδυνος επέκτασης σε οικισμούς. Χάρτης ΓΓΠΠ 02/07: επίπεδο 3 (ΥΨΗΛΗ) για Ήπειρο. | Αγροτοδασική έκταση μεταξύ Αγ. Σπυρίδωνα &amp; Στρογγυλής. 112 ετοιμότητα ~16:23. Δεν απειλήθηκαν κατοικίες. Drone θερμικής κάμερας ΕΣΚΕΔΙΚ. Χάρτης ΓΓΠΠ 2/7: Άρτα ΥΨΗΛΗ (κίτρινο, επίπεδο 3).</t>
  </si>
  <si>
    <t>Στρογγύλη Δήμου Άρτας</t>
  </si>
  <si>
    <t>Άρτα</t>
  </si>
  <si>
    <t>2 ομάδες πεζοπόρων 5ης ΕΜΟΔΕ</t>
  </si>
  <si>
    <t>https://www.eleftherostypos.gr/ellada/fotia-tora-stin-arta-ischyri-kinitopoiisi-tis-pyrosvestikis-minyma-112-gia-etoimotita ; https://www.efsyn.gr/ellada/1419039/pyrino-metopo-stin-arta-minyma-112-stoys-katoikoys/ ; https://www.naftemporiki.gr/society/2132435/arta-pyrkagies-se-stroggyli-kai-psathotopi-minyma-toy-112/ ; https://www.skai.gr/news/greece/pyrkagia-se-ekseliksi-se-agrotodasiki-ektasi-stin-stroggyli-tis-artas ; https://newpost.gr/eidiseis/arta-diplo-pyrino-metopo-se-stroggyli-kai-agio-spyridona-energopoiithike-to-112/</t>
  </si>
  <si>
    <t>Αγροτοδασική έκταση, Τ.Κ. Στρογγύλης. 112 μήνυμα ετοιμότητας για περιοχή Αγίου Σπυρίδωνα. Χάρτης ΓΓΠΠ 02/07 (έκδοση 01/07/2026 12:30): Άρτης = κίτρινο (3). | Ενισχύθηκαν δυνάμεις (αρχικά 26π/8ο/2α/2ε → 55π/13ο/4α/2ε). Παράλληλη πυρκαγιά εκδηλώθηκε ίδια ημέρα στο Ψαθοτόπι Άρτας.</t>
  </si>
  <si>
    <t>Ψαθοτόπι Δήμου Άρτας</t>
  </si>
  <si>
    <t>https://www.naftemporiki.gr/society/2132435/arta-pyrkagies-se-stroggyli-kai-psathotopi-minyma-toy-112/</t>
  </si>
  <si>
    <t>ΝΕΑΣ ΑΝΑΚΑΛΥΨΗ – Παράλληλη πυρκαγιά με Στρογγύλη ίδιας ημέρας. Ελάχιστες λεπτομέρειες διαθέσιμες. Προς διερεύνηση.</t>
  </si>
  <si>
    <t>Κουφάλια (2 εστίες)</t>
  </si>
  <si>
    <t>Δήμος Χαλκηδόνος</t>
  </si>
  <si>
    <t>https://www.tanea.gr/2026/07/01/greece/fotia-se-rematia-sta-koufalia-thessalonikis ; https://www.skai.gr/news/greece/koufalia-thessalonikis-dyo-diaforetikes-esties-fotias-mesa-se-25-lepta ; https://www.newsbomb.gr/ellada/story/1746751/fotia-tora-sta-koufalia-thessalonikis ; https://www.karfitsa.gr/ellada/thessaloniki/katasvestike-i-mia-pyrkagia-sta-koufalia-veltiomeni-eikona-parousiazei-i-defteri/</t>
  </si>
  <si>
    <t>2 ξεχωριστές εστίες σε διαφορά 25 λεπτών. 1η εστία σε ρεματιά (ξερά χόρτα/καλαμιές), 2η σε χαμηλή βλάστηση. Μία κατασβέστηκε, η δεύτερη υπό έλεγχο.</t>
  </si>
  <si>
    <t>2026-07-02</t>
  </si>
  <si>
    <t>Κουφάλια Δήμου Χαλκηδόνος</t>
  </si>
  <si>
    <t>Χαλκηδόνος</t>
  </si>
  <si>
    <t>https://www.skai.gr/news/greece/koufalia-thessalonikis-dyo-diaforetikes-esties-fotias-mesa-se-25-lepta ; https://www.naftemporiki.gr/society/2132093/thessaloniki-ypo-elegcho-oi-dyo-pyrkagies-poy-xespasan-schedon-taytochrona-sta-koyfalia/ ; https://www.thestival.gr/eidiseis/astynomika/thessaloniki-ypo-elegcho-i-mia-apo-tis-dy/</t>
  </si>
  <si>
    <t>2 ξεχωριστές εστίες σε χαμηλή βλάστηση με διαφορά ~25 λεπτών. Τέθηκαν υπό έλεγχο εντός της ίδιας ημέρας. Χάρτης ΓΓΠΠ 01/07: 404.</t>
  </si>
  <si>
    <t>2026-07-03</t>
  </si>
  <si>
    <t>Άγιος Γεώργιος Μεθάνων</t>
  </si>
  <si>
    <t>3 ομάδες πεζοπόρων 9ης ΕΜΟΔΕ</t>
  </si>
  <si>
    <t>https://www.news.gr/ellada/article/4167711/xespase-fotia-se-agrotodasiki-ektasi-sta-methana.html ; https://www.efsyn.gr/ellada/1418209/pyrkagia-ston-agio-georgio-sta-methana-minyma-toy-112-stoys-katoikoys-na-einai-se-etoimotita/ ; https://www.newsbomb.gr/ellada/story/1746733/fotia-sta-methana-megali-kinitopoiisi-tis-pyrosvestikis-ston-agio-georgio ; https://www.lifo.gr/now/greece/fotia-tora-sta-methana-kaiei-se-agrotodasiki-ektasi-ihise-112 ; https://www.cnn.gr/ellada/story/541569/se-ekseliksi-pyrkagia-sta-methana-minyma-tou-112-gia-etoimotita-ton-katoikon ; https://www.ertnews.gr/eidiseis/methana-oriothetithike-i-pyrkagia-ston-agio-georgio/ ; https://www.npress.gr/greece/se-yfesi-i-fotia-ston-agio-georgio-methanon-synechizetai-i-epifylaki-tis-pyrosvestikis/</t>
  </si>
  <si>
    <t>Ενισχύσεις από Τρίπολη και Μεγαλόπολη. 112 ετοιμότητας κατοίκων 17:16. Μεγάλη αγροτοδασική έκταση. | Οριοθετήθηκε νωρίς το βράδυ της 01/07. Κλιμάκιο Εμπρησμού Αργολίδας ανέλαβε έρευνα αιτίας. Παρέμειναν δυνάμεις για αντιπυρική επιτήρηση.</t>
  </si>
  <si>
    <t>13:40</t>
  </si>
  <si>
    <t>Καλαποδί</t>
  </si>
  <si>
    <t>Λοκρών</t>
  </si>
  <si>
    <t>4 ομάδες πεζοπορίας (4η και 10η ΕΜΟΔΕ)</t>
  </si>
  <si>
    <t>βυτιοφόρα Περιφέρειας Στερεάς Ελλάδας</t>
  </si>
  <si>
    <t>Θεριζοαλωνιστική μηχανή (αμέλεια) — 43χρονος συνελήφθη 02/07</t>
  </si>
  <si>
    <t>https://www.efsyn.gr/ellada/1418080/megali-fotia-sto-kalapodi-fthiotidas-minyma-112-gia-na-apomakrynthoyn-oi-katoikoi-apo-tin-periohi/ ; https://www.protothema.gr/greece/article/1843938/fotia-tora-sto-kalapodi-fthiotidas-sikothikan-11-enaeria/ ; https://www.thetoc.gr/koinwnia/article/fthiotida-mainetai-i-fotia-sto-kalapodi---sti-maxi-pano-apo-100-pyrosbestes-ekkenonetai-to-kataluma/ ; https://www.skai.gr/news/greece/fotia-sto-kalapodi-fthiotidas-isxyres-epigeies-kai-enaeries-dynameis-sti-maxi-me-tis-floge ; https://www.newsbomb.gr/ellada/story/1746727/fotia-sti-fthiotida-ekkenothikan-ta-xoria-sfaka-zeli-kai-katalyma-baraz-minymaton-112 ; https://www.ekathimerini.com/news/1308328/wildfire-in-central-greece-triggers-evacuation-order/ ; https://www.newsit.gr/ellada/fotia-sto-kalapodi-fthiotidas-maxi-dinoun-pano-apo-100-pyrosvestes-me-enaeries-dynameis-ekkenonetai-kai-to-katalyma/4717590/ ; https://www.athensvoice.gr/epikairotita/ellada/972562/ekkenonetai-i-sfaka-12-enaeria-epiheiroun-sti-megali-fotia-sto-kalapodi-fthiotidas/ ; https://www.fireservice.gr/el_GR/-/enemerose-gia-tis-agrotodasikes-pyrkagies-tou-teleutaiou-24orou-apo-o-18-00-30-06-2026-eos-o-18-00-01-07-2026 ; https://abcnews.com/International/wireStory/wildfire-evacuation-warning-issued-northern-greece-after-father-134376190 ; https://www.megatv.com/2026/07/02/fthiotida-se-yfesi-i-fotia-sto-kalapodi-synexizoun-na-epixeiroun-oi-pyrosvestikes-dynameis ; https://www.tanea.gr/2026/07/02/greece/synelifthi-43xronos-gia-tin-fotia-sto-kalapodi-katigoreitai-gia-proklisi-pyrkagias-apo-ameleia/ ; https://www.cnn.gr/ellada/story/541807/apo-therizoalonistiki-mixani-ksekinise-i-pyrkagia-sto-kalapodi-fthiotidas-syllipsi-43xronou ; https://www.newsit.gr/ellada/fotia-sto-kalapodi-fthiotidas-43xronos-me-therizoalonistiki-mixani-synelifthi-gia-proklisi-pyrkagias-apo-ameleia/4718813/ ; https://www.antenna.gr/Society/article/4/1000697/fthiotida-se-yfesi-i-fotia-sto-kalapodi ; https://www.cnn.gr/ellada/story/541658/fthiotida-se-yfesi-i-fotia-sto-kalapodi-synexizoun-na-epixeiroyn-isxyres-dynameis</t>
  </si>
  <si>
    <t>Εκκενώθηκαν Σφάκα, Ζέλι και Κατάλυμα προς Ελάτεια. Έκλεισε η Εθνική οδός Αταλάντης-Λιβαδειάς (Κόμβος Καλαποδίου–Κόμβος Σφάκας). Χρόνοι 112: 14:57 πρώτο μήνυμα, 15:37 εκκένωση Σφάκας, 16:43 εκκένωση Καλύματος. Ισχυροί άνεμοι. Χάρτης ΓΓΠΠ 1/7 μη διαθέσιμος (404). Fireservice.gr: 40 πυρκαγιές 24ωρου 30/6–1/7, εκ των οποίων 7 ακόμη υπό αντιμετώπιση στις 18:00/1/7. | Μεγαλύτερη αγροτοδασική πυρκαγιά περιόδου 2026 σύμφωνα με Πυροσβεστική. Εκκενώσεις Σφάκα &amp; Κατάλυμα. &gt;130 πυροσβέστες με αεροσκάφη/ελικόπτερα· ισχυροί άνεμοι. Ακριβής ημ/νία έναρξης αβέβαιη (30/6 ή 1/7). ΓΓΠΠ χάρτης 01/07 μη διαθέσιμος (HTTP 404). | Κοντά στο Καλαποδί, νότια Κάμενας Βούρλας. Εκκενώσεις χωριών Σφάκα και Κατάλυμα. Άνω των 130 πυροσβεστών με αεροσκάφη και ελικόπτερα. Ισχυροί άνεμοι. | Δύο πύρινα μέτωπα υπό έλεγχο ~21:00 (01/07) · εκκενώθηκαν οικισμοί Σφάκα και Κατάλυμα · ζημιές: στάβλος, αποθήκη, γεώτρηση · 43χρονος συνελήφθη 02/07 για αμέλεια (θεριζοαλωνιστική μηχανή)</t>
  </si>
  <si>
    <t>Καλαποδί Λοκρίδας</t>
  </si>
  <si>
    <t>Λοκρίδας</t>
  </si>
  <si>
    <t>7 ομάδες πεζοπόρων (ΕΜΟΔΕ 4η και 10η)</t>
  </si>
  <si>
    <t>υδροφόρες Περιφέρειας και Δήμων</t>
  </si>
  <si>
    <t>Υπό διερεύνηση (πιθανή αιτία: εργασίες θεριζοαλωνιστικής μηχανής)</t>
  </si>
  <si>
    <t>https://www.ekathimerini.com/news/1308328/wildfire-in-central-greece-triggers-evacuation-order/ ; https://www.newsbomb.gr/ellada/story/1746771/megali-fotia-sti-fthiotida-se-dyo-metopa-i-pyrkagia-ekkenonontai-oikismoi ; https://www.skai.gr/news/greece/fotia-sto-kalapodi-fthiotidas-isxyres-epigeies-kai-enaeries-dynameis-sti-maxi-me-tis-floge ; https://www.newsbomb.gr/ellada/story/1746790/megali-fotia-sti-fthiotida-kalyteri-i-eikona-maxi-na-tethei-ypo-pliri-elegxo ; https://www.newsbomb.gr/ellada/story/1746771/megali-fotia-sti-fthiotida-se-dyo-metopa-i-pyrkagia-ekkenonontai-oikismoi-kaike-spiti ; https://www.lykavitos.gr/news/greece/fthiotida-se-yfesi-i-fotia-sto-kalapodi ; https://www.cnn.gr/ellada/story/541610/mainetai-i-pyrkagia-stin-fthiotida-plirofories-gia-kammeno-spiti ; https://www.newsbomb.gr/ellada/story/1746727/fotia-sti-fthiotida-ekkenothikan-ta-xoria-sfaka-zeli-kai-katalyma-baraz-minymaton-112 ; https://abcnews.com/International/wireStory/wildfire-evacuation-warning-issued-northern-greece-after-father-134376190 ; https://www.newsit.gr/ellada/fotia-sto-kalapodi-fthiotidas-sikothikan-9-aeroplana-kai-2-elikoptera-minyma-tou-112-gia-ekkenosi/4717492/ ; https://en.protothema.gr/2026/07/01/forty-agricultural-and-forest-fires-reported-across-greece-in-24-hours-says-fire-service/ ; https://www.huffingtonpost.gr/kinonia/fotia-sti-fthiotida-epicheiroun-11-enaeria-mesa/ ; https://www.cnn.gr/ellada/story/541555/fotia-sti-fthiotida-minyma-apo-to-112-gia-ekkenosi-tis-sfakas-epixeiroyn-11-enaeria ; https://www.tanea.gr/2026/07/01/greece/veltiomeni-i-eikona-tis-fotias-sti-fthiotida-enisxythikan-peraitero-oi-pyrosvestikes-dynam/ ; https://www.lamiareport.gr/topika/topikanea/item/fthiotida-mexri-to-teleytaio-fos-epixeirisan-aeroplana-kai-elikoptera-sti-megali-pyrkagia-sto-kalapodi-vinteo-foto/ ; https://tvstar.gr/2026/07/02/i-epomeni-mera-tis-fotias-sti-fthiotida-megales-ektaseis-gis-eginan-stachti-stin-katasvesi-kai-i-epomea-lokron-foto-video/ ; https://www.efsyn.gr/ellada/1418026/fotia-stin-periohi-kalapodi-tis-fthiotidas-epiheiroyn-kai-11-enaeria-mesa/ ; https://www.efsyn.gr/ellada/1418080/megali-fotia-sto-kalapodi-fthiotidas-minyma-112-gia-na-apomakrynthoyn-oi-katoikoi-apo-tin-periohi/ ; https://www.athensvoice.gr/epikairotita/ellada/972552/megali-i-fotia-sto-kalapodi-fthiotidas-sikothikan-11-enaeria-112-gia-etoimotita-se-sfaka-kai-zeli/ ; https://www.megatv.com/2026/07/02/fthiotida-se-yfesi-i-fotia-sto-kalapodi-synexizoun-na-epixeiroun-oi-pyrosvestikes-dynameis ; https://www.parapolitika.gr/ellada/article/1754905/mainetai-i-fotia-sto-kalapodi-fthiotidas-duo-ta-purina-metopa-sti-mahi-135-purosvestes-kai-25-enaeria-eikones-video/</t>
  </si>
  <si>
    <t>Δύο μέτωπα: α) προς Ελάτεια, β) προς «Κατοστάρα» (πιο επικίνδυνο). 112 εκκένωση Σφάκα + Κατάλυμα (κατεύθυνση: Ελάτεια). Κάηκε 1 σπίτι + αποθήκη στη Σφάκα. Ανησυχία για Έξαρχο. Αρσονοεξεταστές επί τόπου. Χάρτης ΓΓΠΠ 1/7 μη διαθέσιμος (404). Στις 2/7 η Φθιώτιδα σε επίπεδο 2 (ΜΕΣΗ). | 2 ενεργά μέτωπα (Ελάτεια, Σφάκα–Κατάλυμα). Εκκενώσεις: Σφάκα, Κατάλυμα, Ζέλι. Κάηκε σπίτι και αποθήκη. Φλόγες πλησίασαν Ελάτεια. Χάρτης ΓΓΠΠ 1/7 μη διαθέσιμος (404). | Εκκένωση Σφάκα, Ζέλι, Κατάλυμα (μπαράζ 112). Κάηκαν 1 κατοικία + 1 αποθήκη στη Σφάκα. Μέτωπο ~6 χλμ σε 2 κατευθύνσεις (προς Ελάτεια + Κατοστάρα). Εικόνα βελτιώθηκε ~20:00. Αρχικές δυνάμεις (Newsbomb): 135/32/23αε/10ελ. Χάρτης ΓΓΠΠ 01/07: 404 (μη διαθέσιμος). | Εκκενώσεις Σφάκα &amp; Κατάλυμα (112: απομάκρυνση προς Ελάτεια). Αγροτοδασική έκταση. Σε ύφεση 02/07. ΕΣΚΕΔΙΚ drone θερμικής κάμερας. «Εκατοντάδες στρέμματα στάχτη». Χάρτης ΓΓΠΠ 1/7 μη διαθέσιμος (HTTP 404). | Αγροτοδασική έκταση νότια Κάμενας Βούρλας. Εκκενώθηκαν Σφάκα, Κατάλυμα, Ζέλι. Ισχυροί άνεμοι. Σε ύφεση 2/7. Τουλάχιστον 11 εναέρια (μία πηγή αναφέρει έως 19), 6 ελικόπτερα (1 συντονισμός). Χάρτης ΓΓΠΠ 1/7: μη διαθέσιμος (404). | Δύο πύρινα μέτωπα υπό έλεγχο ~21:00 (01/07) · εκκενώθηκαν οικισμοί Σφάκα και Κατάλυμα · ίδιο περιστατικό με «Καλαποδί» Φθιώτιδας (παράλληλη αποτύπωση)</t>
  </si>
  <si>
    <t>Καλαποδί Φθιώτιδας</t>
  </si>
  <si>
    <t>Μακρακώμη</t>
  </si>
  <si>
    <t>7 ομάδες πεζοπόρων 1ης, 4ης και 10ης ΕΠΟ</t>
  </si>
  <si>
    <t>αμέλεια – σύλληψη 43χρονου Έλληνα που χρησιμοποιούσε θεριζοαλωνιστική μηχανή</t>
  </si>
  <si>
    <t>https://abcnews.com/International/wireStory/wildfire-evacuation-warning-issued-northern-greece-after-father-134376190 ; https://www.skai.gr/news/greece/fotia-sto-kalapodi-fthiotidas-isxyres-epigeies-kai-enaeries-dynameis-sti-maxi-me-tis-floge ; https://www.lamiareport.gr/topika/topikanea/item/fthiotida-mexri-to-teleytaio-fos-epixeirisan-aeroplana-kai-elikoptera-sti-megali-pyrkagia-sto-kalapodi-vinteo-foto/ ; https://www.megatv.com/2026/07/02/fthiotida-se-yfesi-i-fotia-sto-kalapodi-synexizoun-na-epixeiroun-oi-pyrosvestikes-dynameis ; https://www.efsyn.gr/ellada/1418026/fotia-stin-periohi-kalapodi-tis-fthiotidas-epiheiroyn-kai-11-enaeria-mesa/ ; https://en.protothema.gr/2026/07/01/forty-agricultural-and-forest-fires-reported-across-greece-in-24-hours-says-fire-service/ ; https://www.newsit.gr/ellada/fotia-sto-kalapodi-fthiotidas-43xronos-me-therizoalonistiki-mixani-synelifthi-gia-proklisi-pyrkagias-apo-ameleia/4718813/ ; https://www.cnn.gr/ellada/story/541658/fthiotida-se-yfesi-i-fotia-sto-kalapodi-synexizoun-na-epixeiroyn-isxyres-dynameis ; https://www.lifo.gr/now/greece/fotia-sto-kalapodi-fthiotidas-enishythikan-se-155-oi-pyrosbestes-plisiazei-horio-elateia</t>
  </si>
  <si>
    <t>Εκκένωση χωριών Σφάκα και Κατάλυμα. Ισχυροί άνεμοι. Σε ύφεση 2/7/2026. Αναφέρεται στο Yutori Scout email 2/7. | Χαρακτηρίστηκε η μεγαλύτερη αγροτοδασική πυρκαγιά της χρονιάς 2026 έως εκείνη την ημέρα. Πρωί 02/07 παρέμεναν εναέρια μέσα σε ύφεση. Εκκενώθηκαν Σφάκα και Κατάλυμα.</t>
  </si>
  <si>
    <t>Βαλανιδούσα Πρέβεζας</t>
  </si>
  <si>
    <t>Δήμος Πρέβεζας</t>
  </si>
  <si>
    <t>5η ΕΜΟΔΕ</t>
  </si>
  <si>
    <t>αμέλεια: καύση παλετών και περιττωμάτων ζώων σε χωράφι</t>
  </si>
  <si>
    <t>https://www.newsit.gr/ellada/preveza-ekaigan-paletes-lampadiasan-25-stremmata-kai-vrethikan-me-xeiropedes-syllipsi-kai-sti-xalkidiki-gia-ergasies-me-troxo-pou-prokalesan-pyrkagia/4717849/ ; https://www.in.gr/2026/07/01/greece/treis-syllipseis-gia-pyrkagies-apo-ameleia-se-preveza-kai-xalkidiki/ ; https://www.tanea.gr/2026/07/02/greece/treis-syllipseis-gia-pyrkagies-apo-ameleia-se-preveza-kai-xalkidiki/ ; https://www.newsbomb.gr/ellada/story/1746792/treis-syllipseis-gia-pyrkagies-apo-ameleia-se-preveza-kai-xalkidiki ; https://www.protothema.gr/greece/article/1844222/treis-sullipseis-gia-purkagies-apo-ameleia-se-preveza-kai-halkidiki/ ; https://www.dnews.gr/eidhseis/ellada/597377/treis-syllipseis-gia-foties-se-preveza-kai-xalkidiki ; https://www.cretalive.gr/ellada/pyrosbestiki-treis-syllipseis-gia-pyrkagies-apo-ameleia ; https://epirusgate.gr/preveza-evalan-fotia-se-paletes-kaikan-25-stremmata-kai-synelifthisan/ ; https://prismaradio.gr/2026/07/01/pyrkagia-se-exelixi-stin-valanidoysa/</t>
  </si>
  <si>
    <t>Σύλληψη 58χρονου και 24χρονης (αυτόφωρο). Πρόστιμο €3.557,81 έκαστος. 25 στρέμματα = 2,5 ha. | 2 συλλήψεις για αμέλεια. 25 στρέμματα καμένα (=2,5 ha). Χάρτης ΓΓΠΠ 1/7: μη διαθέσιμος (404). | ~25 στρέμματα ξηρής χόρτας και πουρναριών. Σύλληψη υπαίτιου (αμέλεια). Χάρτης ΓΓΠΠ 01/07: 404. | 2 συλληφθέντες επ' αυτοφώρω (58χρονος και 24χρονη). Πρόστιμο €3.557,81. Πηγή αναφέρει Δήμος Πάργας (επαλήθευση συνιστάται).</t>
  </si>
  <si>
    <t>Πάργας</t>
  </si>
  <si>
    <t>αμέλεια – καύση παλετών και ζωικών υπολειμμάτων</t>
  </si>
  <si>
    <t>https://www.newsit.gr/ellada/preveza-ekaigan-paletes-lampadiasan-25-stremmata-kai-vrethikan-me-xeiropedes-syllipsi-kai-sti-xalkidiki-gia-ergasies-me-troxo-pou-prokalesan-pyrkagia/4717849/ ; https://www.newsbomb.gr/ellada/story/1746792/treis-syllipseis-gia-pyrkagies-apo-ameleia-se-preveza-kai-xalkidiki ; https://www.atpreveza.gr/index.php/epikairothta/211021-pyrkagia-se-xortolivadiki-ektasi-stin-t-k-valanidoysas ; https://www.atpreveza.gr/index.php/epikairothta/211035-dyo-syllipseis-kai-prostimo-3-557-81-evro-gia-ti-fotia-sti-valanidoysa ; https://epirusgate.gr/preveza-evalan-fotia-se-paletes-kaikan-25-stremmata-kai-synelifthisan/</t>
  </si>
  <si>
    <t>2 άτομα συνελήφθησαν. 25 στρέμματα (2,5 ha) ξηρής βλάστησης και πουρνάρια. | Δύο συλλήψεις (58χρονος, 24χρονη). Διοικητικό πρόστιμο 3.557,81€. Καύση παλετών και ζωικών υπολειμμάτων σε αγροτεμάχιο Βαλανιδούσας Πάργας.</t>
  </si>
  <si>
    <t>Γαλάτιστα Χαλκιδικής</t>
  </si>
  <si>
    <t>Πολύγυρος</t>
  </si>
  <si>
    <t>αμέλεια: εργασίες με ηλεκτρικό τροχό κοπής μετάλλου</t>
  </si>
  <si>
    <t>https://www.newsit.gr/ellada/preveza-ekaigan-paletes-lampadiasan-25-stremmata-kai-vrethikan-me-xeiropedes-syllipsi-kai-sti-xalkidiki-gia-ergasies-me-troxo-pou-prokalesan-pyrkagia/4717849/ ; https://www.in.gr/2026/07/01/greece/treis-syllipseis-gia-pyrkagies-apo-ameleia-se-preveza-kai-xalkidiki/ ; https://www.newsbomb.gr/ellada/story/1746792/treis-syllipseis-gia-pyrkagies-apo-ameleia-se-preveza-kai-xalkidiki ; https://www.dnews.gr/eidhseis/ellada/597377/treis-syllipseis-gia-foties-se-preveza-kai-xalkidiki ; https://www.tanea.gr/2026/07/01/greece/kaikan-25-stremmata-stin-preveza-apo-fotia-se-paletes-spinthires-apo-troxo-prokalesan-pyrkagia-sti-xalkidiki/ ; https://www.tanea.gr/2026/07/02/greece/treis-syllipseis-gia-pyrkagies-apo-ameleia-se-preveza-kai-xalkidiki/ ; https://www.protothema.gr/greece/article/1844222/treis-sullipseis-gia-purkagies-apo-ameleia-se-preveza-kai-halkidiki/</t>
  </si>
  <si>
    <t>Σύλληψη 1 ατόμου (αυτόφωρο). Ζημιές σε ελαιώνα και δασική έκταση. | 1 άτομο συνελήφθη. Φωτιά σε ελαιώνα και δασική έκταση. | Φωτιά σε ελαιώνα και θαμνώδη δασική έκταση. Σύλληψη υπαίτιου (αμέλεια). Χάρτης ΓΓΠΠ 01/07: 404. | Ελαιώνας και δασική έκταση με θαμνώδη βλάστηση. Χάρτης ΓΓΠΠ 1/7 μη διαθέσιμος (HTTP 404). | 1 σύλληψη για αμέλεια. Χάρτης ΓΓΠΠ 1/7: μη διαθέσιμος (404). | ΝΕΑΣ ΑΝΑΚΑΛΥΨΗ batch 27. Ζημιά σε ελαιώνα και δασική έκταση με θαμνώδη βλάστηση. 1 σύλληψη επ' αυτοφώρω. Καμένη έκταση: δεν προσδιορίστηκε από πηγές.</t>
  </si>
  <si>
    <t>Νάξος Μελάνες–Χώρα</t>
  </si>
  <si>
    <t>Δήμος Νάξου και Μικρών Κυκλάδων</t>
  </si>
  <si>
    <t>νταλίκα μεταφοράς μαρμάρων (πυρκαγιά σε εξάτμιση–κινητήρα)</t>
  </si>
  <si>
    <t>https://www.news247.gr/ellada/naxos-ntalika-pire-fotia-ston-dromo-prokalese-mikris-ektasis-pirkagia/</t>
  </si>
  <si>
    <t>Μικρής έκτασης. Επαρχιακός δρόμος Μελάνων–Χώρας.</t>
  </si>
  <si>
    <t>Πρέβεζα (παλέτες–αγρονοδασική)</t>
  </si>
  <si>
    <t>Φωτιά σε παλέτες – εμπρησμός (1 σύλληψη)</t>
  </si>
  <si>
    <t>https://www.tanea.gr/2026/07/01/greece/kaikan-25-stremmata-stin-preveza-apo-fotia-se-paletes-spinthires-apo-troxo-prokalesan-pyrkagia-sti-xalkidiki/ ; https://www.dnews.gr/eidhseis/ellada/597377/treis-syllipseis-gia-foties-se-preveza-kai-xalkidiki ; https://www.newsit.gr/ellada/preveza-ekaigan-paletes-lampadiasan-25-stremmata-kai-vrethikan-me-xeiropedes-syllipsi-kai-sti-xalkidiki-gia-ergasies-me-troxo-pou-prokalesan-pyrkagia/4717849/ ; https://epirusgate.gr/preveza-evalan-fotia-se-paletes-kaikan-25-stremmata-kai-synelifthisan/</t>
  </si>
  <si>
    <t>25 στρέμματα (2.5 ha) ξηρού γρασιδιού/θαμνώδους βλάστησης. Πυρκαγιά ξεκίνησε από παλέτες. Χάρτης ΓΓΠΠ 1/7 μη διαθέσιμος (HTTP 404). | Πιθανώς ίδιο συμβάν με Βαλανιδούσα Πρέβεζας (upsert και εκεί). 2 συλληφθέντες (58χρονος και 24χρονη). Πρόστιμο €3.557,81.</t>
  </si>
  <si>
    <t>Άγιος Δημήτριος - Κυρά Βρύση, Εξαμίλια</t>
  </si>
  <si>
    <t>3 ομάδες 9ης ΕΜΟΔΕ</t>
  </si>
  <si>
    <t>υδροφόρες Π. Πελοποννήσου</t>
  </si>
  <si>
    <t>https://www.tanea.gr/2026/06/30/greece/pyrkagia-stin-kyra-vrysi-konta-ston-isthmo-korinthou/ ; https://www.news247.gr/ellada/megali-fotia-sta-examilia-korinthias-minima-apo-to-112/ ; https://www.skai.gr/news/greece/megali-fotia-sta-eksamilia-korinthias ; https://www.newsbomb.gr/ellada/story/1746475/korinthia-megali-fotia-stin-kyra-vrysi-ekkenonontai-filothei-kai-thymariona-ixise-to-112 ; https://www.newsit.gr/ellada/fotia-stin-perioxi-kyra-vrysi-ston-isthmo-tis-korinthou-ekkenonontai-filothei-kai-thymarionas/4716534/ ; https://www.enikos.gr/society/se-yfesi-i-fotia-ston-agio-dimitrio-korinthias/2606530/ ; https://www.iefimerida.gr/ellada/ypo-meriko-elegho-i-pyrkagia-stoys-delfoys ; https://www.cnn.gr/ellada/story/541413/se-yfesi-i-fotia-sta-eksamilia-korinthias-anakopike-protoy-parei-diastaseis ; https://www.newsbomb.gr/ellada/story/1746472/megali-fotia-sta-eksamilia-korinthias-ixise-to-112-gia-etoimotita ; https://www.thetoc.gr/koinwnia/article/megali-fotia-sta-examilia-korinthias-minuma-apo-to-112---ekkenonontai-filothei-kai-thumariona/ ; https://www.newsbomb.gr/ellada/story/1746488/korinthia-se-yfesi-i-fotia-se-kyra-vrysi-kai-eksamilia ; https://www.cnn.gr/ellada/story/541395/megali-fotia-sta-eksamilia-korinthias-ixise-to-112-gia-etoimotita ; https://www.fireservice.gr/el_GR/-/enemerose-gia-tis-agrotodasikes-pyrkagies-tou-teleutaiou-24orou-apo-o-18-00-29-06-2026-eos-o-18-00-30-06-2026</t>
  </si>
  <si>
    <t>Κυρίως αγροτική γη. 112 εκκένωση Φιλοθέη &amp; Θυμαριώνα → Ξυλοκεριζά. Drone ΕΣΚΔΙΚ για παρακολούθηση. Σε ύφεση κατά τη δημοσίευση. | Κυρίως σε αγροτική έκταση χωρίς κίνδυνο κατοικιών ή υποδομών. Εκκένωση οικισμών Φιλοθέα και Θυμαριώνα προς Ξυλοκέριζα (2 μηνύματα 112). Ξεκίνησε λίγο μετά τις 17:00. | 112 εκκένωση Φιλοθέης και Θυμαριώνας. Ανακόπηκε προτού πάρει διαστάσεις. Δεν απειλήθηκαν σπίτια. | Σε ύφεση. Δεν απειλήθηκαν σπίτια. | Εκκένωση Φιλοθέης και Θυμαριώνας προς Ξυλοκεριζά μέσω 112. Ύφεση ~18:57 (CNN.gr) — ανακόπηκε πριν πάρει διαστάσεις. Παρακολούθηση με drone θερμικής/υπέρυθρης απεικόνισης. Έρευνα Υπηρεσίας Εγκλημάτων Εμπρησμού Κορινθίας. Χάρτης ΓΓΠΠ 30/6: Κορινθία ΥΨΗΛΗ (κίτρινο). | Εκκενώθηκαν οικισμοί Φιλοθέη και Θυμαριώνα (2ο μήνυμα 112 για εκκένωση). Η φωτιά ανακόπηκε πριν πάρει διαστάσεις. Κλιμάκιο Εμπρησμού Κορίνθου στο σημείο. Τιμές aircraft/helicopters διορθώθηκαν από 0/3 σε 4/2 βάσει πολλαπλών πηγών.</t>
  </si>
  <si>
    <t>Μαριολάτα Δελφών</t>
  </si>
  <si>
    <t>Δελφοί</t>
  </si>
  <si>
    <t>υδροφόρες Περιφέρειας Στερεάς Ελλάδας</t>
  </si>
  <si>
    <t>https://www.iefimerida.gr/ellada/ypo-meriko-elegho-i-pyrkagia-stoys-delfoys ; https://www.cnn.gr/ellada/story/541441/ypo-meriko-elegxo-i-fotia-sti-mariolata-fokidas ; https://www.emakedonia.gr/fotia-sti-fokida-synagermos-sti-mariolata-epicheiroyn-3-aeroplana-kai-1-elikoptero ; https://www.newsit.gr/ellada/fokida-megali-fotia-stin-perioxi-mariolata-sikothikan-pyrosvestika-aeroskafi/4716593/ ; https://www.newsbomb.gr/ellada/story/1746489/fokida-i-fotia-ksekinise-apo-rema-kai-allazei-kateythynsi-logo-anemon-leei-o-dimarxos-sto-newsbomb ; https://www.iefimerida.gr/ellada/fotia-stoys-delfoys-0 ; https://www.skaikritis.gr/perioristike-i-fotia-stin-periochi-mariolata-voreia-ton-delfon/</t>
  </si>
  <si>
    <t>Πυρκαγιά σε αγροτοδασική έκταση σε ρεματιά. Ισχυροί άνεμοι. Απεστάλη κλιμάκιο εμπρησμολόγων για διερεύνηση αιτίας. | Εκκίνηση από ρέμα, κοινότητα Γραβιάς. Δεν απειλούνται κατοικίες. Υπό μερικό έλεγχο. Ισχυρές αλλαγές κατεύθυνσης ανέμων. | Εξελίχθηκε κυρίως εντός ρεματιάς. Αλλαγές κατεύθυνσης λόγω ανέμων (δήλωση Δημάρχου). Πλησίον καλλιέργειες.</t>
  </si>
  <si>
    <t>Δερβένι–Λητή Ωραιοκάστρου</t>
  </si>
  <si>
    <t>3 ομάδες δασοκομάντος</t>
  </si>
  <si>
    <t>αναμμένο τσιγάρο οδηγού διερχόμενου οχήματος</t>
  </si>
  <si>
    <t>https://www.megatv.com/2026/06/30/thessaloniki-enas-nekros-kai-apanota-minymata-apo-to-112-gia-ti-fotia-sto-oraiokastro-mia-egkaymatias-sto-nosokomeio/ ; https://www.skai.gr/news/greece/pyrkagia-sto-oraiokastro-thessalonikis-exoun-kinithei-kai-enaeria-mesa ; https://www.huffingtonpost.gr/kinonia/thessaloniki-fotia-sto-oraiokastro/ ; https://newpost.gr/eidiseis/tragodia-sto-oraiokastro-entopistike-deyteri-soros-meta-ti-megali-fotia/ ; https://www.newshub.gr/el/ellada/fotia-sto-oraiokastro-ereyna-gia-ton-12chrono-gio-toy-66chronoy-poy-entopistike-nekros-nosileyetai-egkaymatias-i-syzygos-toy ; https://www.bbc.com/news/articles/c0qy3nkex0qo ; https://www.independent.co.uk/news/world/europe/greece-wildfires-thessaloniki-village-evacuated-b3006482.html ; https://greekcitytimes.com/2026/07/01/northern-greece-wildfire-thessaloniki-two-dead/ ; https://abcnews.com/International/wireStory/wildfire-evacuation-warning-issued-northern-greece-after-father-134376190 ; https://en.protothema.gr/2026/06/30/oreokastro-wildfire-threatens-homes-near-thessaloniki-as-liti-is-evacuated-one-man-found-dead/ ; https://www.protothema.gr/greece/article/1843665/tragodia-sti-fotia-sto-oraiokastro-duo-nekroi-kai-mia-40hroni-me-egaumata-anaziteitai-12hrono-paidi/ ; https://www.cnn.gr/ellada/story/541455/fotia-sto-derveni-anamenetai-i-taftopoiisi-tis-deyteris-soroy-fovoi-oti-einai-tou-12xronou ; https://www.cnn.gr/ellada/story/541480/liti-thessalonikis-oikogeneiaki-tragodia-kai-eikones-katastrofis-o-tragikos-apologismos-tis-fotias ; https://www.naftemporiki.gr/society/2131569/oraiokastro-sygklonizei-i-oikogneiaki-tragodia-koryfonetai-i-agonia-gia-ton-12chrono-anamenontai-oi-apantiseis-gia-ti-deyteri-soro/ ; https://www.megatv.com/2026/07/01/oraiokastro-pateras-kai-gios-egklovistikan-kai-pethanan-apo-tin-pyrkagia ; https://www.fireservice.gr/el_GR/-/enemerose-gia-tis-agrotodasikes-pyrkagies-tou-teleutaiou-24orou-apo-o-18-00-29-06-2026-eos-o-18-00-30-06-2026 ; https://parallaximag.gr/thessaloniki-news/megali-fotia-sti-liti-ichise-to-112-apeiloyntai-spitia-eikones-vinteo ; https://www.thetoc.gr/koinwnia/article/enas-nekros-sti-fotia-sto-oraiokastro-thessalonikis---minuma-ekkenosis-apo-112/ ; https://www.zougla.gr/greece/oraiokastro-nekros-o-pateras-apo-tin-pyrkagia-ores-agonias-gia-tin-taftopoiisi-tis-sorou-tou-12chronou-giou/ ; https://www.iefimerida.gr/ellada/neo-112-gia-ti-fotia-sto-oraiokastro-thessalonikis ; https://www.newsbomb.gr/ellada/story/1746294/fotia-kitrini-proeidopoiisi-o-xartis-provlepsis-kindynou-pyrkagias-gia-tin-triti-30-iouniou ; https://www.news247.gr/ellada/fotia-sto-derveni-oraiokastrou-entopistike-kai-defteri-soros/ ; https://www.documentonews.gr/article/fotia-sto-oraiokastro-pyrinos-efialtis-me-dyo-nekrous-kai-mia-egkavmatia-to-chroniko-tis-tragodias/ ; https://www.newsbomb.gr/ellada/story/1746465/fotia-sto-oraiokastro-entopistike-soros-se-dasiki-ektasi ; https://gr.euronews.com/my-europe/2026/06/30/anthrwpinh-soros-entpisthke-konta-dasikh-purkagia-thessalonikh ; https://www.documentonews.gr/article/fotia-tora-sto-derveni-oraiokastrou-thessalonikis-enischysi-ton-pyrosvestikon-dynameon-kathos-pneoun-ischyroi-anemoi/ ; https://www.protothema.gr/greece/article/1843639/fotia/ ; https://www.businessnews.gr/ellada/item/341083-dyo-nekroi-kai-mia-travmatias-apo-tin-pyrkagia-sti-liti-thessalonikis ; https://www.lifo.gr/now/greece/se-exelixi-oi-foties-se-oraiokastro-kai-korithno-enas-nekros-112-ekkenoseis-kai-floges ; https://www.in.gr/2026/07/01/greece/fotia-sto-oraiokastro-fovoi-oti-i-deyteri-soros-anikei-sto-12xrono-paidi-nekros-66xronos-me-egkaymata-i-mitera/ ; https://www.naftemporiki.gr/society/2131222/thessaloniki-fotia-tora-se-chamili-vlastisi-sto-derveni/ ; https://tvxs.gr/news/ellada/fotia-sti-liti-thessalonikis-pos-synevi-i-tragodia-me-toys-dyo-nekroys/ ; https://www.newsbomb.gr/ellada/story/1746581/liti-thessalonikis-o-nekros-itan-daskalos-sto-xorio-mas-itan-apomonomeno-to-spiti-sto-dasos ; https://www.voria.gr/article/binteo-kare-kare-apo-ti-stigmi-poy-xekina-i-foniki-pyrkagia-sti-liti-apo-tsigaro-odigoy ; https://www.megatv.com/2026/07/01/fotia-sto-oraiokastro-tragodia-me-dyo-nekrous-vroxi-minymaton-apo-to-112 ; https://www.megatv.com/2026/07/01/thessaloniki-nekroi-pateras-gios-apo-ti-megali-pyrkagia-sto-oraiokastro ; https://www.newsit.gr/ellada/fotia-sto-derveni-oraiokastrou-enas-nekros-kai-vroxi-minymaton-tou-112-mia-egkaymatias-sto-ippokrateio/4716518/</t>
  </si>
  <si>
    <t>ΘΥΜΑΤΑ: 1 νεκρός (66χρονος) εντοπίστηκε στο καμένο δάσος — πιθανή 2η σορός σε απομονωμένο σπίτι εντός δάσους (υπό επαλήθευση, ενδεχομένως 12χρονος γιος). 1 εγκαυματίας (40χρονη, 2ου βαθμού, νοσηλεύεται στο Ιπποκράτειο). 112 εκκένωσης Λητής 16:40. Ξεκίνησε σε χαμηλή βλάστηση στο Δερβένι, επεκτάθηκε σε δάσος. Ισχυροί άνεμοι. | 2 ΝΕΚΡΟΙ: 66χρονος (βρέθηκε απανθρακωμένος έξω από το σπίτι) και 12χρονος γιος του (βρέθηκε απανθρακωμένος σε ντουλάπα εντός της οικίας). 1 τραυματίας: 40χρονη μητέρα με εγκαύματα β' βαθμού — νοσηλεία στο Ιπποκράτειο Θεσσαλονίκης, εκτός κινδύνου. Εκκένωση ~4.000 κατοίκων Λήτης (112: 15:40 ενημέρωση, 16:40 εκκένωση). ~15 χλμ ΒΔ Θεσσαλονίκης. Φωτιά κάλυψε ~3 χλμ σε 30 λεπτά. Χωρίς ενεργό μέτωπο έως 1/7, επίγειες δυνάμεις παρέμειναν σε επιφυλακή. Χάρτης ΓΓΠΠ 30/6: Θεσσαλονίκη ΜΕΣΗ (μπλε) — σημείωση κεραυνικής παροχής σε δάση. | 2 ΝΕΚΡΟΙ: άνδρας 66 ετών (συνταξιούχος καθηγητής) + 12χρονο αγόρι (γιος του). 1 τραυματίας: γυναίκα με εγκαύματα (πιθανώς μητέρα). 112 εκκένωση Λητής στις 16:40 (κατεύθυνση: γήπεδο). Εκκενώθηκαν παιδικοί σταθμοί. Κάηκαν σπίτια. Σε μεγάλο βαθμό περιορισμένη έως 1/7/2026. | 2 νεκροί: άνδρας 66 ετών και 12χρονο αγόρι (πατέρας–γιος εγκλωβίστηκαν). 1 τραυματίας: 42χρονη μητέρα, εγκαύματα, νοσηλεία Ιπποκράτειο. 112 εκκένωσης Λητής 16:40. Κάηκε σπίτι ολοσχερώς. ~15 χλμ ΒΔ Θεσσαλονίκης. | ΘΥΜΑΤΑ: 1 νεκρός άνδρας (σορός σε δασική έκταση, Λητή), 1 γυναίκα με εγκαύματα χεριών/λαιμού/μηρού (νοσηλεύεται σταθερά). 112 μηνύματα: 15:40 ενημέρωση, 16:40 εκκένωση Λητής προς γήπεδο. Ισχυροί άνεμοι. Κατάσταση σε εξέλιξη κατά τη δημοσίευση. | ΔΥΟ ΝΕΚΡΟΙ: 66χρονος άνδρας + 12χρονο παιδί. Γυναίκα 40 ετών με σοβαρά εγκαύματα νοσηλεύεται. 112 εκκένωση Λητής (16:40). Χωρίς ενεργό μέτωπο από πρώτες πρωινές ώρες 01/07. 115 πυροσβέστες παρέμεναν για αναζωπυρώσεις. | 2 ΝΕΚΡΟΙ: πατέρας 66 ετών + 12χρονος γιος (εγκλωβίστηκαν). 1 τραυματίας: μητέρα με εγκαύματα, νοσηλεύτηκε. Εκκένωση Λητής (112, ~16:40). Τείχος φλόγας ~5 χλμ. Φωτιά εκδηλώθηκε πίσω από ξενοδοχείο Δερβενίου, εξαπλώθηκε νότια. Σε μεγάλο βαθμό περιορισμένη έως 1/7/2026. | 2 ΝΕΚΡΟΙ: άνδρας 66 ετών (δάσκαλος) και ο 12χρονος γιος του. 1 τραυματίας με εγκαύματα (μητέρα). Κοντά στα χωριά Λίτη/Δερβένι, ~15χλμ ΒΔ Θεσσαλονίκης. 112 εκκένωσης στις 15:40 και 16:45. «Τείχος φλόγας 5χλμ». Σορός 12χρονου βρέθηκε σε ντουλάπα. Βίντεο-ντοκουμέντο επιβεβαιώνει αιτία. Χάρτης ΓΓΠΠ 30/06: μη διαθέσιμος (404). | 2 νεκροί (άνδρας 66 ετών και 12χρονος γιος). 1 τραυματίας (μητέρα 40 ετών, εγκαύματα). Εκκένωση Λίτης. Τείχος φλόγας ~5 χλμ. Η πυρκαγιά εκδηλώθηκε απόγευμα 30/6 κοντά στο Δερβένι· περιορίστηκε έως 01/07/2026. ΓΓΠΠ χάρτης 30/06: Θεσσαλονίκης ΜΕΣΗ (2). | 2 ΝΕΚΡΟΙ: 66χρονος άνδρας &amp; 12χρονο αγόρι (γιος). 1 τραυματίας: 40χρονη γυναίκα εγκαύματα (νοσηλεία Ιπποκράτειο Θεσσ/νίκης). 112: 15:40 ειδοποίηση, 16:40 εκκένωση Λητής. «Τείχος φλόγας 5 χλμ». ~600 στρέμματα ≈ 60 ha. Χάρτης ΓΓΠΠ 30/6: Θεσσαλονίκη ΜΕΣΗ (μπλε, επίπεδο 2).</t>
  </si>
  <si>
    <t>Ακρίτσα</t>
  </si>
  <si>
    <t>Μηχανήματα έργου και υδροφόρες ΟΤΑ</t>
  </si>
  <si>
    <t>https://www.athensvoice.gr/epikairotita/ellada/972413/perase-stin-ellada-i-fotia-pou-xespase-sti-voreia-makedonia/ ; https://www.newsbomb.gr/ellada/story/1746500/fotia-konta-sta-synora-me-to-kilkis-minyma-tou-112-gia-to-xorio-akritas ; https://www.topontiki.gr/2026/06/30/fotia-sto-akritas-kilkis-ichise-to-112/ ; https://www.firefightingreece.gr/2026/06/30/pyrkagia-se-dasiki-ektasi-ston-akrita-kilkis/ ; https://www.emakedonia.gr/kilkis-ichise-to-112-ghia-dasiki-fotia-ston-akrita</t>
  </si>
  <si>
    <t>Πέρασε στην Ελλάδα από Βόρεια Μακεδονία. 112 για ετοιμότητα (όχι εκκένωση). Τελική κατάσταση αδιευκρίνιστη. | Η πυρκαγιά εκδηλώθηκε στη Βόρεια Μακεδονία (~400μ. από τα σύνορα) και πέρασε στην ελληνική πλευρά. Βαριά μηχανήματα άνοιξαν αντιπυρικές ζώνες στην ελληνική πλευρά.</t>
  </si>
  <si>
    <t>Λίτι Θεσσαλονίκης</t>
  </si>
  <si>
    <t>https://abcnews.com/International/wireStory/wildfire-evacuation-warning-issued-northern-greece-after-father-134376190</t>
  </si>
  <si>
    <t>ΘΑΝΑΤΗΦΟΡΑ. Νεκροί: πατέρας 66 ετών και 12χρονος γιος. Μητέρα νοσηλεύθηκε με εγκαύματα. «Τείχος φλόγας πέντε χιλιομέτρων». Η πυρκαγιά περιορίστηκε έως 1 Ιουλίου 2026. | ΘΑΝΑΤΗΦΟΡΑ: Δύο νεκροί — πατέρας 66 ετών και 12χρονος γιος. Μητέρα νοσηλεύθηκε με εγκαύματα. «Τείχος φλόγας πέντε χιλιομέτρων». Περιορίστηκε έως 1/7/2026.</t>
  </si>
  <si>
    <t>Λούτσα Ευβοίας</t>
  </si>
  <si>
    <t>2 ομάδες πεζοπόρων (4η και 20η ΕΜΟΔΕ)</t>
  </si>
  <si>
    <t>https://www.tanea.gr/2026/06/30/greece/eyvoia-pyrkagia-sti-loutsa-epixeiroun-aeroskafi/ ; https://www.tanea.gr/2026/06/30/greece/eyvoia-xoris-energo-metopo-i-pyrkagia-se-agrotodasiki-ektasi-sti-loytsa/ ; https://www.in.gr/2026/06/30/greece/eyvoia-fotia-sti-perioxi-loutsa-sikothikan-kai-enaeria-mesa/ ; https://www.naftemporiki.gr/society/2130999/fotia-tora-sti-loytsa-eyvoias-megali-kinitopoiisi-tis-pyrosvestikis/</t>
  </si>
  <si>
    <t>Φαράγγι με πλούσια βλάστηση, κοντά σε ελαιώνες. Μακριά από κατοικίες. Χωρίς ενεργό μέτωπο.</t>
  </si>
  <si>
    <t>2026-06-30</t>
  </si>
  <si>
    <t>Στυλίδα</t>
  </si>
  <si>
    <t>https://www.newsit.gr/ellada/ypo-elegxo-i-fotia-sti-stylida-pou-ekdilothike-se-xamili-vlastisi/4714119/</t>
  </si>
  <si>
    <t>Εκδηλώθηκε σε χαμηλή βλάστηση. Ημερομηνία εκτιμάται 30/06 βάσει πλαισίου αποτελεσμάτων αναζήτησης.</t>
  </si>
  <si>
    <t>2026-07-01</t>
  </si>
  <si>
    <t>21:40</t>
  </si>
  <si>
    <t>Πυρκαγιά «Αμερικάνικα» Πανοράματος Θεσσαλονίκης</t>
  </si>
  <si>
    <t>Δήμος Πυλαίας-Χορτιάτη</t>
  </si>
  <si>
    <t>πιθανώς ηλεκτρολογική (κοντά σε κολώνα ΔΕΗ)</t>
  </si>
  <si>
    <t>https://www.protothema.gr/greece/article/1843013/fotia-se-xira-horta-ston-dimo-pulaias-hortiati-diakopi-reumatos-stin-periohi/ ; https://origin.emakedonia.gr/thessaloniki-esvise-i-fotia-sto-panorama-paramenei-sto-skotadi-oli-i-periochi-vinteo ; https://www.npress.gr/greece/fotia-stin-periochi-amerikanika-sti-thessaloniki-diakopi-revmatos-kai-kinitopoiisi-tis-pyrosvestikis/</t>
  </si>
  <si>
    <t>Ξερά χόρτα κοντά σε κολώνα ΔΕΗ, Πανόραμα Θεσσαλονίκης. Διακοπή ρεύματος. 3-4 εγκλωβισμοί σε ανελκυστήρες. Κατασβέστηκε μετά 23:00. Βρέθηκε μόνο από 1Β.</t>
  </si>
  <si>
    <t>Βρία Κατερίνης</t>
  </si>
  <si>
    <t>https://www.protothema.gr/greece/article/1842858/fotia-sti-vria-katerinis-epiheiroun-3-enaeria/ ; https://www.ertnews.gr/ert3/ypo-meriko-elegxo-i-pyrkagia-se-agrotodasiki-ektasi-stin-katerini/ ; https://origin.emakedonia.gr/pieria-oriothetithike-i-fotia-stin-katerini ; https://athina984.gr/2026/06/29/pyrkagies-enischythikan-oi-pyrosvestikes-dynameis-stin-periochi-varda-ileias-oriothetithike-sti-thesi-vria-katerinis/ ; https://www.cnn.gr/ellada/story/541176/pyrkagia-sti-vria-katerinis-sti-maxi-tis-pyrosvesis-dyo-aeroskafi-kai-ena-elikoptero ; https://olympiobima.gr/katerini-ypo-elegcho-i-fotia-se-agrotodasiki-ektasi-sti-vria/ ; https://www.protothema.gr/world/article/1842499/giati-psinetai-i-europi-thermikos-tholos-to-pio-akraio-kalokairi-tou-aiona/ ; https://www.thestival.gr/eidiseis/astynomika/pyrkagia-se-agrotodasiki-ektasi-sta-v/ ; https://www.fireservice.gr/el_GR/-/enemerose-gia-tis-agrotodasikes-pyrkagies-tou-teleutaiou-24orou-apo-o-18-00-28-06-2026-eos-o-18-00-29-06-2026 ; https://www.protothema.gr/aras/article/1842499/giati-psinetai-i-europi-thermikos-tholos-to-pio-akraio-kalokairi-tou-aiona/ ; https://www.naftemporiki.gr/society/2130750/fotia-tora-sti-vria-pierias-sikothikan-enaeria-mesa/ ; https://www.newsbomb.gr/ellada/story/1746281/pieria-ypo-meriko-elegxo-pyrkagia-se-agrotodasiki-ektasi-stin-perioxi-vria ; https://lawandorder.gr/fotia-se-agrotodasiki-ektasi-vria-katerinis-29-6/</t>
  </si>
  <si>
    <t>Αγροτοδασική έκταση. Κοντά σε χοιροστάσια. Εστάλη ομάδα διερεύνησης εμπρησμών Πιερίας. | Αγροτοδασική έκταση. Ισχυροί άνεμοι. 1 ύποπτος. Yutori ανέφερε ώρα 18:10 (πιθανώς δημοσίευσης· ώρα έναρξης ~16:30 βάσει ειδησεογραφικών πηγών). | Περιορισμένη πυρκαγιά, οριοθετήθηκε γρήγορα. | Η Yutori πηγή παραπέμπει σε γενικό άρθρο καύσωνα (δεν υπάρχει ειδικό αφιέρωμα για αυτή τη φωτιά). | Αγροτοδασική έκταση. Δεν αναφέρθηκε απειλή κατοικημένων περιοχών. Έρευνα από Υπηρεσία Εγκλημάτων Εμπρησμού Πιερίας. Χάρτης ΓΓΠΠ 29/6: Πιερία ΥΨΗΛΗ (κίτρινο). | Πηγή αποκλειστικά Yutori Scout (email 29/6). Δεν εντοπίστηκαν ανεξάρτητες ιστοσελίδες με επιπλέον στοιχεία για αυτή τη συγκεκριμένη πυρκαγιά. | Αγροτοδασική έκταση. Κοντά σε χοιροστάσια. 1 ύποπτος σε προανάκριση. | Αγροτοδασική έκταση, ισχυροί άνεμοι. Υπό μερικό έλεγχο ~17:00, οριοθετήθηκε ~18:00. Υπηρεσία Πυρασφάλειας Πιερίας διερευνά αίτια.</t>
  </si>
  <si>
    <t>16:49</t>
  </si>
  <si>
    <t>Βάρδα Ηλείας</t>
  </si>
  <si>
    <t>Βάρδα</t>
  </si>
  <si>
    <t>4 ομάδες πεζοπόρων</t>
  </si>
  <si>
    <t>υδροφόρες και μηχανήματα Περιφέρειας Δυτικής Ελλάδας</t>
  </si>
  <si>
    <t>αμέλεια (εκδηλώθηκε σε καλαμιώνες Κόμης Βάρδας)</t>
  </si>
  <si>
    <t>https://www.newsbomb.gr/ellada/story/1746186/ileia-pyrkagia-se-agrotodasiki-ektasi-sti-varda-katastrafikan-thermokipia-kindynefse-ekklisaki ; https://www.newsbomb.gr/ellada/story/1746234/ileia-se-yfesi-kai-xoris-energo-metopo-i-pyrkagia-sti-varda ; https://athina984.gr/2026/06/29/pyrkagies-enischythikan-oi-pyrosvestikes-dynameis-stin-periochi-varda-ileias-oriothetithike-sti-thesi-vria-katerinis/ ; https://www.dnews.gr/eidhseis/ellada/596922/ileia-se-yfesi-i-megali-fotia-sti-varda-maxi-me-tis-anazopyroseis-zimies-se-kalliergeies-kai-thermokipia ; https://www.skai.gr/news/greece/pyrkagia-stin-ileia ; https://www.cnn.gr/ellada/story/541192/synexeis-anazopyroseis-sti-fotia-sti-varda-ileias-kaikan-liostasia-kindynepse-ekklisaki ; https://www.ilialive.gr/epikaira/431100/ileia-se-yfesi-kai-xoris-energo-metopo-i-pyrkagia-sti-varda ; https://www.cnn.gr/ellada/story/541209/se-yfesi-i-fotia-sti-varda-ileias-paramenoun-se-epifylaki-oi-pyrosvestikes-dynameis ; https://www.protothema.gr/world/article/1842499/giati-psinetai-i-europi-thermikos-tholos-to-pio-akraio-kalokairi-tou-aiona/ ; https://www.fireservice.gr/el_GR/-/enemerose-gia-tis-agrotodasikes-pyrkagies-tou-teleutaiou-24orou-apo-o-18-00-28-06-2026-eos-o-18-00-29-06-2026 ; https://www.pontosnews.gr/851217/ellada/fotia-sti-varda-ileias-enischythikan-oi-dynameis/ ; https://ilia.news/%CE%BC%CE%B5%CE%B3%CE%AC%CE%BB%CE%B7-%CE%BA%CE%B9%CE%BD%CE%B7%CF%84%CE%BF%CF%80%CE%BF%CE%AF%CE%B7%CF%83%CE%B7-%CE%B3%CE%B9%CE%B1-%CF%86%CF%89%CF%84%CE%B9%CE%AC-%CF%83%CF%84%CE%B7-%CE%B2%CE%AC%CF%81/ ; https://www.thetoc.gr/koinwnia/article/fotia-tora-stin-ileia-stis-floges-agrotodasiki-ektasi-stin-perioxi-barda---epixeiroun-tria-enaeria/ ; https://www.tanea.gr/2026/06/29/greece/se-yfesi-i-fotia-sti-varda-ileias-anekselegkto-to-pyrino-metopo-sto-psari/</t>
  </si>
  <si>
    <t>Έναρξη από καλαμιές Κόμης. Ζημιές σε θερμοκήπια, ελαιόδεντρα, καλλιέργειες. Κινδύνευσε εκκλησάκι Ψαρί. Χωρίς ενεργό μέτωπο. | Αγροτοδασική έκταση. Εκκίνηση από καλαμιώνες (Κόμη). Κατεστράφηκαν θερμοκήπια, λιοστάσια. Κινδύνεψε εκκλησάκι (Ψάρη). Συνεχείς αναζωπυρώσεις ισχυρών ανέμων. Σε ύφεση χωρίς ενεργό μέτωπο. | Πυρκαγιά σε αγροτοδασική έκταση. Ξεκίνησε από καλαμιές περιοχής Κόμη. Καταστράφηκαν θερμοκήπια, κινδύνευσε εκκλησάκι. Επεκτάθηκε λόγω ισχυρών ανέμων. Τελικά σε ύφεση χωρίς ενεργό μέτωπο. | Αγροτοδασική έκταση. Καταστράφηκαν θερμοκήπια και αχυρώνες, εκκλησάκι σε κίνδυνο. Συνεχείς αναζωπυρώσεις από ισχυρούς ανέμους. Σε ύφεση χωρίς ενεργό μέτωπο αργότερα. | Κάηκαν θερμοκήπια, λιοστάσια και καλαμιώνες (περιοχή Κόμης-Ψαρίου). Συνεχείς αναζωπυρώσεις λόγω ισχυρών ανέμων. Εκκλησάκι στο Ψάρι δεν κάηκε. Δεν υπήρξε απειλή κατοικημένων περιοχών. Χάρτης ΓΓΠΠ 29/6: Ηλεία ΥΨΗΛΗ (κίτρινο). | Φωτιά σε αγροτοδασική έκταση, ξεκίνησε από καλαμιές στην περιοχή Κόμης. Καταστράφηκαν θερμοκήπια. Κινδύνευσε εκκλησάκι στη Ψαρή. Ισχυροί άνεμοι δημιουργούσαν αναζωπυρώσεις. Τελικά σε ύφεση χωρίς ενεργό μέτωπο. (Ώρα 16:49 = χρόνος αναφοράς Yutori/Protothema· τοπικές πηγές αναφέρουν ~15:00 ως ώρα έναρξης.) | Ζημιές σε θερμοκήπια, ελαιόδεντρα, αγροτικές καλλιέργειες. Κίνδυνος για εκκλησάκι Ψάρι. Αναζωπυρώσεις λόγω ισχυρών ανέμων. | Έναρξη σε καλάμια (Κόμη), εξάπλωση προς θερμοκήπια και περιοχή Ψάρι. Κάηκαν λιοστάσια και θερμοκήπια, εκκλησάκι σε κίνδυνο. Συνεχείς αναζωπυρώσεις λόγω ανέμων. Σε ύφεση βράδυ 29/6 (SKAI 19:36).</t>
  </si>
  <si>
    <t>Πυρκαγιά Χαροκοπίου Κορώνης Μεσσηνίας</t>
  </si>
  <si>
    <t>2 (9η ΕΜΟΔΕ)</t>
  </si>
  <si>
    <t>βυτιοφόρα δήμου</t>
  </si>
  <si>
    <t>https://www.newsbomb.gr/ellada/story/1746154/fotia-tora-sto-xarokopio-koronis-epixeiroyn-4-aeroskafi-kai-1-elikoptero ; https://www.protothema.gr/greece/article/1842757/fotia-tora-harokopio-messinias-pede-enaeria-epiheiroun-sto-metopo/ ; https://www.gargalianoionline.gr/fotia-metaxy-memi-kai-charakopioy-epicheiroyn-ischyres-pyrosvestikes-dynameis/ ; https://www.emakedonia.gr/messinia-se-yfesi-i-fotia-ston-aghio-isidoro-koronis-kinitopoiithikan-ischires-epigheies-kai-enaeries-dinameis</t>
  </si>
  <si>
    <t>Αγροτοδασική έκταση, περιοχή Χαροκόπι Κορώνης. Βρέθηκε μόνο από ανεξάρτητη αναζήτηση (1Β) — δεν υπήρχε στα Yutori emails. | Πυροσβεστική ανακοίνωσε «χωρίς ενεργό μέτωπο». Κλιμάκιο Εμπρησμού Μεσσηνίας ανέλαβε έρευνα αιτίας.</t>
  </si>
  <si>
    <t>Κουκουνάρια Σταματών (Οδός Μιλτιάδου)</t>
  </si>
  <si>
    <t>Βυτιοφόρα ΟΤΑ</t>
  </si>
  <si>
    <t>https://www.iefimerida.gr/ellada/fotia-tora-stin-attiki-koykoynaries-dionysoy?amp ; https://www.iefimerida.gr/ellada/fotia-tora-stin-attiki-koykoynaries-dionysoy ; https://www.skai.gr/news/greece/vinteo-apo-tin-katasvesi-tis-fotias-sti-stamata-oriothetithike-se-15-lepta ; https://www.ereportaz.gr/dionysos-attikis-pyrkagia-se-exelixi-stis-koukounaries/ ; https://www.tanea.gr/2026/06/28/greece/pyrkagia-se-ekseliksi-stis-koukounaries-dionysou-attikis ; https://www.inewsgr.com/184/fotia-xespase-stis-koukounaries-dionysou--synagermos-stin-pyrosvestiki.htm</t>
  </si>
  <si>
    <t>Χαμηλή ξερή βλάστηση, Οδός Μιλτιάδου, Δ.Ε. Σταματών. Οριοθετήθηκε σε 15 λεπτά. Drone ESKEDIO με οπτική και θερμική κάμερα. Δεν απειλήθηκαν κατοικίες. | Οριοθετήθηκε εντός 15 λεπτών. Χαμηλή βλάστηση. control_time εκτιμάται (~15 λεπτά μετά). Αναφέρεται και ως 'Σταμάτα'. | Κατασβέστηκε σε 15 λεπτά. Συμμετοχή εθελοντών και δεξαμενών δήμου. Μετέβη στο σημείο ΔΑΕΕ Αττικής για διερεύνηση αιτίας.</t>
  </si>
  <si>
    <t>Αγρίνιο (περιοχή)</t>
  </si>
  <si>
    <t>Δήμος Αγρινίου</t>
  </si>
  <si>
    <t>εμπρησμός (σύλληψη δράστη)</t>
  </si>
  <si>
    <t>https://en.protothema.gr/2026/06/29/two-arrested-for-arson-in-aetolia-acarnania-and-rodopi/ ; https://www.skai.gr/news/greece/syllipsi-50xronou-gia-emprismo-stin-aitoloakarnania-omologise-akomi-3-foties ; https://www.cretalive.gr/ellada/pyrosbestiki-dyo-syllipseis-gia-emprismoys-apo-prothesi-se-aitoloakarnania-kai-rodopi ; https://www.fireservice.gr/el_GR/-/enemerose-gia-tis-agrotodasikes-pyrkagies-tou-teleutaiou-24orou-apo-o-18-00-27-06-2026-eos-o-18-00-28-06-2026 ; https://www.agriniosite.gr/agrinio-50chronos-evale-ti-fotia-stin-paravola-omologise-alloys-treis-emprismoys-stin-idia-periochi/ ; https://www.iefimerida.gr/ellada/pyrosbestiki-dyo-syllipseis-gia-emprismoys-apo-prothesi ; https://www.agriniosite.gr/esvisan-ta-dyo-pyrina-metopa-se-skoytera-kai-paravola-foto/ ; https://www.agrinioculture.gr/2026/06/29/agrinio-synelifthi-50chronos-gia-tesseris-emprismoys-stin-periochi-tis-paravolas/</t>
  </si>
  <si>
    <t>Σύλληψη για εμπρησμό. Μία από τις 43 πυρκαγιές 24ωρου έως 29/06. | Σύλληψη για εμπρησμό. Αναφέρθηκε στο πλαίσιο 43 πυρκαγιών 24ωρου 29/06. | Σύλληψη για εμπρησμό. Αναφέρθηκε στο Yutori email 30/06 στο πλαίσιο 43 πυρκαγιών σε 24ωρο (40 υπό έλεγχο, 3 ενεργές). Χάρτης ΓΓΠΠ 28/06 δεν κατεβλήθη. | 4 στρέμματα αγροτικής γης = 0,4 ha. Συλλήφθη 50χρονος, ομολόγησε 3 ακόμα πυρκαγιές. | 50χρονος Έλληνας συνελήφθη επ' αυτοφώρω. Ομολόγησε 3 πρότερες πυρκαγιές (6/6, 20/6, 28/6 ίδια περιοχή). ~4 στρέμματα (0.4 ha) αγροτική γη. Παραπέμφθηκε στον εισαγγελέα. | Αγροτική έκταση 4 στρεμμάτων. Ο δράστης ομολόγησε και 3 επιπλέον πυρκαγιές (6/6, 20/6, και μία ακόμη 28/6/2026). Χάρτης ΓΓΠΠ 28/6: Αιτωλοακαρνανία ΠΟΛΥ ΥΨΗΛΗ (πορτοκαλί). Ανάμεσα στις 44 συνολικές πυρκαγιές του 24ωρου 28/6. | Σύλληψη 50χρονου Έλληνα για εμπρησμό από πρόθεση. Ομολόγησε 4 εμπρησμούς στην ίδια περιοχή (6/6, 20/6, 28/6 + άλλη). Κάηκαν ~4 στρέμματα (0.4 ha) αγροτικής γης. Αρνήθηκε δηλώνοντας «με εκνευρίζουν οι θάμνοι». | Σύλληψη 50χρονου Έλληνα (αυτόφωρο). Ομολόγησε 4 εμπρησμούς συνολικά στην περιοχή (6/6, 20/6, 28/6 ×2). Αγροτική έκταση ~4 στρέμ. | Πυρκαγιά στην περιοχή Παραβόλας Αγρινίου. 50χρονος Έλληνας συνελήφθη και ομολόγησε 4 συνολικά εμπρησμούς στην ευρύτερη περιοχή Παραβόλας (06/06, 20/06 και 2 στις 28/06). Δυνάμεις Δήμου Αγρινίου συνέδραμαν.</t>
  </si>
  <si>
    <t>13:35</t>
  </si>
  <si>
    <t>Πεφκάλι (Αμμόνι–Σοφικό)</t>
  </si>
  <si>
    <t>Κόρινθος</t>
  </si>
  <si>
    <t>Βυτιοφόρα ΠΠ Πελοποννήσου</t>
  </si>
  <si>
    <t>Αμέλεια (υπό έρευνα — συνελήφθη 76χρονος)</t>
  </si>
  <si>
    <t>https://www.ertnews.gr/perifereia/se-yfesi-i-fotia-sto-peykali-korinthias-paramenoun-kai-epixeiroun-isxyres-dynameis-tis-pyrosvestikis/ ; https://www.protothema.gr/greece/article/1842284/megali-fotia-sto-peukali-korinthias-minuma-tou-112-gia-ekkenosi/ ; https://www.madata.gr/epikairotita/social/970453-korinthia-se-yfesh-h-fotia-sto-peykali-meta-apo-dyskolh-machh-me-anemoys-7-mpofor-%E2%80%93-eiche-stalei-mhnyma-apo-to-112.html ; https://www.capital.gr/epikairotita/4001192/sunelifthi-76xronos-gia-purkagia-apo-ameleia-sto-amoni-korinthias/ ; https://meteo24news.gr/meteo/fotia-tora-korinthia-pefkali-112-ekkenosi/ ; https://www.lifo.gr/now/greece/fotia-tora-stin-korinthia-minyma-toy-112-gia-ekkenosi ; https://www.thetoc.gr/koinwnia/article/fotia-tora-sto-peukali-korinthias-ixise-to-112/ ; https://www.tanea.gr/2026/06/28/greece/fotia-sti-korinthia-kaigetai-dasos-stin-perioxi-peykali-epixeiroun-enaeria-mesa-ixise-112/ ; https://www.efsyn.gr/ellada/1415469/synelifthi-76hronos-gia-ti-fotia-stin-korinthia-eihe-ypaithrio-ilektrologiko-diktyo-exo-apo-to-spiti-toy/ ; https://www.cnn.gr/ellada/story/540980/fotia-se-dasiki-ektasi-stin-perioxi-pefkali-korinthion-sikothikan-enaeria-mesa</t>
  </si>
  <si>
    <t>Δασική έκταση. 112 εκκένωσης περιοχής Αμμόνι–Σοφικό. Άνεμοι 7 μποφόρ. Οριοθετήθηκε σε ~45 λεπτά. Ισχυρές δυνάμεις παραμένουν για πλήρη κατάσβεση. | 112 εκκένωση Αμόνι→Σοφικό. Σε ύφεση εντός ~45 λεπτών. Ισχυροί άνεμοι στην περιοχή. control_time εκτιμάται (~13:35 = +45 λεπτά). | Σε ύφεση εντός 45 λεπτών παρά ιδιαίτερα δύσκολες συνθήκες (ισχυροί άνεμοι). 112 για προληπτική εκκένωση Αμμονίου-Σοφικού. | Ξεκίνησε λίγο πριν τις 13:00. Σε υποχώρηση το απόγευμα. Ισχυρές δυνάμεις παρέμειναν επί τόπου. | Σε υποχώρηση το απόγευμα. Τα 9 αεροσκάφη ενδέχεται να συμπεριλαμβάνουν ελικόπτερα (δεν αναλύεται).</t>
  </si>
  <si>
    <t>Πεφκάλι Κορινθίας</t>
  </si>
  <si>
    <t>βυτιοφόρα Περιφέρειας Πελοποννήσου, εθελοντές</t>
  </si>
  <si>
    <t>https://www.ertnews.gr/perifereia/se-yfesi-i-fotia-sto-peykali-korinthias-paramenoun-kai-epixeiroun-isxyres-dynameis-tis-pyrosvestikis/ ; https://www.in.gr/2026/06/28/greece/pyrkagia-sto-peykali-korinthias-ixise-to-112/ ; https://www.protothema.gr/greece/article/1842284/megali-fotia-sto-peukali-korinthias-minuma-tou-112-gia-ekkenosi/ ; https://www.naftemporiki.gr/society/2130266/korinthia-pyrkagia-se-dasiki-ektasi-sto-peykali-sikothikan-enaeria-mesa/ ; https://www.cretalive.gr/ellada/fotia-se-dasiki-ektasi-sto-peykali-korinthion ; https://www.fireservice.gr/el_GR/-/enemerose-gia-tis-agrotodasikes-pyrkagies-tou-teleutaiou-24orou-apo-o-18-00-27-06-2026-eos-o-18-00-28-06-2026</t>
  </si>
  <si>
    <t>Έναρξη λίγο πριν τις 13:00 EEST. 112 εκκένωση Αμόνι. Δασική έκταση. | Ήχησε ειδοποίηση 112. Σε υποχώρηση απόγευμα 28/6. Αρ. εναέριων (9) επιβεβαιώθηκε από in.gr. | Εκκένωση Αμμονής προς Σοφικό μέσω 112. Ύφεση περίπου 45 λεπτά μετά την εκδήλωση. Εξαιρετικά αντίξοες συνθήκες: δείκτης κινδύνου αναφλεξιμότητας, δύσκολο ανάγλυφο, άνεμοι Μποφόρ 7. Χάρτης ΓΓΠΠ 28/6: Κορινθία ΠΟΛΥ ΥΨΗΛΗ (πορτοκαλί).</t>
  </si>
  <si>
    <t>10:44</t>
  </si>
  <si>
    <t>Ίσαλος Μαρωνείας-Σαπών</t>
  </si>
  <si>
    <t>εμπρησμός (σύλληψη επ' αυτοφώρω αλλοδαπού)</t>
  </si>
  <si>
    <t>https://en.protothema.gr/2026/06/29/two-arrested-for-arson-in-aetolia-acarnania-and-rodopi/ ; https://www.iefimerida.gr/ellada/pyrosbestiki-dyo-syllipseis-gia-emprismoys-apo-prothesi ; https://www.capital.gr/epikairotita/4001451/duo-sullipseis-gia-emprismous-se-aitoloakarnania-kai-rodopi/ ; https://www.focusfm.gr/dyo-syllipseis-gia-emprismoys-apo-prothesi-se-aitoloakarnania-kai-rodopi-43-agrotodasikes-pyrkagies-se-24-ores/ ; https://www.cretalive.gr/ellada/pyrosbestiki-dyo-syllipseis-gia-emprismoys-apo-prothesi-se-aitoloakarnania-kai-rodopi</t>
  </si>
  <si>
    <t>Κάηκαν 5 στρέμματα ξηρού χόρτου και 60 ελαιόδεντρα. Εμπρησμός με ανοιχτή φλόγα — σύλληψη επ' αυτοφώρω. Χάρτης ΓΓΠΠ 28/6: Ροδόπη ΜΕΣΗ (μπλε). | Σύλληψη αλλοδαπού (Τμήμα ΑΚΑΕΕ Ξάνθης/Κομοτηνής). Φωτιά σε αγροτική γη με ανοιχτή φλόγα σε ξερά χόρτα. Κάηκαν ~5 στρέμματα (0.5 ha) + 60 ελαιόδεντρα. | Σύλληψη αλλοδαπού (αυτόφωρο). 5 στρέμματα ξηρής χλόης + 60 κατεστραμμένα ελαιόδεντρα. Χρήση γυμνής φλόγας σε ξηρή χλόη. | Επιπλέον ζημιά σε 60 ελαιόδεντρα. Αλλοδαπός συνελήφθη σε συνεργασία ανακριτικών υπαλλήλων Π.Υ. Κομοτηνής. | Επιπλέον ζημιά σε 60 ελαιόδεντρα. Αλλοδαπός συνελήφθη επ' αυτοφώρω.</t>
  </si>
  <si>
    <t>Ισάλου Μαρώνειας-Σαπών</t>
  </si>
  <si>
    <t>Μαρώνειας-Σαπών</t>
  </si>
  <si>
    <t>εμπρησμός από πρόθεση</t>
  </si>
  <si>
    <t>https://www.cretalive.gr/ellada/pyrosbestiki-dyo-syllipseis-gia-emprismoys-apo-prothesi-se-aitoloakarnania-kai-rodopi</t>
  </si>
  <si>
    <t>5 στρέμματα ξερής χλόης = 0,5 ha. Ζημιά σε 60 ελαιόδεντρα. Σύλληψη.</t>
  </si>
  <si>
    <t>Ισαλός, Μαρώνεια-Σαπές</t>
  </si>
  <si>
    <t>https://en.protothema.gr/2026/06/29/two-arrested-for-arson-in-aetolia-acarnania-and-rodopi/</t>
  </si>
  <si>
    <t>Αλλοδαπός συνελήφθη επ' αυτοφώρω με γυμνή φλόγα. 5 στρέμματα (0.5 ha) ξερά χόρτα + 60 ελαιόδεντρα πληγέντα. Παραπέμφθηκε στον εισαγγελέα. | Σύλληψη για εμπρησμό. Μία από τις 43 πυρκαγιές 24ωρου έως 29/06. | Σύλληψη για εμπρησμό. Αναφέρθηκε στο πλαίσιο 43 πυρκαγιών 24ωρου 29/06. | Επιπλέον ζημιά σε 60 ελαιόδεντρα. Αλλοδαπός συνελήφθη επ' αυτοφώρω.</t>
  </si>
  <si>
    <t>Μαρώνεια-Σαπές Ροδόπης</t>
  </si>
  <si>
    <t>Μαρώνεια-Σαπές</t>
  </si>
  <si>
    <t>εμπρησμός (σύλληψη)</t>
  </si>
  <si>
    <t>https://en.protothema.gr/2026/06/29/two-arrested-for-arson-in-aetolia-acarnania-and-rodopi/ ; https://www.thestival.gr/eidiseis/astynomika/rodopi-synagermos-gia-pyrkagia-se-das/ ; https://www.ieidiseis.gr/ellada/825619/fotia-sti-rodopi-ischyres-dynameis-epicheiroyn-se-agrotodasiki-ektasi/ ; https://www.cretalive.gr/ellada/pyrosbestiki-dyo-syllipseis-gia-emprismoys-apo-prothesi-se-aitoloakarnania-kai-rodopi ; https://thepressproject.gr/fotia-se-agrotodasiki-ektasi-stis-sappes-rodopis-ischyres-pyrosvestikes-dynameis-sto-metopo/</t>
  </si>
  <si>
    <t>Σύλληψη για εμπρησμό. Αναφέρθηκε στο Yutori email 30/06. | Ο συλληφθείς ομολόγησε 3 εμπρησμούς εξ' προθέσεως στην ίδια περιοχή: 6, 20 και 28 Ιουνίου 2026. Δυνάμεις αρχικής απόκρισης: 25π/7ο/1ε (ΔΚ Σαπών). Τα 5 α/φη αφορούν μεταγενέστερη ενίσχυση ευρύτερης περιοχής Ροδόπης.</t>
  </si>
  <si>
    <t>Κουκουνάρια Διονύσου Αττικής</t>
  </si>
  <si>
    <t>Διονύσου</t>
  </si>
  <si>
    <t>https://www.iefimerida.gr/ellada/fotia-tora-stin-attiki-koykoynaries-dionysoy ; https://www.tanea.gr/2026/06/28/greece/pyrkagia-se-ekseliksi-stis-koukounaries-dionysou-attikis</t>
  </si>
  <si>
    <t>Δ.Ε. Σταματών, οδός Μιλτιάδου. Δυνάμεις στο σημείο, δεν αναφέρεται τελικό αποτέλεσμα. | Πυρκαγιά οδός Μιλτιάδου, Δ.Ε. Σταματών, Δήμος Διονύσου. Πυροσβεστικές δυνάμεις κινητοποιήθηκαν. | Περιοχή Σταματών, Δ.Ε. Διονύσου, οδός Μιλτιάδου. Τελική κατάσταση αδιευκρίνιστη από πηγές. | Ξερή βλάστηση, Οδός Μιλτιάδου, Δ.Ε. Σταματών. Κατάσταση σε εξέλιξη κατά τη δημοσίευση. | Κατασβέστηκε σε ~15 λεπτά. Αιτία υπό διερεύνηση ΚΕΕΕ. Δεν απειλήθηκαν κατοικίες ή υποδομές. Έκκαυλο υλικό: χαμηλή ξηρά βλάστηση.</t>
  </si>
  <si>
    <t>Πυρκαγιά Κουκουναριών Σταματά Διονύσου</t>
  </si>
  <si>
    <t>Δήμος Διονύσου</t>
  </si>
  <si>
    <t>εθελοντές ΟΤΑ</t>
  </si>
  <si>
    <t>https://www.iefimerida.gr/ellada/fotia-tora-stin-attiki-koykoynaries-dionysoy ; https://www.ereportaz.gr/dionysos-attikis-pyrkagia-se-exelixi-stis-koukounaries/</t>
  </si>
  <si>
    <t>Χαμηλή βλάστηση, οδός Μιλτιάδου, Δ.Ε. Σταματών. Μικρής έκτασης αστικό/περιαστικό συμβάν.</t>
  </si>
  <si>
    <t>22:49</t>
  </si>
  <si>
    <t>Άνω Λιόσια</t>
  </si>
  <si>
    <t>1 (1η ΕΜΟΔΕ)</t>
  </si>
  <si>
    <t>https://www.cnn.gr/ellada/story/540940/megali-fotia-sta-ano-liosia-isxyres-epigeies-dynameis ; https://www.in.gr/2026/06/27/greece/fotia-se-ypaithrio-xoro-sta-ano-liosia-synagermos-stin-pyrosvestiki/ ; https://www.thetoc.gr/koinwnia/article/ano-liosia-fotia-konta-se-oikismo-roma---megali-kinitopoiisi-tis-purosbestikis/ ; https://www.pentapostagma.gr/koinonia/7377731_perioristike-i-fotia-poy-xespase-sta-ano-liosia</t>
  </si>
  <si>
    <t>Χαμηλή βλάστηση (ξερά χόρτα, απορρίμματα). Εγγύτητα με οικισμό Ρομά στη διασταύρωση Ιωνίας &amp; 16ης. Περιορίστηκε.</t>
  </si>
  <si>
    <t>2026-06-28</t>
  </si>
  <si>
    <t>Κριονέρια Ναυπακτίας</t>
  </si>
  <si>
    <t>Ναυπακτία</t>
  </si>
  <si>
    <t>υπό έρευνα — ΑΚΑΕ</t>
  </si>
  <si>
    <t>https://www.skai.gr/news/greece/fotia-sta-kryoneria-naypaktias ; https://www.ekathimerini.com/news/1308039/fires-in-western-greece-contained-firefighters-stay-on-alert/ ; https://www.haniotika-nea.gr/naypaktos-kalyteri-i-eikona-tis-fotias-stin-periochi-kryoneria-ypo-meriko-elegcho-i-pyrkagia-stin-kato-mamoylada/ ; https://www.in.gr/2026/06/27/greece/synagermos-gia-pyrkagies-logo-ton-isxyron-anemon-katigoria-kindynou-4-se-attiki-peloponniso-kai-eyvoia/amp/ ; https://www.newsbomb.gr/ellada/story/1745779/naypaktos-fotia-stin-kato-mamoulada-aitoloakarnanias-epixeiroyn-enaeria-mesa ; https://www.iefimerida.gr/ellada/fotia-kryoneria-aitoloakarnanias-pyrosbestiki ; https://www.lifo.gr/now/greece/beltiomeni-i-eikona-tis-fotias-sta-kryoneria-naypaktias-ypo-meriko-elegho-stin-kato</t>
  </si>
  <si>
    <t>Πυκνή δασική έκταση σε δύσβατο/δυσπρόσιτο σημείο. Δεν απειλήθηκαν κατοικίες. Ανακριτικό κλιμάκιο Αιτωλοακαρνανίας ερευνά αιτία. Σε μεγάλο βαθμό ελεγχόμενη ως 28/6 πρωί. | Δύο μέτωπα: Κριονέρια (σε μεγάλο βαθμό ελεγχόμενη) και Κάτω Μαμουλάδα (μερικώς ελεγχόμενη). Yutori αναφορά ως 'Ναύπακτος 18:12' (27/6) και 'Κριονέρια–Κάτω Μαμουλάδα' (28/6). Δυνάμεις από Yutori email 27/6. | Σε μεγάλο βαθμό ελεγχόμενη, Σάββατο απόγευμα 27/6. | Σε μεγάλο βαθμό ελεγχόμενη, Σάββατο απόγευμα. Ξεχωριστό περιστατικό από την πυρκαγιά Κάτω Μαμουλάδας στην ίδια περιοχή. | Σε μεγάλο βαθμό ελεγχόμενη. Δεν διαθέτω χάρτη ΓΓΠΠ 27/06. | Πυκνή δασική έκταση, δυσπρόσιτο έδαφος. Εναέριες επιχειρήσεις δυσχεραίνονται από γραμμές υψηλής τάσης. Drone με οπτικές/θερμικές κάμερες. Πόροι αφορούν συνδυαστική ανάπτυξη Ναύπακτος. Email bullet 18:12. | Πυκνή δασική έκταση σε δύσβατο/δυσπρόσιτο σημείο. Δεν απειλήθηκαν κατοικίες/υποδομές. | Δυσπρόσιτο σημείο σε δασική έκταση. Βελτιωμένη εικόνα. Ξεχωριστή εστία από Κάτω Μαμουλάδα. | Έναρξη ~17:30. Δύσβατο σημείο σε πυκνή δασική έκταση.</t>
  </si>
  <si>
    <t>Κεραία Βλαχέρνας</t>
  </si>
  <si>
    <t>υπό έρευνα — ΑΚΑΕ Άρτας</t>
  </si>
  <si>
    <t>https://www.skai.gr/news/greece/fotia-stin-arta-se-agrotodasiki-ektasi ; https://www.news247.gr/ellada/foties-se-nafpaktia-kai-evro-oriothetithikan-se-evvoia-kai-arta/</t>
  </si>
  <si>
    <t>Δύσβατο έδαφος. Παρακολούθηση με drone θερμικής κάμερας από Ενιαίο Κέντρο Συντονισμού Επιχειρήσεων. Δεν απειλήθηκαν κατοικίες. | Αναφέρεται ως οριοθετημένη σε δελτίο news247.</t>
  </si>
  <si>
    <t>Πυρκαγιά Σπαθαρίου Ευβοίας</t>
  </si>
  <si>
    <t>ομάδα πεζοπόρου 20ης ΕΜΟΔΕ</t>
  </si>
  <si>
    <t>https://www.protothema.gr/greece/article/1842032/fotia-tora-se-dasos-sto-spathari-euvoias-sikothikan-11-enaeria/ ; https://www.newsbomb.gr/ellada/story/1745808/eyvoia-se-yfesi-kai-xoris-energo-metopo-i-pyrkagia-sto-spathari ; https://www.documentonews.gr/article/fotia-sto-spathari-evvoias-epicheiroun-kai-11-enaeria-mesa/ ; https://www.lifo.gr/now/greece/fotia-tora-stin-eyvoia-epiheiroyn-11-enaeria-sto-spathari ; https://www.newsbeast.gr/greece/arthro/13197468/evvoia-ypo-meriko-elegcho-i-pyrkagia-se-dasiki-ektasi-sto-spathari ; https://www.dimokratia.gr/ellada/713084/pyrkagia-sto-spathari-eyvoias/ ; https://www.ertnews.gr/eidiseis/se-yfesi-ta-megala-pyrina-metopa-se-voiotia-eyvoia-kai-evro-32-foties-mesa-se-mia-imera/ ; https://www.tanea.gr/2026/06/27/greece/ypo-meriko-elegxo-i-pyrkagia-se-dasiki-ektasi-sto-spathari-eyvoias/ ; https://www.ertnews.gr/roi-idiseon/pyrkagia-sto-spathari-eyvoias-se-yfesi-i-fotia-paramenoun-dynameis-sto-simeio/ ; https://www.enikos.gr/society/fotia-se-dasiki-ektasi-stin-evvoia-epicheiroun-kai-11-enaeria-mesa/2604956/ ; https://www.lifo.gr/now/greece/fotia-tora-stin-eyboia-epiheiroyn-11-enaeria-sto-spathari</t>
  </si>
  <si>
    <t>Συνολικά 11 εναέρια μέσα (8 αεροσκάφη + 3 ελικόπτερα). Χωρίς ενεργό μέτωπο αργότερα. | Κλιμάκιο Αντιμετώπισης Εγκλημάτων Εμπρησμού στο σημείο. Drone οπτικής και θερμικής κάμερας. | Δασική έκταση. &gt;100 στρέμματα (≥10 ha) αρχικές εκτιμήσεις. 11 εναέρια συνολικά (8 αεροσκάφη + 3 ελικόπτερα). Σε ύφεση χωρίς ενεργό μέτωπο. Δεν απειλήθηκαν κατοικίες. | Καμένη έκταση &gt;100 στρέμματα (&gt;10 ha, πρώτη εκτίμηση). Σε ύφεση χωρίς ενεργό μέτωπο. Δεν απειλήθηκαν κατοικίες/υποδομές. | Αιτία: έκρηξη μετασχηματιστή ΔΕΔΔΗΕ ανάψε ξερά χόρτα σε δασική έκταση. Drone επίβλεψη με θερμική κάμερα. Σε ύφεση χωρίς ενεργό μέτωπο από βράδυ 27/6. Δεν απειλήθηκαν κατοικίες. | Δασική έκταση, μερικώς ελεγχόμενη κατά τη δημοσίευση. | Πυρκαγιά σε δασική έκταση. Μερικώς ελεγχόμενη από Πυροσβεστική. Σύμφωνα με πηγή 01/07/2026 η φωτιά στην Εύβοια ήταν σε ύφεση χωρίς ενεργό μέτωπο. | Μερικώς ελεγχόμενη κατά τον χρόνο δημοσίευσης. Δεν διαθέτω χάρτη ΓΓΠΠ 27/06. | Έναρξη λίγο μετά τις 16:00 EEST. Δασική έκταση.</t>
  </si>
  <si>
    <t>Κάτω Μαμουλάδα Ναυπάκτου</t>
  </si>
  <si>
    <t>2 ορεινές ομάδες 6ης ΕΜΟΔΕ</t>
  </si>
  <si>
    <t>υδροφόρες Δήμου Ναυπάκτου</t>
  </si>
  <si>
    <t>υπό έρευνα — ΑΚΑΕ Αιτωλοακαρνανίας</t>
  </si>
  <si>
    <t>https://www.newsbomb.gr/ellada/story/1745779/naypaktos-fotia-stin-kato-mamoulada-aitoloakarnanias-epixeiroyn-enaeria-mesa ; https://www.skai.gr/news/greece/fotia-se-dasiki-ektasi-stin-kato-mamoulada-naypaktou ; https://www.haniotika-nea.gr/naypaktos-fotia-stin-kato-mamoylada/ ; https://athens-times.com/fire-breaks-out-near-naupaktos-aircraft-and-helicopter-deployed/ ; https://civilprotection.gov.gr/deltia-tupou/poly-ypsilos-kindynos-pyrkagias-katigoria-kindynoy-4-gia-ayrio-sabbato-27-ioynioy-2026 ; https://www.iefimerida.gr/ellada/fotia-se-dasiki-ektasi-stin-mamoylada-aitoloakarnanias ; https://www.in.gr/2026/06/27/greece/synagermos-gia-pyrkagies-logo-ton-isxyron-anemon-katigoria-kindynou-4-se-attiki-peloponniso-kai-eyvoia/amp/ ; https://www.news247.gr/ellada/fotia-stin-nafpakto-megali-epixeirisi-tis-pirosvestikis/ ; https://www.haniotika-nea.gr/naypaktos-kalyteri-i-eikona-tis-fotias-stin-periochi-kryoneria-ypo-meriko-elegcho-i-pyrkagia-stin-kato-mamoylada/ ; https://www.agrinionews.gr/fotia-stin-kato-mamoulada-aitoloakarnanias-epicheiroun-enaeria-mesa-kai-50-pyrosvestes/ ; https://www.in.gr/2026/06/27/greece/synagermos-gia-pyrkagies-logo-ton-isxyron-anemon-katigoria-kindynou-4-se-attiki-peloponniso-kai-eyvoia/ ; https://www.ekathimerini.com/news/1308039/fires-in-western-greece-contained-firefighters-stay-on-alert/</t>
  </si>
  <si>
    <t>Δεν απειλήθηκαν κατοικίες/υποδομές. Δασοαγροτική έκταση. Εναέρια μέσα ανακλήθηκαν στο σημείο. Πόροι δεν διαχωρίστηκαν από Κρυονέρια. Οριοθετήθηκε έως 29/06/2026. | Δυσκολία ρίψεων λόγω γραμμών υψηλής τάσης. Δεν απειλήθηκαν κατοικίες/υποδομές. Yutori snapshot 18:12 (ενεργή). | Καλώδια υψηλής τάσης ΔΕΗ εμπόδισαν εναέρια μέσα. Drone θερμικής κάμερας (ΕΣΚΕΔΙΚ). Δεν απειλήθηκαν κατοικίες/υποδομές. Κλιμάκιο εγκλημάτων εμπρησμού Αιτωλοακαρνανίας στο σημείο. | Δασική έκταση. Δυσκολίες αεροπυρόσβεσης λόγω καλωδίων υψηλής τάσης. Δεν απειλήθηκαν κατοικίες. Ανακριτικό κλιμάκιο Αιτωλοακαρνανίας ερευνά αιτία. Στο email 1 αναφέρεται ως «Πυρκαγιά Ναυπάκτου» (18:12 αναφορά ίδιων δυνάμεων). | Δεν απειλούνταν κατοικίες/υποδομές. Ταυτόχρονα επιχειρούσαν στα Κρυονέρια Ναυπακτίας (ξεχωριστή εστία). | Μερικώς ελεγχόμενη, Σάββατο απόγευμα 27/6. Ενδέχεται Δήμος Δυτικής Αχαΐας (Αχαΐα). | Μερικώς ελεγχόμενη, Σάββατο απόγευμα. Ξεχωριστό περιστατικό από τα Κριονέρια. | Μερικώς ελεγχόμενη. Δεν διαθέτω χάρτη ΓΓΠΠ 27/06. | Έναρξη λίγο μετά τις 13:30. Εμπόδιο καλώδια υψηλής τάσης για εναέρια. Αναφορά ως Ναύπακτος 18:12 EEST στο email 19f09c71076ec5fc.</t>
  </si>
  <si>
    <t>12:56</t>
  </si>
  <si>
    <t>αμέλεια — θερμές εργασίες με τροχό και ηλεκτροκόλληση</t>
  </si>
  <si>
    <t>https://www.efsyn.gr/ellada/1411121/oriothetithike-i-pyrkagia-stin-keratea/ ; https://www.cnn.gr/ellada/story/540925/pente-syllipseis-gia-tis-pyrkagies-se-fthiotida-serres-anatoliki-attiki-kai-rodo ; https://www.thetoc.gr/koinwnia/article/fotia-stin-keratea-sunagermos-stin-purosbestiki-pou-esteile-stin-perioxi-isxures-dunameis/ ; https://www.dnews.gr/eidhseis/ellada/596623/pente-syllipseis-gia-pyrkagia-apo-ameleia-se-fthiotida-serres-attiki-kai-rodo</t>
  </si>
  <si>
    <t>Σύλληψη 39χρονου αυτόφωρο. Κοντά στη Λεωφόρο Λαυρίου. Ισχυρές δυνάμεις Πυροσβεστικής. | Συνελήφθη 39χρονος. Περιοχή Ανατολικής Αττικής. Έκταση καμένης άγνωστη.</t>
  </si>
  <si>
    <t>2026-06-29</t>
  </si>
  <si>
    <t>Άγιος Βασίλειος Θήβας</t>
  </si>
  <si>
    <t>Λιβαδειά</t>
  </si>
  <si>
    <t>2 ορεινές ομάδες 4ης ΕΜΟΔΕ</t>
  </si>
  <si>
    <t>https://www.news.gr/ellada/article/4165074/fotia-se-dasiki-ektasi-ston-agio-vasilio-viotias.html ; https://www.enikos.gr/society/fotia-sti-voiotia-kaiei-dasiki-ektasi/2604802/ ; https://www.zougla.gr/greece/fotia-se-dasiki-ektasi-ston-agio-vasileio-voiotias/ ; https://www.skai.gr/news/greece/voiotia-fotia-se-dasiki-ektasi ; https://www.lykavitos.gr/news/greece/voiotia-xoris-energo-metopo-oi-foties-se-petra-kai-agio-vasileio-oi-floges-eftasan-se-ay ; https://www.newsbomb.gr/ellada/story/1745767/fotia-sti-voiotia-kaigetai-dasos-ston-agio-vasileio-thivas-epixeiroyn-4-enaeria-mesa-minyma-112 ; https://www.cnn.gr/ellada/story/540861/minyma-112-gia-tin-fotia-stin-voiotia-parameinete-se-etoimotita ; https://www.documentonews.gr/article/fotia-tora-ston-agio-vasileio-voiotias-epicheiroun-enaeria-mesa/ ; https://www.lifo.gr/now/greece/fotia-sti-boiotia-enishythikan-oi-dynameis-tis-pyrosbestikis ; https://www.travelandtourworld.com/news/article/41y75vcomm9w/ ; https://www.dnews.gr/eidhseis/ellada/596583/fotia-tora-sti-thiva-112-ston-agio-vasileio ; https://www.ertnews.gr/eidiseis/se-yfesi-ta-megala-pyrina-metopa-se-voiotia-eyvoia-kai-evro-32-foties-mesa-se-mia-imera/ ; https://www.cnn.gr/ellada/story/540884/dyo-foties-kaine-taftoxrona-sti-voiotia-112-gia-etoimotita-kai-ekkenosi-se-agio-vasileio-kai-petra ; https://www.in.gr/2026/06/27/greece/synagermos-gia-pyrkagies-logo-ton-isxyron-anemon-katigoria-kindynou-4-se-attiki-peloponniso-kai-eyvoia/</t>
  </si>
  <si>
    <t>112 μήνυμα ετοιμότητας χωρίς εκκένωση. Δεν απειλήθηκαν κατοικίες/υποδομές. Δασική έκταση. Χωρίς ενεργό μέτωπο βάσει νεότερων πηγών. Email report-time 15:07. | 112 εκδόθηκε «παραμείνετε σε ετοιμότητα». Ενισχύθηκαν δυνάμεις κατά τη διάρκεια. Yutori update 15:07 (ενεργή). | Ταυτόχρονη εκδήλωση με πυρκαγιά Πέτρας Βοιωτίας. 112 για ετοιμότητα κατοίκων. Σε ύφεση χωρίς ενεργό μέτωπο έως ~17:00. Πρώτες εκτιμήσεις &gt;100 στρέμματα (≥10 ha). ERT αναφέρει έως 70 πυροσβέστες κατά την κορύφωση. | Εκκίνηση ~11:00, αναφορά στις 12:39. Ειδοποίηση 112 για Λιβαδειά. Δεν απειλούνταν κατοικίες/υποδομές. Παρακολούθηση ESKEDIK με drone (οπτικό+θερμικό). Ο Scout το αναφέρει και ως 'Πέτρα, Βοιωτία' (σφάλμα ετικέτας — ίδια πηγή).</t>
  </si>
  <si>
    <t>Άγιος Βασίλειος Θηβών</t>
  </si>
  <si>
    <t>2 (4η ΕΜΟΔΕ)</t>
  </si>
  <si>
    <t>https://www.news.gr/ellada/article/4165074/fotia-se-dasiki-ektasi-ston-agio-vasilio-viotias.html ; https://www.tanea.gr/2026/06/27/greece/fotia-sti-voiotia-sti-maxi-kai-enaeria-mesa/ ; https://www.tanea.gr/2026/06/27/greece/foties-se-voiotia-kai-aitoloakarnania-oriothetithike-to-metopo-sti-fthiotida/</t>
  </si>
  <si>
    <t>Δασική έκταση. Ειδοποιήσεις 112 για Λιβαδειά. Δεν απειλήθηκαν κατοικίες/υποδομές. Εστία σε ύφεση κατά την τελευταία αναφορά.</t>
  </si>
  <si>
    <t>Πέτρα Αλιάρτου</t>
  </si>
  <si>
    <t>μηχανήματα έργου και υδροφόρες Περιφέρειας Στερεάς Ελλάδας</t>
  </si>
  <si>
    <t>Πλησίον σιδηροδρομικής γραμμής (υπό έρευνα)</t>
  </si>
  <si>
    <t>https://www.news.gr/ellada/article/4165074/fotia-se-dasiki-ektasi-ston-agio-vasilio-viotias.html ; https://www.madata.gr/epikairotita/social/970414-neos-synagermos-sth-voiotia-fotia-sthn-petra-kai-epeigon-mhnyma-toy-112-gia-apomakrynsh-pros-livadeia.html ; https://www.tanea.gr/2026/06/27/greece/voiotia-fotia-se-xamili-vlastisi-stin-perioxi-petra-ixise-112/ ; https://www.lykavitos.gr/news/greece/voiotia-xoris-energo-metopo-oi-foties-se-petra-kai-agio-vasileio-oi-floges-eftasan-se-ay ; https://www.thetoc.gr/koinwnia/article/se-ufesi-i-megali-fotia-stin-petra-aliartou-apeilithikan-spitia-kaikan-stauloi-minuma-112-stous-katoikous/ ; https://www.news247.gr/ellada/xoris-energo-metopo-i-fotia-stin-petra-voiotias/ ; https://www.dnews.gr/eidhseis/ellada/596595/fotia-tora-sti-voiotia-112-stin-petra-apomakryntheite-pros-leivadia ; https://www.dnews.gr/eidhseis/ellada/596601/maxi-me-tis-floges-stin-petra-tis-voiotias-epi-podos-i-pyrosvestiki-ta-epomena-24ora-oi-kokkines-perioxes-eikones-vinteo ; https://www.ertnews.gr/eidiseis/se-yfesi-ta-megala-pyrina-metopa-se-voiotia-eyvoia-kai-evro-32-foties-mesa-se-mia-imera/ ; https://www.cnn.gr/ellada/story/540884/dyo-foties-kaine-taftoxrona-sti-voiotia-112-gia-etoimotita-kai-ekkenosi-se-agio-vasileio-kai-petra ; https://www.athensvoice.gr/epikairotita/ellada/971880/megali-i-fotia-petra-voiotias-neo-minuma-apo-to-112-apomakruntheite-pros-leivadia/ ; https://www.tanea.gr/2026/06/27/greece/fotia-sti-voiotia-enisxythikan-oi-pyrosvestikes-dynameis-sti-maxi-kai-enaeria-mesa-ixise-to-112/</t>
  </si>
  <si>
    <t>Εκκτακτο 112 για απομάκρυνση προς Λιβαδειά ~14:30. Άνεμοι 6 Μποφόρ. Φλόγες πλησίασαν Ε.Ο. Θηβών-Λιβαδειάς. Χαμηλή βλάστηση. Δεν απειλήθηκαν κατοικίες. | Κάηκαν 2 στάβλοι, ελιές τσουρουφλίστηκαν. Δεν κάηκε κανένα σπίτι. Εκδόθηκε 112 προς κατεύθυνση Λειβαδιάς. Παρακείμενες σιδηροδρομικές γραμμές. Yutori snapshot 12:39 αναφέρει 51/17/3/3. | 112 εκκένωση προς Λειβαδειά. Ισχυροί άνεμοι επιτάχυναν εξάπλωση. Σε ύφεση χωρίς ενεργό μέτωπο έως ~17:00. Κάηκαν σταύλοι, φλόγες έφτασαν σε αυλή σπιτιού. Yutori (12:39): 51/17/3A/3H· ERT αργότερα: 45/13v/6A/1H. | Απειλήθηκαν σπίτια, κάηκαν 2 στάβλοι — δεν κάηκε κανένα σπίτι. 112 εκκένωσης κατοίκων προς Λιβαδειά. Κλειστή Ε.Ο. Θήβας–Λιβαδειάς. Ισχυροί ΒΑ άνεμοι επιτάχυναν εξάπλωση.</t>
  </si>
  <si>
    <t>10:10</t>
  </si>
  <si>
    <t>αμέλεια — εργασίες με γεωργικό ελκυστήρα και καταστροφέα</t>
  </si>
  <si>
    <t>https://www.cnn.gr/ellada/story/540925/pente-syllipseis-gia-tis-pyrkagies-se-fthiotida-serres-anatoliki-attiki-kai-rodo ; https://www.dnews.gr/eidhseis/ellada/596623/pente-syllipseis-gia-pyrkagia-apo-ameleia-se-fthiotida-serres-attiki-kai-rodo ; https://www.ertnews.gr/eidiseis/pente-syllipseis-gia-pyrkagies-apo-ameleia-kai-paravaseis-tis-antipyrikis-nomothesias-se-fthiotida-serres-anatoliki-attiki-kai-rodo/ ; https://www.tanea.gr/2026/06/27/greece/fthiotida-oriothetithike-i-pyrkagia-se-xamili-vlastisi-stin-paralia-pelasgias/ ; https://todaypress.gr/2026/06/27/oriothetithike-i-pyrkagia-stin-paralia-pelasgias-fthiotidas/ ; https://www.dikastiko.gr/eidhsh/oriothetithike-i-pyrkagia-se-chamili-vlastisi-stin-paralia-pelasgias-fthiotidas/</t>
  </si>
  <si>
    <t>Σύλληψη 63χρονου αυτόφωρο. | Χαμηλή βλάστηση στην παραλία Πελασγίας, Δ. Στυλίδας. Οριοθετήθηκε σε &lt;2 ώρες. Δεν απειλήθηκαν κατοικίες/υποδομές. Ισχυροί άνεμοι στην περιοχή. Ανακριτικό κλιμάκιο Φθιώτιδας ερευνά αιτία. | Συνελήφθη 63χρονος. Πεζοπόρος ομάδα Φθιώτιδας εστάλη για διακρίβωση αιτίας.</t>
  </si>
  <si>
    <t>Παραλία Πελασγίας</t>
  </si>
  <si>
    <t>αμέλεια σε αγροτική περιοχή</t>
  </si>
  <si>
    <t>https://www.skai.gr/news/greece/fotia-stin-pelasgia-syllipsi-enos-atomou ; https://www.tanea.gr/2026/06/27/greece/foties-se-voiotia-kai-aitoloakarnania-oriothetithike-to-metopo-sti-fthiotida/</t>
  </si>
  <si>
    <t>Σύλληψη 1 ατόμου (ΑΚΑΕ Φθιώτιδας) για αμέλεια. Ισχυροί άνεμοι. Drone θερμικής απεικόνισης. Δεν απειλήθηκαν κατοικίες.</t>
  </si>
  <si>
    <t>Άγιος Βασίλειος Βοιωτίας</t>
  </si>
  <si>
    <t>https://www.travelandtourworld.com/news/article/41y75vcomm9w/ ; https://www.dnews.gr/eidhseis/ellada/596601/maxi-me-tis-floges-stin-petra-tis-voiotias-epi-podos-i-pyrosvestiki-ta-epomena-24ora-oi-kokkines-perioxes-eikones-vinteo</t>
  </si>
  <si>
    <t>Αναφορά 15:07 EEST. Ενεργό μέτωπο, επίγεια και εναέρια. Δεύτερη διαδοχική πυρκαγιά Βοιωτίας ημέρας.</t>
  </si>
  <si>
    <t>Θεολόγος, Πεταλούδες</t>
  </si>
  <si>
    <t>2 πεζοπόρα τμήματα 11ης ΕΜΟΔΕ</t>
  </si>
  <si>
    <t>αμέλεια — βενζινοκίνητη αντλία άρδευσης εν λειτουργία χωρίς επίβλεψη</t>
  </si>
  <si>
    <t>https://www.cnn.gr/ellada/story/540925/pente-syllipseis-gia-tis-pyrkagies-se-fthiotida-serres-anatoliki-attiki-kai-rodo ; https://www.voria.gr/article/rodos-kinitopoiisi-tis-pyrosvestikis-gia-fotia-sto-horio-theologos ; https://www.capital.gr/epikairotita/4001095/rodos-se-exelixi-fotia-se-dusbato-simeio/ ; https://www.dnews.gr/eidhseis/ellada/596623/pente-syllipseis-gia-pyrkagia-apo-ameleia-se-fthiotida-serres-attiki-kai-rodo ; https://www.tanea.gr/2026/06/27/greece/syllipseis-gia-pyrkagies-apo-ameleia-se-fthiotida-serres-attiki-kai-rodo-pos-ksekinisan-oi-foties/ ; https://www.naftemporiki.gr/society/2130116/pente-syllipseis-gia-pyrkagies-apo-ameleia-kai-paravaseis-tis-antipyrikis-nomothesias-se-fthiotida-serres-attiki-kai-rodo/ ; https://www.naftemporiki.gr/society/2130027/rodos-se-exelixi-fotia-se-dysvato-simeio-megali-kinitopoiisi-ton-dasopyrosvestikon-dynameon-kai-ethelonton/ ; https://www.avgi.gr/koinonia/507241_fotia-anamesa-sto-horio-theologos-kai-tin-koilada-ton-petaloydon ; https://www.iefimerida.gr/ellada/pyrkagies-ameleia-fthiotida-serres-attiki-rodo</t>
  </si>
  <si>
    <t>Σύλληψη 56χρονου αυτόφωρο. Δύσβατο σημείο — μεγάλη κινητοποίηση δασοπυροσβεστικών δυνάμεων και εθελοντών. | Καμένη έκταση ~1 στρέμμα (αγροτοδασική). Συνελήφθη 56χρονος. | 56χρονος Έλληνας συνελήφθη (βενζινοκίνητη αντλία χωρίς επίβλεψη). Δύσβατο σημείο — μεγάλη κινητοποίηση δασοπυροσβεστικών δυνάμεων και εθελοντών.</t>
  </si>
  <si>
    <t>Λουτράκι Κορινθίας</t>
  </si>
  <si>
    <t>Λουτρακίου-Αγίων Θεοδώρων</t>
  </si>
  <si>
    <t>https://www.travelandtourworld.com/news/article/41y75vcomm9w/</t>
  </si>
  <si>
    <t>Κατάσβεση εστιών, ενισχυμένες γραμμές περιορισμού. | Yutori email 27/6: κατάσβεση εστιών, ενισχυμένες γραμμές περιορισμού. Δεν εντοπίστηκαν επιπλέον πηγές.</t>
  </si>
  <si>
    <t>Νέα Βύσσα</t>
  </si>
  <si>
    <t>Υδροφόρες δήμου</t>
  </si>
  <si>
    <t>https://www.ertnews.gr/eidiseis/se-yfesi-ta-megala-pyrina-metopa-se-voiotia-eyvoia-kai-evro-32-foties-mesa-se-mia-imera/ ; https://www.news247.gr/ellada/foties-se-nafpaktia-kai-evro-oriothetithikan-se-evvoia-kai-arta/</t>
  </si>
  <si>
    <t>Δεν απειλήθηκαν κατοικίες ή υποδομές. Κλιμάκιο αρσονισμού στο σημείο.</t>
  </si>
  <si>
    <t>Πέτρα Βοιωτίας</t>
  </si>
  <si>
    <t>https://www.news.gr/ellada/article/4165074/fotia-se-dasiki-ektasi-ston-agio-vasilio-viotias.html ; https://www.dnews.gr/eidhseis/ellada/596601/maxi-me-tis-floges-stin-petra-tis-voiotias-epi-podos-i-pyrosvestiki-ta-epomena-24ora-oi-kokkines-perioxes-eikones-vinteo</t>
  </si>
  <si>
    <t>Έναρξη λίγο μετά τις 11:00 EEST, αναφορά 12:39. 112 για Λιβαδειά. Δεν απειλούνταν κατοικίες.</t>
  </si>
  <si>
    <t>Σκαλωσιά Λουτρακίου</t>
  </si>
  <si>
    <t>Λουτράκι - Περαχώρα - Άγιοι Θεόδωροι</t>
  </si>
  <si>
    <t>1 ομάδα πεζοπόρου 9ης ΕΜΟΔΕ</t>
  </si>
  <si>
    <t>https://www.travelandtourworld.com/news/article/41y75vcomm9w/ ; https://www.tovima.com/society/fires-in-loutraki-hotel-viotia-forrest-under-control/ ; https://newpost.gr/eidiseis/loytraki-neos-pyrinos-metopo-sti-skalosia-meta-ti-fotia-ston-schino/ ; https://www.madata.gr/epikairotita/social/970088-loytraki-fotia-sth-skalosia-kinhtopoihse-ischyres-dynameis-ths-pyrosvestikhs.html ; https://www.news247.gr/ellada/pos-proklithike-i-megali-fotia-sto-loutraki-sti-maxi-100-pirosvestes-kai-enaeria-mesa/</t>
  </si>
  <si>
    <t>Κατάσβεση εστιών με ενισχυμένες γραμμές περιορισμού. Πιθανή συνέχεια φωτιάς Σκαλωσιά/Σχίνος (21/06/2026). Δασική έκταση βάσει πηγών. | Νέο μέτωπο στη Σκαλωσιά μετά από φωτιά στον Σχίνο. Yutori: «Κατάσβεση εστιών, υπό έλεγχο με ενισχυμένες γραμμές περιορισμού». Παράλληλα news247 αναφέρει μεγαλύτερη επιχείρηση στο Λουτράκι/Περαχώρα με ~100 πυροσβέστες και εναέρια μέσα (γεωργός αναζητείται για εμπρησμό αμελείας). | Αναφέρεται ως 'Κατάσβεση εστιών, παραμένει υπό έλεγχο με ενισχυμένες γραμμές περιορισμού' (27/6 email). Ημερομηνία έναρξης άγνωστη.</t>
  </si>
  <si>
    <t>αγροτική περιοχή Δήμου Σιντικής</t>
  </si>
  <si>
    <t>Σιντικής</t>
  </si>
  <si>
    <t>αμέλεια — λειτουργία θεριζοαλωνιστικής μηχανής</t>
  </si>
  <si>
    <t>https://www.naftemporiki.gr/society/2130116/pente-syllipseis-gia-pyrkagies-apo-ameleia-kai-paravaseis-tis-antipyrikis-nomothesias-se-fthiotida-serres-attiki-kai-rodo/ ; https://www.cretalive.gr/ellada/pente-syllipseis-gia-pyrkagies-apo-ameleia-kai-paravaseis-tis-antipyrikis-nomothesias ; https://www.dnews.gr/eidhseis/ellada/596623/pente-syllipseis-gia-pyrkagia-apo-ameleia-se-fthiotida-serres-attiki-kai-rodo ; https://www.iefimerida.gr/ellada/pyrkagies-ameleia-fthiotida-serres-attiki-rodo ; https://www.cnn.gr/ellada/story/540925/pente-syllipseis-gia-tis-pyrkagies-se-fthiotida-serres-anatoliki-attiki-kai-rodo ; https://www.tanea.gr/2026/06/27/greece/syllipseis-gia-pyrkagies-apo-ameleia-se-fthiotida-serres-attiki-kai-rodo-pos-ksekinisan-oi-foties/ ; https://www.ertnews.gr/eidiseis/pente-syllipseis-gia-pyrkagies-apo-ameleia-kai-paravaseis-tis-antipyrikis-nomothesias-se-fthiotida-serres-anatoliki-attiki-kai-rodo/</t>
  </si>
  <si>
    <t>Κάηκαν 20 στρέμματα (=2 ha): αγροτοδασική, υπολείμματα καλλιεργειών, ~100 ελαιόδεντρα, χορτολιβαδική. Σύλληψη αλλοδαπού (ΑΚΑΕ Σερρών). | ~20 στρέμματα (2 ha) αγροτοδασικής έκτασης, υπολειμμάτων καλλιεργειών, ~100 ελαιόδεντρα, χορτολιβαδική έκταση. Αυτόφωρο. | Καμένη έκταση 20 στρέμματα (αγροτοδασική, χορτολιβαδική, ~100 ελαιόδεντρα). Συνελήφθη δράστης.</t>
  </si>
  <si>
    <t>21:45</t>
  </si>
  <si>
    <t>Avgó, Βάλια Κάλντα</t>
  </si>
  <si>
    <t>1 ομάδα πεζοπόρου 8ης ΕΜΟΔΕ</t>
  </si>
  <si>
    <t>https://www.skai.gr/news/greece/grevena-fotia-se-dasiki-ektasi ; https://www.newsbomb.gr/ellada/story/1745455/grevena-ypo-elegxo-i-pyrkagia-sti-thesi-avgo-sti-valia-kalnta ; https://www.dnews.gr/eidhseis/ellada/596209/grevena-fotia-sti-valia-kalnta-sikothike-elikoptero ; https://www.iefimerida.gr/ellada/fotia-sta-grebena-stin-balia-kalnta ; https://www.news247.gr/ellada/fotia-sti-valia-kalnta-sta-grevena/ ; https://www.capital.gr/epikairotita/4000788/grebena-upo-elegxo-i-purkagia-sti-thesi-abgo-sti-balia-kalnta/ ; https://www.tanea.gr/2026/06/25/greece/grevena-ypo-elegxo-i-pyrkagia-sti-thesi-avgo-sti-valia-kalnta/</t>
  </si>
  <si>
    <t>Ελικόπτερο κατέπεσε στη λίμνη Αώου κατά τη διάρκεια επιχείρησης· και τα δύο μέλη πληρώματος (Έλληνας &amp; ξένος σύνδεσμος) διασώθηκαν κολυμπώντας. Απομακρυσμένη, δυσπρόσιτη δασική έκταση, χωρίς απειλή κατοικιών. | Δύσβατο/δυσπρόσιτο σημείο, μακριά από κατοικίες. Τέθηκε υπό έλεγχο βράδυ 25/06, ξαναάναψε — τελικά υπό έλεγχο αργά 26/06. Χάρτης ΓΓΠΠ 25/06 μη διαθέσιμος. | Τέθηκε υπό πλήρη έλεγχο λίγο πριν τις 22:00· 2 πυροσβέστες + 1 όχημα παρέμειναν για αποφυγή αναζωπυρώσεων.</t>
  </si>
  <si>
    <t>Ακόντιο Όρος, Ορχομενός</t>
  </si>
  <si>
    <t>Ορχομενός</t>
  </si>
  <si>
    <t>3 πεζοπόρα τμήματα (4η ΕΜΕΔΕ)</t>
  </si>
  <si>
    <t>εθελοντές (χωρίς αριθμό)</t>
  </si>
  <si>
    <t>υπό διερεύνηση (Ανακριτικό Κλιμάκιο Εμπρησμού Βοιωτίας)</t>
  </si>
  <si>
    <t>https://www.in.gr/2026/06/23/greece/ypsilos-kindynos-pyrkagias-simera-se-kitrino-synagermo-polles-perioxes-tis-xoras/amp/ ; https://www.newsbomb.gr/ellada/story/1745199/voiotia-oriothetithike-i-fotia-ston-orxomeno-den-apeilise-spitia ; https://www.ertnews.gr/eidiseis/ellada/fotia-se-agrotodasiki-ektasi-ston-orxomeno-den-apeilountai-oikismoi-leei-sto-ertnews-o-antiperifereiarxis-voiotias/ ; https://www.in.gr/2026/06/23/greece/ypsilos-kindynos-pyrkagias-simera-se-kitrino-synagermo-polles-perioxes-tis-xoras/ ; https://lawandorder.gr/i-eikona-tis-fotias-ston-orchomeno-voiotias-24-6/ ; https://www.in.gr/2026/06/24/greece/fotia-tora-sti-voiotia-sikothikan-enaeria-mesa-2/ ; https://www.newsbomb.gr/ellada/story/1745409/mainetai-i-pyrkagia-ston-orxomeno-voiotias-sti-maxi-me-tis-floges-105-pyrosvestes ; https://www.skai.gr/news/greece/fotia-se-agrotodasiki-ektasi-ston-orxomeno-voiotias ; https://www.iefimerida.gr/ellada/oriothetithike-i-pyrkagia-orhomeno-boiotias ; https://www.tanea.gr/2026/06/24/greece/oriothetimeni-i-pyrkagia-se-agrotodasiki-ektasi-ston-orxomeno-voiotias/ ; https://lawandorder.gr/fotia-ston-orchomeno-voiotias-pyrosvestiki-24-6/</t>
  </si>
  <si>
    <t>Αγροτοδασική έκταση. Κάηκαν καλλιέργειες και ένα ποιμνιοστάσιο. Δεν απειλήθηκαν οικισμοί. Drone παρακολούθηση (θερμική/οπτική). Ζήτημα εμπρησμού υπό διερεύνηση. | Πυρκαγιά στον Ορχομενό Βοιωτίας με ανάπτυξη αεροσκαφών και 40 πυροσβεστών. Ημέρα κίτρινου συναγερμού (υψηλός κίνδυνος) σε πολλές περιοχές. | 40 πυροσβέστες και αεροσκάφη. Live ticker in.gr 25/06 17:00: «Ενισχύθηκαν οι πυροσβεστικές δυνάμεις» — πυρκαγιά σε εξέλιξη. | Αγροτοδασική έκταση, δεν απείλησε κατοικίες. Τρίτη πυρκαγιά στην περιοχή. Drone επιτήρησης με θερμικές κάμερες. | Αγροτοδασική έκταση στο όρος Ακόντιο. Ζημιές σε καλλιέργειες και ποιμνιοστάσιο. Δεν απειλήθηκαν οι οικισμοί Ακόντιο και Διόνυσος. Κορύφωση με 6 εναέρια μέσα συνολικά (4 αεροσκάφη + 2 ελικόπτερα). Δήλωση αντιπεριφερειάρχη Βοιωτίας Γ. Ντασιώτη: «Δεν φαίνεται τίποτα να απειλείται». | Αγροτοδασική έκταση στο Όρος Ακόντιο. Δεν απείλησε οικισμούς (Ακόντιο, Διόνυσος). Αρχικές δυνάμεις per ertnews: 40 πυροσβέστες, 12 οχήματα, 2 αεροσκάφη, 2 ελικόπτερα· news24world επιβεβαιώνει ενίσχυση δυνάμεων. ΓΓΠΠ χάρτης 24/06/2026 (έκδοση 23/06 12:30): Βοιωτία κίτρινο → ΥΨΗΛΗ (3). Καμένη έκταση δεν αναφέρεται σε καμία πηγή.</t>
  </si>
  <si>
    <t>2026-06-27</t>
  </si>
  <si>
    <t>Τσαΐρια Περαίας</t>
  </si>
  <si>
    <t>Θερμαϊκός</t>
  </si>
  <si>
    <t>μηχανήματα έργου Περιφέρειας</t>
  </si>
  <si>
    <t>Ξερά χόρτα και απορρίμματα (υπό διερεύνηση — Κλιμάκιο Εμπρησμού)</t>
  </si>
  <si>
    <t>https://www.topontiki.gr/2026/06/22/fotia-sti-thessaloniki-kinitopiithikan-ke-enaeria-mesa/ ; https://www.newsbeast.gr/greece/arthro/13185738/megali-fotia-sti-thessaloniki-ichise-to-112-gia-tous-pnigirous-kapnous-stin-peraia-eno-epicheiroun-enaeria-mesa ; https://www.voria.gr/article/thessaloniki-synagermos-gia-megali-fotia-sta-tsairia-peraias-sikothikan-dyo-aeroskafi-kai ; https://www.newsit.gr/ellada/fotia-stin-thessaloniki-ston-oikismo-tsairia-stin-peraia-ixise-to-112/4709791/ ; https://www.naftemporiki.gr/society/2127803/thessaloniki-oriothetimeni-i-pyrkagia-ston-oikismo-tsairia-stin-peraia/ ; https://www.ertnews.gr/ert3/thessaloniki-xoris-energo-metopo-i-fotia-sta-tsairia-olonyxtia-epixeirisi-katasvesis/ ; https://www.news247.gr/ellada/ipo-elegxo-i-fotia-stin-peraia-thessalonikis/ ; https://www.emakedonia.gr/thessaloniki-ypo-meriko-elegcho-i-fotia-sta-tsairia-meta-apo-olonychtia-machi-815079 ; https://www.skai.gr/news/greece/oriothetithike-i-pyrkagia-stin-peraia-thessalonikis ; https://www.voria.gr/article/thessaloniki-se-yfesi-i-pyrkagia-sta-tsairia-peraias-perioristike-se-mikri-ektasi</t>
  </si>
  <si>
    <t>Ήχησε το 112 λόγω πυκνών καπνών. Σκουπίδια και χαμηλή βλάστηση. Χωρίς ζημιές σε κατοικίες. | Δασική πυρκαγιά στην περιοχή Τσαιρία της Περαίας· κινητοποιήθηκαν αεροσκάφη και ελικόπτερα. ~17:00 EEST. | Βελτιωμένη εικόνα κατά τη δημοσίευση. Κινητοποιήθηκαν αεροσκάφη και ελικόπτερα· αριθμός δεν αναφέρεται. | Καιόταν ξηρά χόρτα και σκουπίδια. Αποστολή 112 σε κατοίκους λόγω πυκνού καπνού. Μικρές εκρήξεις κατά τη διάρκεια κατάσβεσης. Αναζωπύρωση 06:30 της 23/6. ΟΤΑ εκσκαφείς κάλυπταν καιόμενες περιοχές με χώμα. Ολονύχτια μάχη κατάσβεσης. | Αναζωπυρώσεις 23/06· τελικά οριοθετήθηκε σε μικρή έκταση χαμηλής βλάστησης και απορριμμάτων.</t>
  </si>
  <si>
    <t>εστία σε κατοικία, επεκτάθηκε σε παρακείμενη δασική έκταση</t>
  </si>
  <si>
    <t>https://www.skai.gr/news/greece/loutraki-fotia-se-dasiki-ektasi-sti-skalosia-isxyres-dynameis-sto-simeio ; https://www.news247.gr/ellada/pos-proklithike-i-megali-fotia-sto-loutraki-sti-maxi-100-pirosvestes-kai-enaeria-mesa/ ; https://www.madata.gr/epikairotita/social/970088-loytraki-fotia-sth-skalosia-kinhtopoihse-ischyres-dynameis-ths-pyrosvestikhs.html ; https://www.thepressproject.gr/loutraki-fotia-sti-limni-vouliagmenis/</t>
  </si>
  <si>
    <t>Follow-up/upsert: Yutori email 27/06 αναφέρει «κατάσβεση εστιών, παραμένει υπό έλεγχο με ενισχυμένες γραμμές περιορισμού». Νεότερες αναφορές (news247, politica) αναφέρουν 100+ πυροσβέστες/30 οχήματα/3 αεροσκάφη/5 ελικόπτερα — πιθανόν επέκταση προς Περαχώρα Κορινθίας με νεότερη εστία από χορτοκοπτικές εργασίες. Χάρτης ΓΓΠΠ 21/06 μη διαθέσιμος.</t>
  </si>
  <si>
    <t>Σκαλωσιά Περαχώρας</t>
  </si>
  <si>
    <t>https://www.naftemporiki.gr/society/2127036/dasiki-pyrkagia-sti-skalosia-korinthias/ ; https://athina984.gr/2026/06/21/fotia-se-dasiki-ektasi-stin-korinthia/ ; https://www.powergame.gr/ellada/1374148/oriothetithike-i-pyrkagia-stin-korinthia/ ; https://www.dnews.gr/eidhseis/ellada/595293/oriothetithike-i-fotia-stin-korinthia ; https://www.flash.gr/fotia-stin-perachora-korinthias-ischyres-dynameis-tis-pyrosvestikis-epicheirei-elikoptero-1068139</t>
  </si>
  <si>
    <t>ΝΕΑ ΕΓΓΡΑΦΗ — Δασική πυρκαγιά στη Σκαλωσιά περιοχής Περαχώρας Κορινθίας. Επιχείρησαν ισχυρές δυνάμεις Πυροσβεστικής συμπεριλαμβανομένου ελικοπτέρου. Οριοθετήθηκε.</t>
  </si>
  <si>
    <t>Πλάκα Λαυρεωτικής</t>
  </si>
  <si>
    <t>4</t>
  </si>
  <si>
    <t>πλησίον πυλώνα ΔΕΗ (πιθανή αιτία)</t>
  </si>
  <si>
    <t>https://www.in.gr/2026/06/12/greece/oriothetithike-i-fotia-se-dasiki-ektasi-stin-plaka-layreotikis/ ; https://www.newsbomb.gr/ellada/story/1742263/ypo-elegxo-i-fotia-stin-plaka-lavreotikis-ksekinise-apo-pylona-tis-dei ; https://www.naftemporiki.gr/society/2123206/fotia-tora-stin-plaka-layreotikis-anamesa-kai-keratea-kai-layrio-i-pyrkagia/ ; https://www.gazzetta.gr/plus/2546411/megali-fotia-stin-layreotiki-60-pyrosbestes-kai-2-elikoptera-sto-simeio ; https://www.huffingtonpost.gr/kinonia/fotia-sti-lavreotiki-sikothikan-2-elikoptera/</t>
  </si>
  <si>
    <t>ΑΝΑΚΑΛΥΨΗ· δασική πυρκαγιά 12/06/2026· 4 πεζοπόρα τμήματα 1ης ΕΜΟΔΕ· δεν απειλήθηκαν κατοικημένες περιοχές.</t>
  </si>
  <si>
    <t>Τουρλίδα, Μεσολόγγι</t>
  </si>
  <si>
    <t>Ιεράς Πόλης Μεσολογγίου</t>
  </si>
  <si>
    <t>1 ομάδα 6ου ΕΜΟΔΕ</t>
  </si>
  <si>
    <t>αγνώστη (ανακριτικό τμήμα Αιτωλοακαρνανίας επιχείρησε στο σημείο)</t>
  </si>
  <si>
    <t>https://www.ertnews.gr/perifereia/fotia-stin-tourlida-mesologgiou-se-ekseliksi-i-epixeirisi-katasvesis/ ; https://www.naftemporiki.gr/society/2122671/fotia-tora-sti-nisida-toyrlida-mesologgioy-kinitopoiithikan-enaeria-mesa-kai-pyrosvestiko-ploiario/ ; https://www.agriniosite.gr/pyrkagia-se-chamili-vlastisi-stin-toyrlida-mesologgioy-kinitopoiithikan-enaeria-mesa-kai-pyrosvestiko-ploiario/ ; https://www.tanea.gr/2026/06/11/greece/fotia-sti-nisida-tourlida-mesologgiou-sikothikan-kai-enaeria-mesa/</t>
  </si>
  <si>
    <t>Πυρκαγιά χαμηλής βλάστησης στο νησάκι Τουρλίδα· επιχειρεί και 1 πυροσβεστικό σκάφος. | Χαμηλή βλάστηση σε νησίδα· 1 πεζοπόρο τμήμα 6ης ΕΜΟΔΕ, πυροσβεστικό πλοιάριο παράλληλα με εναέρια μέσα· δεν απειλήθηκαν οικισμοί ή υποδομές.</t>
  </si>
  <si>
    <t>15:46</t>
  </si>
  <si>
    <t>17:13</t>
  </si>
  <si>
    <t>Ασπρόκαμπος</t>
  </si>
  <si>
    <t>διερεύνηση από ανακριτικό τμήμα Φθιώτιδας</t>
  </si>
  <si>
    <t>https://www.skai.gr/news/greece/synagermos-sti-fthiotida-fotia-se-agrotodasiki-ektasi-ston-asprokampo-sikothikan-enaeria ; https://www.ertnews.gr/roi-idiseon/fthiotida-se-yfesi-i-pyrkagia-se-agrotodasiki-ektasi-ston-asprokampo/</t>
  </si>
  <si>
    <t>Αγροδασική έκταση μεταξύ Ανθοχωρίου–Ασπροκάμπου, Φθιώτιδα· περιορίστηκε χωρίς απειλή κατοικιών. Χρήση drone.</t>
  </si>
  <si>
    <t>2026-06-25</t>
  </si>
  <si>
    <t>Λέσβος &amp; Λήμνος (EFFIS)</t>
  </si>
  <si>
    <t>Καμένη έκταση δορυφορικά (EFFIS), 1 εκτάριο, Λέσβος/Λήμνος· ανίχνευση 10 Ιουνίου.</t>
  </si>
  <si>
    <t>2026-06-24</t>
  </si>
  <si>
    <t>18:24</t>
  </si>
  <si>
    <t>Πεύκα</t>
  </si>
  <si>
    <t>3 ομάδες 2ης ΕΜΟΔΕ</t>
  </si>
  <si>
    <t>διερεύνηση από Ανακριτικό Τμήμα ΠΥ· τρεις συλλήψεις (αμέλεια)</t>
  </si>
  <si>
    <t>https://www.ekathimerini.com/news/1306138/wildfire-breaks-out-near-thessaloniki-emergency-alert-issued-to-residents ; https://www.protothema.gr/greece/article/1832096/fotia-tora-sta-peuka-thessalonikis-epiheiroun-kai-enaeria/ ; https://www.documentonews.gr/article/thessaloniki-treis-syllipseis-gia-ti-fotia-se-dasiki-ektasi-sto-filyro/</t>
  </si>
  <si>
    <t>Δασική πυρκαγιά κοντά στη Θεσσαλονίκη (Πεύκα), 18:24 EEST· εστάλη 112.</t>
  </si>
  <si>
    <t>Δυτική Αττική (EFFIS)</t>
  </si>
  <si>
    <t>Καμένη έκταση ανιχνευμένη δορυφορικά (EFFIS), 64 εκτάρια, Δυτική Αττική· ανίχνευση 9 Ιουνίου.</t>
  </si>
  <si>
    <t>21:41</t>
  </si>
  <si>
    <t>Περαχώρα, Λουτράκι (Γεράνεια, Λίμνη Βουλιαγμένης)</t>
  </si>
  <si>
    <t>5 ομάδες πεζοπόρων τμημάτων</t>
  </si>
  <si>
    <t>ανθρώπινη αμέλεια· σπινθήρας από χορτοκοπτικό· σύλληψη 70χρονου Γάλλου</t>
  </si>
  <si>
    <t>https://www.ekathimerini.com/news/1306012/wildfire-rips-through-pine-forest-near-loutraki/ ; https://www.skai.gr/news/greece/loutraki-fotia-se-dasiki-ektasi-kinitopoiithikan-aeroskafi-kai-elikoptero ; https://www.ertnews.gr/eidiseis/ellada/se-yfesi-i-fotia-stin-peraxora-korinthias-syllipsi-71xronou-pou-ektelouse-agrotikes-ergasies/</t>
  </si>
  <si>
    <t>Δάσος πεύκων κοντά στη Λίμνη Βουλιαγμένης, πλαγιές Γερανείου, ~9 χλμ από Λουτράκι. &gt;100 πυροσβέστες, αεροσκάφη/ελικόπτερα· υπό έλεγχο 8/6. Follow-up 9/6: σύλληψη 70χρονου Γάλλου.</t>
  </si>
  <si>
    <t>Ασπρόπυργος (Sofo)</t>
  </si>
  <si>
    <t>6 επίγειες ομάδες 1ης ΕΜΟΔΕ</t>
  </si>
  <si>
    <t>υδροφόρες και μηχανήματα Περιφέρειας Αττικής</t>
  </si>
  <si>
    <t>διερεύνηση από ΔΑΕΕ· εστία σε σημείο με λάστιχα/απορρίμματα/ογκώδη</t>
  </si>
  <si>
    <t>https://www.cnn.gr/ellada/story/536874/fotia-se-xamili-vlastisi-ston-aspropyrgo-sikothike-kai-ena-elikoptero ; https://www.in.gr/2026/06/03/greece/aspropyrgos-fotia-se-ekseliksi-sikothike-elikoptero/ ; https://www.ertnews.gr/eidiseis/ellada/ypo-elegxo-i-pyrkagia-ston-aspropyrgo-ereynontai-ta-aitia-apo-ti-daee/ ; https://www.naftemporiki.gr/society/2118971/fotia-tora-ston-aspropyrgo-megali-kinitopoiisi-tis-pyrosvestikis/</t>
  </si>
  <si>
    <t>Χαμηλή βλάστηση/συντρίμμια, κατεύθυνση προς το βουνό· χωρίς απειλή κατοικιών. 5 ελικόπτερα (ένα συντονισμού).</t>
  </si>
  <si>
    <t>Αγία Ευθυμία</t>
  </si>
  <si>
    <t>Δελφών</t>
  </si>
  <si>
    <t>1 ομάδα πεζοπόρου τμήματος 4ης ΕΜΟΔΕ</t>
  </si>
  <si>
    <t>Συνδρομή με δεξαμενές νερού τοπικής αυτοδιοίκησης</t>
  </si>
  <si>
    <t>αμέλεια· σύλληψη άνδρα</t>
  </si>
  <si>
    <t>https://www.powergame.gr/ellada/1363890/fotia-tora-sti-fokida-sikothikan-2-aeroplana/ ; https://www.naftemporiki.gr/society/2118845/fotia-tora-stin-agia-eythymia-fokidas-sikothikan-kai-aeroskafi/ ; https://www.tanea.gr/2026/06/04/greece/xeiropedes-se-andra-gia-fotia-apo-ameleia-stin-agia-eythymia-fokidas/</t>
  </si>
  <si>
    <t>Πυρκαγιά σε γεωργο-δασική ζώνη. 27 πυροσβέστες, 2 αεροσκάφη, 9 οχήματα· συνδρομή δεξαμενών ΟΤΑ.</t>
  </si>
  <si>
    <t>Άγιοι Θεόδωροι</t>
  </si>
  <si>
    <t>https://www.rosa.gr/ellada/fotia-tora-stous-agious-theodorous-kleisti-mia-lorida-sto-revma-pros-athina/ ; https://www.aftodioikisi.gr/koinonia/agioi-theodoroi-ypo-elegcho-i-fotia/ ; https://www.skai.gr/news/greece/fotia-stous-agious-theodorous-diakopi-kykloforias-se-olympia-odo-kai-proastiako ; https://www.tanea.gr/2026/06/01/greece/fotia-stous-agious-theodorous-korinthias-kykloforiakes-rythmiseis-se-proastiako-kai-ethniki-odo/</t>
  </si>
  <si>
    <t>Φωτιά σε χαμηλή βλάστηση, απόγευμα. Προληπτικό κλείσιμο λωρίδας στην Ε.Ο. προς Αθήνα. 19 πυροσβέστες, 5 οχήματα. | Πυρκαγιά σε χαμηλή βλάστηση/ξερά χόρτα πλησίον Εθνικής Οδού Αθηνών-Κορίνθου· προσωρινές κυκλοφοριακές ρυθμίσεις σε ΕΟ και Προαστιακό που αποκαταστάθηκαν μετά την κατάσβεση· δεν απειλήθηκαν οικισμοί.</t>
  </si>
  <si>
    <t>Ωρεοί</t>
  </si>
  <si>
    <t>https://www.tanea.gr/2026/06/01/greece/fotia-stous-oreous-eyvoias-sto-simeio-isxyres-dynameis-tis-pyrosvestikis/ ; https://workenter.gr/pyrkagia-stous-oreous-evvoias-epicheiroun-pyrosvestikes-dynameis-938859</t>
  </si>
  <si>
    <t>Πυρκαγιά σε ξηρή βλάστηση, απόγευμα. Δυνάμεις από Ιστιαία· χωρίς ζημιές σε κατοικίες.</t>
  </si>
  <si>
    <t>Αξιός, Ελεούσα</t>
  </si>
  <si>
    <t>https://www.cnn.gr/ellada/story/536359/thessaloniki-synagermos-gia-fotia-se-parapotamia-ektasi-tou-aksioy</t>
  </si>
  <si>
    <t>Συναγερμός για φωτιά σε παραποτάμια έκταση του Αξιού (Ελεούσα), Π.Ε. Θεσσαλονίκης.</t>
  </si>
  <si>
    <t>https://www.tanea.gr/2026/05/31/greece/fotia-ston-aspropyrgo-isxyres-dynameis-tis-pyrosvestikis-sti-maxi-me-tis-floges/</t>
  </si>
  <si>
    <t>Φωτιά σε χαμηλή βλάστηση, απόγευμα. Επιχειρούν ισχυρές δυνάμεις της Πυροσβεστικής.</t>
  </si>
  <si>
    <t>Μεσαργός, Αίγινα</t>
  </si>
  <si>
    <t>Αίγινας</t>
  </si>
  <si>
    <t>αμέλεια (καύση απορριμμάτων)· σύλληψη 62χρονης</t>
  </si>
  <si>
    <t>https://www.skai.gr/news/greece/synelifthi-62xroni-gia-pyrkagia-apo-ameleia-stin-aigina/amp ; https://www.dnews.gr/eidhseis/ellada/591385/aigina-syllipsi-62xronis-gia-pyrkagia-katastrafikan-20-stremmata</t>
  </si>
  <si>
    <t>Γεωργική γη στον Μεσαργό Αίγινας. Σύλληψη 62χρονης για πυρκαγιά από αμέλεια.</t>
  </si>
  <si>
    <t>11:50</t>
  </si>
  <si>
    <t>Μαυροβούνι, Πάρνηθα</t>
  </si>
  <si>
    <t>5 ομάδες πεζοπόρων της 1ης ΕΜΟΔΕ</t>
  </si>
  <si>
    <t>πιθανώς από καλώδια ΔΕΔΔΗΕ (δύσβατη θέση πλησίον πυλώνων ΔΕΗ, αδύνατη άμεση πρόσβαση)</t>
  </si>
  <si>
    <t>https://politic.gr/ellada/epeigousa-katastasi-pyrkagia-mainetai-sti-mavrovouni-tis-parnithas ; https://powergame.gr/ellada/1344366/fotia-tora-stin-parnitha-se-dysvato-simeio-konta-sto-kazino/ ; https://www.enikos.gr/society/parnitha-veltiomeni-i-eikona-apo-ti-fotia-synechizetai-i-machi-tis-katasvesis/2574083/ ; https://www.newsit.gr/ellada/ypo-elegxo-i-fotia-stin-parnitha-pithanon-na-ksekinise-apo-kalodia-tou-deddie/4664156/ ; https://www.reader.gr/ellada/fotia-stin-parnitha-oloklirothike-i-epiheirisi-tis-pyrosbestikis-sto-metopo/644526 ; https://www.insider.gr/eidiseis/408357/se-exelixi-pyrkagia-sti-thesi-mayroboyni-stin-parnitha</t>
  </si>
  <si>
    <t>Δασική πυρκαγιά στο Μαυροβούνι Πάρνηθας (Αττική), δύσβατο σημείο κοντά στο Καζίνο· 64–95 πυροσβέστες, 17+ οχήματα, αεροπορική υποστήριξη. Διακοπή κυκλοφορίας στη Λεωφ. Πάρνηθας. | 95 πυροσβέστες, 22 οχήματα, 5 πεζοπόρα τμήματα 1ης ΕΜΟΔΕ, 4 αεροσκάφη (2 Canadair + 2 Air Tractor)· κλειστή λεωφόρος Πάρνηθας πλησίον σταθμού τελεφερίκ· ολοκλήρωση επιχείρησης επιβεβαιώθηκε (reader.gr).</t>
  </si>
  <si>
    <t>καύση καλάμων</t>
  </si>
  <si>
    <t>https://www.newsbomb.gr/ellada/story/1730090/fotia-tora-stin-lavreotiki-epi-topou-i-pyrosvestiki ; https://www.cnn.gr/ellada/story/529544/synagermos-gia-fotia-stin-lavreotiki-amesi-kinitopoiisi-tis-pyrosvestikis</t>
  </si>
  <si>
    <t>Πυρκαγιά στη Λαυρεωτική από καύση καλάμων· Πυροσβεστική επί τόπου. | Μικρή πυρκαγιά σε ανοιχτό χώρο· αρχική κινητοποίηση 10 πυροσβεστών με 4 οχήματα· ταχεία κατάσβεση χωρίς απειλή σε κατοικίες ή υποδομές.</t>
  </si>
  <si>
    <t>Νεοχώρι, Νότιο Πήλιο</t>
  </si>
  <si>
    <t>2 ομάδες πεζοπόρων της 10ης ΕΜΟΔΕ</t>
  </si>
  <si>
    <t>https://www.dnews.gr/eidhseis/ellada/583650/fotia-tora-sto-notio-piliou-epixeiroun-2-enaeria ; https://www.in.gr/2026/04/20/greece/pilio-fotia-se-peykodasos-sto-neoxori/</t>
  </si>
  <si>
    <t>Πυρκαγιά στο Νεοχώρι Νοτίου Πηλίου (Μαγνησία)· απόγευμα.</t>
  </si>
  <si>
    <t>17:22</t>
  </si>
  <si>
    <t>Σκιάθος</t>
  </si>
  <si>
    <t>υδροφόρες ΟΤΑ/δήμου</t>
  </si>
  <si>
    <t>https://www.politic.gr/ellada/fotia-se-dasiki-periochi-tis-skiathou-enischyontai-oi-dynameis-katasvesis ; https://www.in.gr/2026/04/19/greece/fotia-se-dasiki-ektasi-sti-skiatho-megali-kinitopoiisi-tis-pyrosvestikis/</t>
  </si>
  <si>
    <t>Πυρκαγιά σε δασική περιοχή Σκιάθου· ενίσχυση δυνάμεων. Μέρος του σαββατοκύριακου με 52 συμβάντα πανελλαδικά (18–19 Απρ).</t>
  </si>
  <si>
    <t>Αιγές</t>
  </si>
  <si>
    <t>2 επίγειες ομάδες (6η ΕΜΟΔΕ)</t>
  </si>
  <si>
    <t>https://www.insider.gr/eidiseis/402058/pyrkagies-se-dasikes-ektaseis-se-korinthia-kai-ahaia</t>
  </si>
  <si>
    <t>Δασική έκταση στην περιοχή Αιγών Αχαΐας· εκδήλωση λίγο μετά τις 13:00· υπό μερικό έλεγχο το απόγευμα.</t>
  </si>
  <si>
    <t>Σούλι</t>
  </si>
  <si>
    <t>2 επίγειες ομάδες (9η ΕΜΟΔΕ)</t>
  </si>
  <si>
    <t>https://www.naftemporiki.gr/society/2083547/dasikes-pyrkagies-se-korinthia-kai-achaia/</t>
  </si>
  <si>
    <t>Δασική έκταση κοντά στον Περιφερειακό Δρόμο Κιάτου–Καστανέας· εκδήλωση λίγο μετά τις 13:00· υπό μερικό έλεγχο το απόγευμα.</t>
  </si>
  <si>
    <t>Σοφιανά</t>
  </si>
  <si>
    <t>https://www.protothema.gr/greece/article/1785114/fotia-tora-se-dasiki-ektasi-sta-sofiana-korinthias-megali-kinitopoiisi-tis-purosvestikis-deite-eikones/ ; https://www.newsit.gr/ellada/fotia-sta-sofiana-korinthias-isxyres-dynameis-sto-simeio/4619427/</t>
  </si>
  <si>
    <t>Δασική πυρκαγιά στα Σοφιανά Κορινθίας· ξέσπασε το πρωί, αναφορά περ. 12:00· μεγάλη κινητοποίηση Πυροσβεστικής.</t>
  </si>
  <si>
    <t>Ζάκυνθος (νησί)</t>
  </si>
  <si>
    <t>Πυρκαγιές σε Ζάκυνθο και δυτική Αχαΐα· μαζικές εκκενώσεις, καταστροφή κατοικιών/οχημάτων/επιχειρήσεων· ενεργοποιήθηκε ο Μηχανισμός Πολιτικής Προστασίας ΕΕ.</t>
  </si>
  <si>
    <t>Χίος (νησί)</t>
  </si>
  <si>
    <t>διερεύνηση για πιθανό εμπρησμό</t>
  </si>
  <si>
    <t>https://www.nytimes.com/topic/destination/greece</t>
  </si>
  <si>
    <t>3 ενεργές πυρκαγιές στη Χίο, πολυμέτωπες, περ. 2.500 εκτάρια (6.200 στρέμματα). Κίνηση προς κατοικημένες περιοχές και φυτείες μαστίχας· εκκενώσεις σε εξέλιξη· ζητήθηκαν αεροσκάφη πυρόσβεσης ΕΕ. | ⚠ έκταση διορθώθηκε 2500→620 ha (6.200 στρέμματα ανά πηγή· ασυνέπεια μονάδας)</t>
  </si>
  <si>
    <t>Πρίνια</t>
  </si>
  <si>
    <t>https://www.firefightingreece.gr/</t>
  </si>
  <si>
    <t>Δασική πυρκαγιά σε χαμηλή βλάστηση στην Πρίνια Εύβοιας· τέθηκε άμεσα υπό έλεγχο. Χωρίς επίσημη ονομασία.</t>
  </si>
  <si>
    <t>Ημερομηνία</t>
  </si>
  <si>
    <t>Ώρα έναρξης</t>
  </si>
  <si>
    <t>Ώρα ελέγχου</t>
  </si>
  <si>
    <t>Ώρα κατάσβεσης</t>
  </si>
  <si>
    <t>Πυρκαγιά / Περιοχή</t>
  </si>
  <si>
    <t>Περιφέρεια</t>
  </si>
  <si>
    <t>Νομός</t>
  </si>
  <si>
    <t>Δήμος</t>
  </si>
  <si>
    <t>Πυροσβέστες</t>
  </si>
  <si>
    <t>Οχήματα</t>
  </si>
  <si>
    <t>Αεροσκάφη</t>
  </si>
  <si>
    <t>Ελικόπτερα</t>
  </si>
  <si>
    <t>Επίγειες ομάδες</t>
  </si>
  <si>
    <t>Δήμοι/Περιφέρειες</t>
  </si>
  <si>
    <t>Καμμένη έκταση (ha)</t>
  </si>
  <si>
    <t>Κίνδυνος (1-5)</t>
  </si>
  <si>
    <t>Κατηγορία κινδύνου</t>
  </si>
  <si>
    <t>Κατάσταση</t>
  </si>
  <si>
    <t>Αιτία</t>
  </si>
  <si>
    <t>112 (Εκκ./Προειδ.)</t>
  </si>
  <si>
    <t>Πηγές</t>
  </si>
  <si>
    <t>Σημειώσεις</t>
  </si>
  <si>
    <t>Ενημερώθηκε</t>
  </si>
  <si>
    <t>_μήνας</t>
  </si>
  <si>
    <t>_έκταση0</t>
  </si>
  <si>
    <t>_επιλ</t>
  </si>
  <si>
    <t>Αναγία-Κλήρος</t>
  </si>
  <si>
    <t>Λευκωσία</t>
  </si>
  <si>
    <t>Αναγία / Κλήρος</t>
  </si>
  <si>
    <t>Πυροσβεστική Υπηρεσία, Τμήμα Δασών, Υπηρεσία Θήρας &amp; Πανίδας</t>
  </si>
  <si>
    <t>SupportCy, Atlas</t>
  </si>
  <si>
    <t>υπό διερεύνηση (Αστυνομία)</t>
  </si>
  <si>
    <t>https://dialogos.com.cy/megali-kinitopoiisi-gia-fotia-metaxy-anagias-kai-kliroy-ypo-elegcho-i-pyrkagia/ ; https://www.ant1live.com/kypros/koinonia/697524_stahti-enamisi-ektario-gis-ypo-elegho-i-pyrkagia-metaxy-anagia-kai-kliroy ; https://www.tothemaonline.com/Article/473328/prolaban-ta-heirotera-ypo-elegho-h-pyrkagia-metaxy-anagias-kai-klhroy---katekapse-15-ektario ; https://balla.com.cy/2026/09/ypo-elegcho-i-pyrkagia-metaxy-anagias-kai-klirou/</t>
  </si>
  <si>
    <t>Κύπρος. Άγρια βλάστηση και διάσπαρτα πευκοδάση (~1,5 ha). Αιτία υπό διερεύνηση. | ~1,5 εκτάρια άγριας βλάστησης και διάσπαρτα πευκοδάση· Πυροσβεστική + Τμήμα Δασών + Υπηρεσία Θήρας &amp; Πανίδας + εθελοντές SupportCy και Atlas | Επαρχία Λευκωσίας (Κύπρος). Οχήματα: 3 Πυρ.Υπηρεσία + 5 Τμ.Δασών + 1 Υπ.Θήρας και Πανίδας. Χωρίς εναέρια μέσα.</t>
  </si>
  <si>
    <t>Κάτω Αρόδων – Κρίτου Τέρα</t>
  </si>
  <si>
    <t>Επαρχία Πάφου, Κύπρος</t>
  </si>
  <si>
    <t>Κρίτου Τέρα / Κάτω Αρόδες</t>
  </si>
  <si>
    <t>https://dialogos.com.cy/fotia-konta-se-kato-arodes-kai-kritoy-tera-diereynontai-ta-aitia/</t>
  </si>
  <si>
    <t>~4.000 τ.μ. (4 δεκάρια) ξηρού γρασιδιού· Πυροσβεστική Υπηρεσία + Τμήμα Δασών + Κ.Μ.Π. Κύπρου· αίτια υπό διερεύνηση με Αστυνομία</t>
  </si>
  <si>
    <t>Επαρχία Πάφου</t>
  </si>
  <si>
    <t>https://dialogos.com.cy/fotia-konta-se-kato-arodes-kai-kritoy-tera-diereynontai-ta-aitia/ ; https://www.sigmalive.com/news/local/1330132/ypo-eleghkho-pirkaghia-poy-ksespase-stis-arodes ; https://cyprustimes.com/astynomiko-reportaz/prolavan-kai-katesvisan-pyrkagia-stin-pafo-prin-parei-diastaseis/ ; https://www.politis.com.cy/politis-news/cyprus/1034306/neos-sinaghermos-stin-pafo-pirkaghia-ksespase-stis-arodes-speudoyn-dinameis-pirosvesis-vinteo ; https://www.alphanews.live/cyprus/vinteo-prolavan-ta-cheirotera-stin-pafo-sto-mikroskopio-pyrosvestikis-ki-astynomias-ta-aitia-tis-fotias/</t>
  </si>
  <si>
    <t>Συμμετείχαν: 1 στελεχωμένο όχημα Πυροσβεστικής Υπηρεσίας + 2 στελεχωμένα οχήματα Τμήματος Δασών + 2 Κινητές Μονάδες Πυρόσβεσης (Κ.Μ.Π.). Πυρκαγιά σε ξηρά χόρτα. Κατασβέστηκε πριν πάρει διαστάσεις. Αρχική τιμή 0.4 ha πιθανώς λανθασμένη — πηγές αναφέρουν ~40 στρέμματα = 4 ha.</t>
  </si>
  <si>
    <t>Αντάλεια (Ακσού-Κεπέζ-Δοσεμεαλτί-Σερίκ)</t>
  </si>
  <si>
    <t>Αντάλεια, Τουρκία</t>
  </si>
  <si>
    <t>149 δεξαμενές νερού, 7 οχήματα TOMA, 25 βαρέα μηχανήματα</t>
  </si>
  <si>
    <t>https://www.turkiyetoday.com/nation/strong-winds-fan-antalya-fires-damaging-homes-and-farms-3227668 ; https://www.washingtontimes.com/news/2026/sep/8/wind-fueled-wildfire-forcing-hundreds-homes-turkey-firefighters/</t>
  </si>
  <si>
    <t>2η ημέρα στις 8/9. Ισχυροί άνεμοι. 5 σπίτια ακατοίκητα, ζημιές θερμοκηπίων/αγροτικών. Εκκένωση 3 γειτονιών + καταφύγιο ζώων Ακσού. 3 άτομα από εισπνοή καπνού. | Τουρκία — γεωγρ. Ευρώπη. Ισχυροί άνεμοι δυσχέραναν κατάσβεση. 5 σπίτια ακατοίκητα, ζημιές θερμοκήπια/γεωργία. 3 γειτονιές + καταφύγιο ζώων Ακσού εκκενώθηκαν. 3 άτομα εισπνοή καπνού. 149 δεξαμενές νερού, 7 TOMA, 25 βαρέα μηχ. Δεύτερη ημέρα 08/09 (email 1a081b75960a7438, 09:19 EEST). Καμένη έκταση ~132 ha (web).</t>
  </si>
  <si>
    <t>Deliblato Sands (Άμμοι Δελιβλάτου)</t>
  </si>
  <si>
    <t>Σερβία — Δήμος Μπέλα Τσέρκβα</t>
  </si>
  <si>
    <t>Μπέλα Τσέρκβα</t>
  </si>
  <si>
    <t>Γερμανία + Ρουμανία (επίγειες ομάδες)</t>
  </si>
  <si>
    <t>καύσωνας / παρατεταμένη ξηρασία (θερμοκρασίες ~40°C)</t>
  </si>
  <si>
    <t>https://europeanwesternbalkans.com/2026/08/25/eu-firefighters-helped-battle-the-wildfires-in-deliblato-sands-over-the-weekend/ ; https://www.aljazeera.com/news/2026/8/24/eu-russian-aircraft-help-serbia-battle-wildfires ; https://balk.hu/2026/08/23/deliblato-sands-wildfire/ ; https://www.srbija.gov.rs/vest/en/284803/three-fire-hotspots-remain-active-in-deliblato-sands.php ; https://vreme.com/en/drustvo/deliblatska-pescara-pozar-vatrogasci/</t>
  </si>
  <si>
    <t>Πρώτη ανίχνευση 21 Ιουλίου 2026· Μηχανισμός Πολιτικής Προστασίας ΕΕ ενεργοποιήθηκε 22-25/08· 4 ελικόπτερα Ρουμανία/Τσεχία/Σλοβακία + 124 επίγειο προσωπικό Γερμανία/Ρουμανία· ΦΔΠ Δελιβλάτου (Natura 2000) | Πυρκαγιά εκδηλώθηκε αρχικά 21/07/2026, επανέφλεξε πολλές φορές λόγω ισχυρών ανέμων. Ενεργοποίηση Μηχανισμού Πολιτικής Προστασίας ΕΕ (21/08/2026). Γερμανία: 55 πυροσβέστες + 24 οχήματα, Ρουμανία: 69 πυροσβέστες + 15 οχήματα = 124 σύνολο / 39 οχήματα. 4 ελικόπτερα Black Hawk (rescEU: ×1 Ρουμανία, ×2 Τσεχία, ×1 Σλοβακία). Ρωσικό IL-76 (42t χωρητικότητα νερού, aircraft=1). &gt;3.500 ha ως 25/08 (αθροιστικά από 21/07 πιθανώς 9.000+ ha κατά balk.hu).</t>
  </si>
  <si>
    <t>Σερβία (πολλαπλές εστίες)</t>
  </si>
  <si>
    <t>Σερβία</t>
  </si>
  <si>
    <t>Ακραία ξηρασία και καύσωνας</t>
  </si>
  <si>
    <t>https://www.aljazeera.com/news/2026/8/24/eu-russian-aircraft-help-serbia-battle-wildfires ; https://civil-protection-humanitarian-aid.ec.europa.eu/news-stories/news/eu-sends-urgent-support-serbia-wildfires-intensify-2026-08-24_en ; https://mapping.emergency.copernicus.eu/news/wildfire-in-serbia-emsr914/</t>
  </si>
  <si>
    <t>Μηχανισμός Πολιτικής Προστασίας ΕΕ ανέπτυξε αεροσκάφη και πυροσβέστες. Ευρωπαϊκά και ρωσικά αεροσκάφη. Ενεργό 22–25 Αυγ 2026. Στατιστικά ΕΕ (25/8/2026): 1.780 συνολικές πυρκαγιές, 462 στην Ιταλία. | ΕΕ Μηχανισμός Πολιτικής Προστασίας ανέπτυξε αεροσκάφη και πυροσβέστες 22–25 Αυγ. Ρωσικά αεροσκάφη επίσης συνέδραμαν. | Ο Μηχανισμός Πολιτικής Προστασίας ΕΕ ανέπτυξε αεροσκάφη και πυροσβέστες 22–25 Αυγ 2026. Συνδρομή και ρωσικών αεροσκαφών. Στατιστικά ΕΕ (25/8): 1.780 πυρκαγιές συνολικά, 462 στην Ιταλία. | Κύριες εστίες: Deliblatska Pescara (&gt;3.500 ha τεκμηριωμένα, Deliblato μόνο) και Stolovi (ΝΔ Σερβία). Ενεργοποίηση μηχανισμού πολιτικής προστασίας ΕΕ 21/8. ΕΕ: 4 Black Hawk ελικόπτερα (Ρουμανία/Σλοβακία/Τσεχία). Ρωσία: 1 Ilyushin Il-76 (168 τόνοι νερού σε μία ημέρα). Χερσαίες ομάδες από Γερμανία και Ρουμανία. Οι 400+ άνθρωποι αφορούν Deliblatska Pescara.</t>
  </si>
  <si>
    <t>Deliblato Sands (Δελίβλατο)</t>
  </si>
  <si>
    <t>Vojvodina, Σερβία (Δήμος Μπέλα Τσέρκβα)</t>
  </si>
  <si>
    <t>Bela Crkva</t>
  </si>
  <si>
    <t>Γερμανία, Ρουμανία (124 επίγειο προσωπικό)</t>
  </si>
  <si>
    <t>https://europeanwesternbalkans.com/2026/08/25/eu-firefighters-helped-battle-the-wildfires-in-deliblato-sands-over-the-weekend/ ; https://www.aljazeera.com/news/2026/8/24/eu-russian-aircraft-help-serbia-battle-wildfires</t>
  </si>
  <si>
    <t>Πρώτη ανίχνευση 21 Ιουλίου 2026. Ενεργοποίηση Μηχανισμού Πολιτικής Προστασίας ΕΕ με 4 ελικόπτερα (Ρουμανία, Τσεχία, Σλοβακία) + 124 πεζοί πυροσβέστες. Αναφορά ΕΕ 25 Αυγ. 2026.</t>
  </si>
  <si>
    <t>San Juan de la Peña y Monte Oroel, Αραγόν</t>
  </si>
  <si>
    <t>Ισπανία — Αραγόν</t>
  </si>
  <si>
    <t>San Juan de la Peña y Monte Oroel</t>
  </si>
  <si>
    <t>100 Γάλλοι πυροσβέστες (ενισχύσεις)</t>
  </si>
  <si>
    <t>εμπρησμός — σύλληψη υπόπτου από Guardia Civil</t>
  </si>
  <si>
    <t>https://gr.euronews.com/video/2026/08/18/spain-and-france-battle-wildfires-as-17000-hectares-burn-in-aragon ; https://www.innovationnewsnetwork.com/eu-strengthens-wildfire-response-as-fires-spread-across-europe/72836/ ; https://www.thelocal.es/20260816/spains-aragon-sends-largest-deployment-against-wildfire ; https://www.arabnews.com/node/2654876/world ; https://www.techtimes.com/articles/324676/20260817/aragon-wildfire-claims-spanish-soldiers-life-dangerous-drying-returns-monday.htm ; https://www.theolivepress.es/spain-news/2026/08/14/spain-wildfire-surrounds-san-juan-de-la-pena-monasteries-in-aragon/ ; https://www.spainenglish.com/2026/08/14/spain-evacuates-remains-of-medieval-kings-as-wildfire-threatens-historic-aragon-monastery/ ; https://www.euronews.com/video/2026/08/18/spain-and-france-battle-wildfires-as-17000-hectares-burn-in-aragon ; https://www.yahoo.com/news/world/articles/spain-france-battle-wildfires-17-081829862.html ; https://www.cp24.com/news/world/2026/08/16/spains-aragon-sends-largest-deployment-against-wildfire-threatening-1000-year-old-monastery/ ; https://www.infobae.com/espana/2026/08/18/el-incendio-de-las-penas-de-riglos-huesca-entra-en-una-fase-favorable-tras-afectar-a-17500-hectareas-y-el-gobierno-de-aragon-prepara-el-retorno-de-los-evacuados/ ; https://www.infobae.com/espana/agencias/2026/08/21/vuelven-los-ultimos-74-vecinos-evacuados-por-el-incendio-de-riglos-huesca-ya-controlado/ ; https://www.france24.com/en/live-news/20260816-spanish-soldier-dies-in-aragon-wildfire-regional-leader ; https://www.elconstitucional.es/en/communities/aragon/the-huesca-fire-devastates-some-10000-hectares-and-forces-the-evacuation-of-18-villages-while-threatening-san-juan-pena_7101_102.html ; https://tecnobosque.es/incendio-penas-de-riglos-huesca/ ; https://elpirineoaragones.com/2026/08/21/el-incendio-de-las-penas-de-riglos-a-las-puertas-de-quedar-controlado</t>
  </si>
  <si>
    <t>1 νεκρός (Ισπανός στρατιώτης). Γαλλικές δυνάμεις υποστήριξης ανεπτυγμένες. Ενεργή έως 18/8/2026. | Φωτιά ξεκίνησε ~9-12 Αυγούστου 2026· ενεργή στις 18/08. Εκκενώθηκαν &gt;1000 κάτοικοι. 1 νεκρός στρατιωτικός (EMU — Military Emergency Unit). Απειλήθηκε μοναστήρι San Juan de la Peña (~1000 ετών). 100 Γάλλοι πυροσβέστες ενισχύσεις. ~35-40 αεροσκάφη. Μεγαλύτερη ανάπτυξη πυροσβεστικών δυνάμεων στην ιστορία της Αραγόν. | 1 νεκρός (Ισπανός στρατιώτης)· γαλλικές δυνάμεις υποστήριξης ανεπτύχθησαν· ενεργή ως 18/8 | 1 νεκρός Ισπανός στρατιώτης· γαλλικές δυνάμεις υποστήριξης αναπτύχθηκαν· μηχανισμός rescEU ΕΕ ενεργοποιήθηκε | 1 νεκρός (Ισπανός στρατιώτης)· Γαλλικές δυνάμεις υποστήριξης ανεπτύχθησαν· ενεργή έως τουλάχιστον 18/8/2026 | 1 Ισπανός στρατιώτης νεκρός· γαλλικές δυνάμεις υποστήριξης αναπτύχθηκαν· πάνω από 17.000 ha | 1 νεκρός (Ισπανός στρατιώτης)· &gt;1000 εκκενώσεις· απειλή στα 1000-ετή μοναστήρια San Juan de la Peña· τα λείψανα των πρώτων βασιλέων της Αραγόν απομακρύνθηκαν· ενεργοποιήθηκε Μηχανισμός Πολιτικής Προστασίας ΕΕ (rescEU εναέρια μέσα) | 1 νεκρός (Ισπανός στρατιώτης). Ανάπτυξη γαλλικών δυνάμεων υποστήριξης. Πληροφορίες από Yutori email 18/8/2026 (τελευταία γνωστή κατάσταση: ενεργή 18/8/2026). &gt;17.000 ha καμένης έκτασης (=170.000 στρέμματα). ΕΕ: ανάπτυξη εναέριων rescEU μέσω Μηχανισμού Πολιτικής Προστασίας. Έως τέλη Ιουλίου 2026 η καμένη έκταση στην Ευρώπη ήταν 2,5× πάνω από τον εποχικό μέσο όρο. | 1 νεκρός (Ισπανός στρατιώτης)· γαλλικές δυνάμεις υποστήριξης ανεπτυγμένες· rescEU εναέρια μέσα ΕΕ μέσω Μηχανισμού Πολιτικής Προστασίας | Η πυρκαγιά εκδηλώθηκε 10/08/2026 στην περιοχή Las Peñas de Riglos (Huesca). Τέθηκε υπό έλεγχο 20/08/2026 στις 15:30. Νεκρός 1 Ισπανός στρατιώτης (φορτηγό ανετράπη σε χαράδρα, 16/08). Εκκενώθηκαν τα λείψανα βασιλέων Αραγόνα από τη μονή ως προληπτικό μέτρο — η μονή δεν υπέστη ζημιά. Εκκενώθηκαν 18 χωριά. Οι τελευταίοι 74 εκκενωθέντες επέστρεψαν 21/08/2026. | Τελικά 14.500 ha πραγματικά καμένης έκτασης εντός 18.400 ha περιμέτρου (πηγή: Tecnobosque/INFOAR). Ο πλήρης έλεγχος επιτεύχθηκε στις 2026-08-21 στις 15:30 (η αρχική καταγραφή control_time=15:30 αναφερόταν στο Aug 21, όχι στο Aug 18). Δεν βρέθηκε επίσημη ανακοίνωση πλήρους κατάσβεσης. Ίδια πυρκαγιά με Peñas de Riglos/Santa María de la Peña — απείλησε τα Μοναστήρια San Juan de la Peña. Θάνατος ενός στρατιωτικού (ανατροπή οχήματος σε χαράδρα). Εκκένωση 15 οικισμών, ~900 εκτοπισμένοι.</t>
  </si>
  <si>
    <t>Αραγόν / Huesca</t>
  </si>
  <si>
    <t>https://gr.euronews.com/video/2026/08/18/spain-and-france-battle-wildfires-as-17000-hectares-burn-in-aragon ; https://www.france24.com/en/live-news/20260816-spanish-soldier-dies-in-aragon-wildfire-regional-leader ; https://www.techtimes.com/articles/324676/20260817/aragon-wildfire-claims-spanish-soldiers-life-dangerous-drying-returns-monday.htm ; https://www.cp24.com/news/world/2026/08/16/spains-aragon-sends-largest-deployment-against-wildfire-threatening-1000-year-old-monastery/ ; https://www.arabnews.com/node/2654876/world ; https://www.elconstitucional.es/en/communities/aragon/the-huesca-fire-devastates-some-10000-hectares-and-forces-the-evacuation-of-18-villages-while-threatening-san-juan-pena_7101_102.html</t>
  </si>
  <si>
    <t>1 νεκρός (Ισπανός στρατιώτης, τροχαίο κατά κατάσβεση). 1.046 εκτοπισμένοι, 18 χωριά εκκενωμένα. Απειλή στο μοναστήρι San Juan de la Peña (10ος αι.) — τα λείψανα των πρώτων βασιλέων Αραγόν διαφυλάχθηκαν. Γαλλικές δυνάμεις ενίσχυσης. 17.500 ha κατά 16/8 21:00. Μεγαλύτερη κινητοποίηση στην ιστορία της Αραγόν.</t>
  </si>
  <si>
    <t>2026-08-19</t>
  </si>
  <si>
    <t>Aragón</t>
  </si>
  <si>
    <t>Huesca</t>
  </si>
  <si>
    <t>υπό δικαστική διερεύνηση· πιθανή αφετηρία αποθήκη υλικών οδοποιίας Α-132 (Las Peñas de Riglos)· συνελήφθη 28χρονος από Seprona/Guardia Civil</t>
  </si>
  <si>
    <t>https://gr.euronews.com/video/2026/08/18/spain-and-france-battle-wildfires-as-17000-hectares-burn-in-aragon ; https://www.france24.com/en/live-news/20260816-spanish-soldier-dies-in-aragon-wildfire-regional-leader ; https://www.thelocal.es/20260816/spains-aragon-sends-largest-deployment-against-wildfire ; https://spanienpress.com/rain-gives-firefighters-a-respite-major-wildfire-in-aragon-has-already-affected-17500-hectares/?lang=en ; https://www.eldiario.es/aragon/sociedad/obras-132-rechazo-vecinal-miedo-incendios-senaladas-posible-origen-fuego-riglos_1_13442201.html ; https://www.cp24.com/news/world/2026/08/16/spains-aragon-sends-largest-deployment-against-wildfire-threatening-1000-year-old-monastery/ ; https://www.infobae.com/espana/2026/08/17/el-incendio-de-las-penas-de-riglos-huesca-arrasa-17500-hectareas-y-encara-una-jornada-decisiva-tras-cobrarse-la-vida-de-un-miembro-de-la-ume/ ; https://www.todoalicante.es/english/days-ahead-huesca-wildfire-20260818080822-nt.html ; https://currentwildfires.com/en/fire/wildfire-near-penas-de-riglos-las-es-2026/ ; https://ground.news/article/28-year-old-man-arrested-for-the-fire-in-las-penas-de-riglos ; https://www.democrata.es/en/current-events/28-year-old-man-has-been-arrested-as-the-alleged-responsible-for-the-fire-in-penas-riglos/ ; https://www.telecinco.es/noticias/sociedad/20260821/vuelven-74-ultimos-vecinos-evacuados-incendio-riglos-huesca-controlado_18_019996473.html ; https://www.infobae.com/espana/2026/08/18/el-incendio-de-las-penas-de-riglos-huesca-entra-en-una-fase-favorable-tras-afectar-a-17500-hectareas-y-el-gobierno-de-aragon-prepara-el-retorno-de-los-evacuados/</t>
  </si>
  <si>
    <t>Πυρκαγιά εκδηλώθηκε κατά πληροφορίες 2026-08-10 (Las Peñas de Riglos)· 1 νεκρός μέλος UME (τροχαίο στο φαράγγι Atares)· εκκενώθηκαν ~1.046 κάτοικοι από 19 οικισμούς + 2 κάμπινγκ· απειλήθηκε μοναστήρι San Juan de la Peña (1.000+ ετών)· συμμετοχή γαλλικών δυνάμεων· βροχές ~20/08 έδωσαν ανάπαυλα· φάση ευνοϊκή από 18/08 χωρίς επίσημη κατάσβεση | Καμένη έκταση 17.500 ha (προσωρινή επίσημη εκτίμηση στις 17-18/8). Copernicus: ~15.000 ha εντός περιμέτρου. Περίμετρος ~100 km. Νεκρός 1 στρατιωτικός (UME) σε τροχαίο κατά την επιχείρηση. 1.046 κάτοικοι εκκενώθηκαν από 19 οικισμούς. Από 18/8 'φάση ευνοϊκής εξέλιξης' — Κυβέρνηση Αραγώνας προετοίμαζε επιστροφή εκκενωθέντων. Μονές San Juan de la Peña σώθηκαν. Συνελήφθη 28χρονος (Seprona/Guardia Civil). | Μεγαλύτερη κινητοποίηση στην ιστορία της Αραγόνας· 100 Γάλλοι ενισχύσεις· 1 νεκρός στρατιώτης· εκκένωση 18 κοινοτήτων· πυρκαγιά έληξε περ. 20 Αυγούστου 2026 έπειτα από ~10 ημέρες | Πυρκαγιά ξεκίνησε 2026-08-10 στο Las Peñas de Riglos (Α-132). Ελέγχθηκε 2026-08-21 στις 15:30. Επέστρεψαν οι τελευταίοι 74 εκκενωθέντες 21/8. 1.046 κάτοικοι από 19 οικισμούς εκκενώθηκαν συνολικά. Νεκρός 1 στρατιώτης UME (Javier García Sancho, 16/8). Εκτάση 17.500 ha (προσωρινή). Περίμετρος ~100 χλμ.</t>
  </si>
  <si>
    <t>Λυσώ, Κύπρος (Ποταμούδες / Μερσινιά)</t>
  </si>
  <si>
    <t>υπό διερεύνηση (ύποπτη κακόβουλη ενέργεια)</t>
  </si>
  <si>
    <t>https://www.facebook.com/DepartmentOfForests/videos/1294397859296624/ ; https://www.taxidromos24.com/2026/08/15/%CF%85%CF%80%CF%8C-%CF%80%CE%BB%CE%AE%CF%81%CE%B7-%CE%AD%CE%BB%CE%B5%CE%B3%CF%87%CE%BF-%CE%B4%CE%B1%CF%83%CE%B9%CE%BA%CE%AD%CF%82-%CF%80%CF%85%CF%81%CE%BA%CE%B1%CE%B3%CE%B9%CE%AD%CF%82-%CF%83%CF%84/ ; https://www.taxidromos24.com/2026/08/16/%CE%B4%CE%B1%CF%83%CE%B9%CE%BA%CE%AD%CF%82-%CF%80%CF%85%CF%81%CE%BA%CE%B1%CE%B3%CE%B9%CE%AD%CF%82-%CF%83%CF%84%CE%B7-%CE%BB%CF%85%CF%83%CE%BF%CF%8D-%CE%B1%CE%BD%CF%84%CE%B9%CE%BC%CE%B5%CF%84%CF%8E%CF%80/ ; https://dialogos.com.cy/neotera-apo-ti-lyso-ypo-elegcho-i-megali-fotia-giati-exetazetai-kakovoyli-energeia/</t>
  </si>
  <si>
    <t>Δύο εστίες ~500 μ. απόσταση: Ποταμούδες 15:50, Μερσινιά 17:45· υπό πλήρη έλεγχο και οι δύο από 17:45· ~7 ha· ΠΡΟΣΟΧΗ: Yutori Scout εσφαλμένα ταξινόμησε ως «Κοινότητα Λύσου, Αττική» — η πραγματική τοποθεσία είναι το χωριό Λυσώ (Lyso) Πάφου, Κύπρος (Τμήμα Δασών Κύπρου ως πηγή) | Δυνάμεις ανά φορέα: 57 Τμήμα Δασών (11 οχήματα), 12 Πυροσβεστική (5 οχήματα), 10 Πολιτική Άμυνα (1 όχημα), 2 Τμήμα Θήρας &amp; Πανίδας (1 όχημα). Επιπλέον εξοπλισμός: 6 μπουλντόζες, 2 γεωρ. τρακτέρ, 1 βυτιοφόρο, 1 εκσκαφέας. 9 αεροσκάφη υπό επιχείρηση «Ίκαρος 2». Συντονισμός: Δρ. Σάββας Ιεζεκιήλ. | Επιπλέον βαρύς εξοπλισμός: 6 προωθητές γαιών, 2 γεωργικοί ελκυστήρες, 1 βυτιοφόρο, 1 εκσκαφέας</t>
  </si>
  <si>
    <t>Πυρκαγιές Κοινότητας Λύσου</t>
  </si>
  <si>
    <t>Κύπρος</t>
  </si>
  <si>
    <t>Τμήμα Δασών (57), Πυροσβεστική Υπηρεσία (12), Πολιτική Άμυνα (10), Υπηρεσία Θήρας &amp; Πανίδας (2)</t>
  </si>
  <si>
    <t>https://www.facebook.com/DepartmentOfForests/videos/1294397859296624/ ; https://www.politis.com.cy/politis-news/cyprus/1026344/fotia-sti-liso-tis-pafoy-sti-makhi-tessera-pirosvestika-aeroskafi ; https://typos.com.cy/koinonia/ypo-elegcho-oi-foties-sti-lyso-vlepoun-kakovoyli-energeia/ ; https://dialogos.com.cy/neotera-apo-ti-lyso-ypo-elegcho-i-megali-fotia-giati-exetazetai-kakovoyli-energeia/</t>
  </si>
  <si>
    <t>Yutori Scout κατέταξε ως 'Αττική' αλλά τοποθεσία (Λύσος, Ποταμούδες, Μερσίνια) και πηγή (Τμήμα Δασών Κύπρου) υποδηλώνουν Κύπρο. Δύο ξεχωριστές εστίες σε απόσταση ~500μ. Υπό πλήρη έλεγχο 17:45 EEST ίδιας ημέρας. | Δύο εστίες: «Ποταμούδες» (15:50, εντός χρόνου ελέγχου 17:45) και «Μερσινιά» (~17:45, 500μ από πρώτη, ταχεία κατάσβεση). Επίσης 6 προωθητές γαιών, 2 γεωργικοί ελκυστήρες, 1 βυτιοφόρο, 1 εκσκαφέας. Βλάστηση: γεωργική-δασική. | Επιπλέον βαρύς εξοπλισμός: 6 προωθητές γαιών, 2 γεωργικοί ελκυστήρες, 1 βυτιοφόρο, 1 εκσκαφέας</t>
  </si>
  <si>
    <t>High Fens (Hautes Fagnes)</t>
  </si>
  <si>
    <t>Βέλγιο — Επαρχία Λιέγης (σύνορα με Γερμανία)</t>
  </si>
  <si>
    <t>https://www.france24.com/en/europe/20260816-eu-sends-aircraft-and-villagers-evacuate-as-belgium-battles-record-wildfire ; https://www.euronews.com/my-europe/2026/08/16/europe-continues-to-battle-wildfires-as-belgium-sees-biggest-blaze-in-recorded-history ; https://www.theguardian.com/world/2026/aug/16/greek-island-salamis-belgium-high-fens-helicopters-wildfire ; https://www.rte.ie/news/europe/2026/0820/1588667-belgium-wildfires/ ; https://www.rte.ie/news/europe/2026/0817/1588143-belgium-wildfire/ ; https://news.cgtn.com/news/2026-08-18/Belgium-wildfire-contained-in-accessible-areas-1PHAs4OiuyY/share_amp.html ; https://news.cgtn.com/news/2026-08-18/Belgium-wildfire-contained-in-accessible-areas-1PHAs4OiuyY/p.html</t>
  </si>
  <si>
    <t>Μεγαλύτερη πυρκαγιά στην ιστορία του Βελγίου (καταγεγραμμένη). Εκκενώσεις χωριών. Αεροπορική υποστήριξη μέσω Μηχανισμού Πολιτικής Προστασίας ΕΕ (rescEU). | Μεγαλύτερη πυρκαγιά στην καταγεγραμμένη ιστορία του Βελγίου. &gt;3.000 ha κατά 16/8. Εκκένωση κατοίκων. Αεροπορική υποστήριξη μέσω Μηχανισμού Πολιτικής Προστασίας ΕΕ (rescEU). | Μεγαλύτερη καταγεγραμμένη πυρκαγιά στην ιστορία Βελγίου (&gt;3.000 ha)· εθνικό πάρκο κοντά σε σύνορα Γερμανίας· αεροπορική υποστήριξη μέσω Μηχανισμού Πολιτικής Προστασίας ΕΕ· ενεργή 15-16/8 | τυρφώνες (peatland)· αεροσκάφη από Γερμανία, Νορβηγία, Βέλγιο, Σουηδία· αναμένονται εβδομάδες/μήνες ποτίσματος για αποφυγή επανάναμματος | Αιχμή δυνάμεων (18/08/2026): ~500 προσωπικό, &gt;120 οχήματα, 9 εναέρια πολλαπλών εθνών μέσω EU ERCC. Στις 20/08/2026 η πυρκαγιά κηρύχθηκε «πλήρως υπό έλεγχο» από τοπικό κυβερνήτη· ~350 προσωπικό παρέμειναν για αποτροπή αναζωπυρώσεων. Ολοκλήρωση πλήρους κατάσβεσης αναμένεται σε εβδομάδες/μήνες.</t>
  </si>
  <si>
    <t>Βόρεια Ρηνανία-Βεστφαλία (NRW)</t>
  </si>
  <si>
    <t>Βόρεια Ρηνανία-Βεστφαλία, Γερμανία</t>
  </si>
  <si>
    <t>Hürtgenwald (Gey)</t>
  </si>
  <si>
    <t>αγνώστου αιτίας (υπό αστυνομική διερεύνηση)</t>
  </si>
  <si>
    <t>https://www.dw.com/en/wildfire-forces-evacuations-as-germanys-heat-wave-persists/video-78378992 ; https://english.news.cn/20260815/8c8452b3cf0d4a029d740fa014ccc307/c.html ; https://mapping.emergency.copernicus.eu/news/forest-fire-in-huertgen-forest-germany-emsr920/ ; https://www.wikidata.org/wiki/Q141067662 ; https://de.wikipedia.org/wiki/Waldbrand_im_H%C3%BCrtgenwald_2026 ; https://www.kreis-dueren.de/presse/krise-feuer-in-huertgenwald_2026-08-14.php ; https://www.newsworm.de/news/hurtgenwald-forest-fire-gey-evacuation-lifted-no-homes-lost ; https://uk.news.yahoo.com/germany-news-wildfire-forces-evacuations-073500890.html</t>
  </si>
  <si>
    <t>Εκκενώσεις ~2.000 κατοίκων τη νύχτα 14-15/08. Ακραία ζέστη + κίνδυνος από ανεξερεύνητες βόμβες WWII σε δασικές ζώνες. Ενεργή κατά τη δημοσίευση (15/08). | Πραγματική τοποθεσία: Hürtgenwald (Gey), Kreis Düren. Έναρξη 13/8/2026. Εκκενώθηκαν ~1.800 κάτοικοι. 5 τραυματίες. Επιπλοκές λόγω ανεκπυρσοκρότητων πυρομαχικών Β΄ ΠΠ. Μεγαλύτερη δασική πυρκαγιά στην ιστορία της ΒΡΒ. Copernicus EMSR920 ενεργοποιήθηκε. | μεγαλύτερη πυρκαγιά NRW από το 1991· εκκένωση ~1.800 κατοίκων Gey (νύχτα 13-14/8)· ανεκπλήκτα πολεμικά πυρομαχικά WWII παρεμπόδισαν κατάσβεση· ελικόπτερα Bundeswehr: 2× NH-90 + 2× CH-53 + πρόσθετα πυροσβεστικά· 5 τραυματίες | Εκκένωση Gey αποχωρίστηκε βράδυ 15/8 – κάτοικοι επέστρεψαν. Επίσημη κατάσβεση 21/8/2026 (Wikipedia DE). Τομείς εντός της καμένης ζώνης παρέμειναν απρόσιτοι λόγω ανεκτόδοτων WWII (Μάχη Hürtgenwald).</t>
  </si>
  <si>
    <t>Aragon</t>
  </si>
  <si>
    <t>Ισπανία / Αραγονία</t>
  </si>
  <si>
    <t>https://www.aljazeera.com/news/2026/8/14/wildfires-force-thousands-to-flee-as-blazes-spread-across-europe ; https://www.france24.com/en/live-news/20260816-spanish-soldier-dies-in-aragon-wildfire-regional-leader ; https://spanienpress.com/major-wildfire-in-aragon-fire-near-huesca-engulfs-4000-hectares-eight-villages-evacuated/?lang=en ; https://www.techtimes.com/articles/324676/20260817/aragon-wildfire-claims-spanish-soldiers-life-dangerous-drying-returns-monday.htm ; https://www.yahoo.com/news/world/articles/aragon-wildfire-destroys-12-000-142042060.html ; https://www.thelocal.es/20260816/spains-aragon-sends-largest-deployment-against-wildfire ; https://en.wikipedia.org/wiki/2026_Spain_wildfires ; https://www.democrata.es/en/current-events/map-of-fires-in-spain-today-august-21-hurdes-improves-and-new-fire-in-the-sierra-calderona-concentrates-attention/</t>
  </si>
  <si>
    <t>Πυρκαγιά απείλησε μονή. Βασιλικά λείψανα τριών βασιλέων 11ου αι. μετακινήθηκαν προληπτικά. | Απειλήθηκε μονή με βασιλικά λείψανα 3 βασιλέων 11ου αιώνα· μετακινήθηκαν για ασφάλεια. | απειλή σε μονή· βασιλικά λείψανα 3 βασιλέων 11ου αι. μετακινήθηκαν για ασφάλεια | Απειλή σε μοναστήρι. Βασιλικά λείψανα 3 βασιλέων 11ου αι. μετακινήθηκαν για ασφάλεια. Ενεργή 14/8. | Μονή απειλήθηκε. Βασιλικά λείψανα τριών βασιλέων 11ου αι. μετακινήθηκαν για ασφάλεια. | Πυρκαγιά απείλησε μονή. Βασιλικά λείψανα τριών βασιλέων 11ου αιώνα μετακινήθηκαν για ασφάλεια. | Πυρκαγιά Peñas de Riglos, Χουέσκα. 16.600 ha έως 15/8 βράδυ, 17.500 ha έως 16/8. Στρατιωτικός της UME σκοτώθηκε 16/8 – πρώτος νεκρός στρατιωτικός στην ισπανική εκστρατεία 2026. Άνω των 1.000 εκκενωθέντων. Η φωτιά ήταν ακόμη σε εξέλιξη στις 17/8. | UME στρατιώτης νεκρός 16/8 κοντά στα Las Peñas de Riglos (Huesca) — πρώτος στρατιωτικός νεκρός πυρκαγιών Ισπανίας 2026· 1.046 εκκενωμένοι κάτοικοι· 17.500 ha επιβεβαιωμένα ως 16/8· πυρκαγιά ενεργή 17/8 | Σε εξέλιξη έως τουλάχιστον 17/8/2026. Νεκρός Ισπανός στρατιωτικός ΥΜΕ (UME) κοντά στο Las Peñas de Riglos, Huesca (Κυριακή ~16-17/8) — πρώτος στρατιωτικός νεκρός πυρκαγιών Ισπανίας 2026. ~1046 εκτοπισμένοι. Μετά από γαλλικές ενισχύσεις συγκεντρώθηκαν ~1000 πυροσβέστες (εκ των οποίων 100 Γάλλοι). Μερική οριοθέτηση στα ΒΑ τμήματα στις 16/8. ΕΕ: 6 αεροσκάφη (Ελλάδα/Ιταλία/Τουρκία) + 134 πυρ./41 οχ. Πορτογαλίας ως ενίσχυση. Πυρκαγιά διαρκούσε ~1 εβδομάδα κατά 16/8. Μεγαλύτερη ανάπτυξη δυνάμεων στην ιστορία της Αραγωνίας. | Νεκρός ένας Ισπανός στρατιώτης ΜΕΑ (16/08, φορτηγό έπεσε σε φαράγγι κοντά στο Las Peñas de Riglos – 3 τραυματίες). Μεγαλύτερη κινητοποίηση πυρόσβεσης στην ιστορία Αραγωνίας· ~100 Γάλλοι ενισχύσεις. Στις 21/08 σταθεροποιημένη εικόνα, εν εξελίξει εργασίες επαγρύπνησης, ισχύουν περιορισμοί πρόσβασης. | Ισπανός στρατιώτης (UME) σκοτώθηκε κατά τη διάρκεια κατάσβεσης (~16 Αυγ. 2026). Επιστροφή ξηρών/ανεμωδών συνθηκών ~17 Αυγ. δυσχέραινε επιχειρήσεις. Αναβλήθηκε το Baja Aragón motorsport λόγω πυρκαγιών.</t>
  </si>
  <si>
    <t>Zaragoza</t>
  </si>
  <si>
    <t>ύποπτος εμπρησμός (σύλληψη υπόπτου· διερεύνηση Seprona στην περιοχή Santa María de la Peña)</t>
  </si>
  <si>
    <t>https://www.aljazeera.com/news/2026/8/14/wildfires-force-thousands-to-flee-as-blazes-spread-across-europe ; https://www.yahoo.com/news/world/articles/aragon-wildfire-destroys-12-000-142042060.html ; https://en.wikipedia.org/wiki/2026_Spain_wildfires ; https://www.thelocal.es/20260816/spains-aragon-sends-largest-deployment-against-wildfire ; https://www.cp24.com/news/world/2026/08/16/spains-aragon-sends-largest-deployment-against-wildfire-threatening-1000-year-old-monastery/ ; https://www.france24.com/en/live-news/20260816-spanish-soldier-dies-in-aragon-wildfire-regional-leader ; https://www.techtimes.com/articles/324676/20260817/aragon-wildfire-claims-spanish-soldiers-life-dangerous-drying-returns-monday.htm ; https://www.euronews.com/video/2026/08/18/spain-and-france-battle-wildfires-as-17000-hectares-burn-in-aragon ; https://currentwildfires.com/en/fire/wildfire-near-penas-de-riglos-las-es-2026/ ; https://russpain.com/news/man-arrested-over-las-penas-de-riglos-wildfire-after-mass-evacuation-81076/ ; https://spanienpress.com/rain-gives-firefighters-a-respite-major-wildfire-in-aragon-has-already-affected-17500-hectares/?lang=en ; https://www.elespanol.com/aragon/actualidad/20260821/extincion-incendio-riglos-avanza-controlarlo-proximas-horas-siempre-tener-precaucion/1003744359145_0.amp.html ; https://elpirineoaragones.com/2026/08/21/el-incendio-de-las-penas-de-riglos-queda-controlado-tras-once-dias-de-lucha-contra-el-fuego ; https://www.theolivepress.es/spain-news/2026/08/14/spain-wildfire-surrounds-san-juan-de-la-pena-monasteries-in-aragon/</t>
  </si>
  <si>
    <t>Εκκένωση &gt;1.100 ατόμων από Orés, Asín, Luesia, Malpica de Arba, Uncastillo (Ζαραγόθα) και Petilla de Aragón (Ναβάρρα). Καταστράφηκαν 10 σπίτια στο Asín. Συμμετείχε UME (Στρατιωτική Έκτακτη Μονάδα). Ισχυροί άνεμοι, υψηλές θερμοκρασίες, χαμηλή υγρασία. | Έναρξη ~11 Αυγούστου. Έως 16/8 είχαν καεί 16.600 εκτάρια (ανανέωση από 12.000). Μεγαλύτερη κινητοποίηση στην ιστορία της Αραγονίας (1.000+ πυρ/στες πλέον στρατιωτικές μονάδες). 35–40 αεροσκάφη. 100 Γάλλοι πυρ/στες ενισχύουν. Εκκενώθηκαν &gt;1.000 κάτοικοι. Απειλήθηκαν τα μοναστήρια San Juan de la Peña (10ος αι.). Αιτία μη διευκρινισμένη. | 1.046 εκτοπισθέντες. Θανάτωση Ισπανού στρατιωτικού (φορτηγό ανετράπη στο φαράγγι Ατάρες, 17/8/2026). Υψηλός κίνδυνος επέκτασης λόγω ξηρασίας και ανέμων. | Στις 16/8 έχασε τη ζωή του ένας Ισπανός στρατιώτης. Η Αραγονία ανέπτυξε τον μεγαλύτερο ιστορικά εναέριο-επίγειο μηχανισμό, με συνδρομή Γαλλίας. Στις 18/8 η πυρκαγιά παρέμενε ενεργή σε ~17.500 εκτ. χωρίς πλήρη οριοθέτηση. 1.046 άτομα παρέμεναν εκτοπισμένα. | Εννεαήμερη πυρκαγιά (έναρξη 10/08/2026, Las Peñas de Riglos, Huesca). Νεκρός στρατιώτης UME Javier García Sancho στις 16/08. 1.046 εκκενωθέντες. Ανεπτύχθη ο μεγαλύτερος ιστορικά πυροσβεστικός στόλος της Αραγονίας. Τελική έκταση ~18.646 ha. | Ισπανός στρατιωτικός πυροσβέστης (UME) απεβίωσε στις 16/08/2026 κατά τη διάρκεια επιχειρήσεων. Ενδιάμεση έκταση ~17.500 ha (16-18/08)· τελική κατασβεσθείσα έκταση 18.646 ha. | Ελεγχος 21/8/2026 μετά από ~11 ημέρες (πηγές: El Español, El Pirineo Aragonés). Ισπανός στρατιώτης UME νεκρός 17/8 σε ατύχημα οχήματος κατά τη διάρκεια επιχειρήσεων. Μοναστήρια San Juan de la Peña απειλήθηκαν. Πυρκαγιά αναφέρεται ως «Riglos» στις ισπανικές πηγές – αρχική εστία Huesca, εξάπλωση σε Zaragoza/Santa María de la Peña.</t>
  </si>
  <si>
    <t>https://www.aljazeera.com/news/2026/8/14/wildfires-force-thousands-to-flee-as-blazes-spread-across-europe ; https://www.yahoo.com/news/world/articles/aragon-wildfire-destroys-12-000-142042060.html ; https://www.cp24.com/news/world/2026/08/16/spains-aragon-sends-largest-deployment-against-wildfire-threatening-1000-year-old-monastery/ ; https://www.france24.com/en/live-news/20260816-spanish-soldier-dies-in-aragon-wildfire-regional-leader ; https://spanienpress.com/rain-gives-firefighters-a-respite-major-wildfire-in-aragon-has-already-affected-17500-hectares/?lang=en</t>
  </si>
  <si>
    <t>Ένας Ισπανός στρατιωτικός (UME) έχασε τη ζωή του κατά τη διάρκεια των επιχειρήσεων (16/8). Η εστία εντοπίζεται κοντά στο Las Peñas de Riglos, επαρχία Huesca (όχι Zaragoza όπως καταγράφηκε αρχικά). Η πυρκαγιά απείλησε το ιστορικό μοναστήρι San Juan de la Peña (~1.000 ετών). Γαλλικές ενισχύσεις ενώθηκαν με τις ισπανικές δυνάμεις (18/8). Στις 18/8 η καμένη έκταση ήταν ~17.500 ha ενώ η πυρκαγιά εξακολουθούσε να καίει — η τελική έκταση 18.646 ha καταγράφηκε μεταγενέστερα.</t>
  </si>
  <si>
    <t>Gey</t>
  </si>
  <si>
    <t>Γερμανία / Βορειορρηνία-Βεστφαλία (σύνορα Βελγίου)</t>
  </si>
  <si>
    <t>αγροτικό μηχάνημα (πυρκαγιά σε αγρ. μηχάνημα κοντά στη Bundesstraße 399, πλησίον Gey)</t>
  </si>
  <si>
    <t>https://www.aljazeera.com/news/2026/8/14/wildfires-force-thousands-to-flee-as-blazes-spread-across-europe ; https://www.ertnews.gr/eidiseis/diethni/germania-gallia-ekkenonontai-xoria-os-ta-synora-me-to-velgio-logo-ton-pyrkagion/ ; https://www.arabnews.com/node/2654789/world ; https://english.news.cn/20260815/8c8452b3cf0d4a029d740fa014ccc307/c.html ; https://www.newsworm.de/news/forest-fire-grows-to-300-hectares-in-north-rhine-westphalia ; https://de.wikipedia.org/wiki/Waldbrand_im_H%C3%BCrtgenwald_2026 ; https://www.thelocal.de/20260814/wildfire-forces-evacuation-of-1800-people-in-north-rhine-westphalia ; https://mapping.emergency.copernicus.eu/news/forest-fire-in-huertgen-forest-germany-emsr920/ ; https://www.usnews.com/news/world/articles/2026-08-15/german-wildfire-near-belgian-border-under-control-local-authorities-say ; https://www.newsworm.de/news/hurtgenwald-forest-fire-gey-evacuation-lifted-no-homes-lost</t>
  </si>
  <si>
    <t>~1.800 άτομα διατάχθηκαν να εκκενωθούν. Φλόγες σε 300 μ. από κατοικίες. Εντολή εκκένωσης σε ισχύ 14/08. | ~1.800 κάτοικοι σε εντολή εκκένωσης. Φλόγες σε 300μ από κατοικίες. Κοντά σε σύνορα Βελγίου. | ~1.800 άτομα εντολή εκκένωσης· φλόγες σε 300μ. από κατοικίες· κοντά στα σύνορα με Βέλγιο | Εκκένωση &gt;2.000 κατοίκων. Ελικόπτερα, άρματα Bundeswehr, υδροφόρες αστυνομίας. Φωτιά σταθεροποιήθηκε 15/8 αλλά εκκένωση παραμένει λόγω κινδύνου από βόρειους ανέμους. | Μεγαλύτερη δασική πυρκαγιά στο NRW από το 1991. Εκκενώθηκαν ~1.800 κάτοικοι Gey. 5 τραυματίες. Ελικόπτερα Bundeswehr: 2× NH-90, 2× CH-53 + αστυνομικά ελικόπτερα. Κάτοικοι επέστρεψαν 15/8 βράδυ (πυρ. συνεχίστηκαν για υπόγειες εστίες). Αρχική εστία είχε περιοριστεί νωρίτερα την ίδια ημέρα. | Ανάφλεξη 13 Αυγ. 2026. Υπό έλεγχο εσπέρας 15 Αυγ. Εκκένωση ~1.800 κατοίκων της Gey. Κανένα σπίτι δεν κάηκε, κανένας τραυματίας. Μεγαλύτερη δασική πυρκαγιά Βόρειας Ρηνανίας-Βεστφαλίας από το 1991. Copernicus EMS EMSR920. | Πρώτη εστία εκδηλώθηκε 13/8/2026 (Wikipedia). Έλεγχος επιτεύχθηκε πρωί βραδιού 15/8 — τότε επέστρεψαν κάτοικοι. Αιτία δεύτερης εστίας (B399/Gey) αδιευκρίνιστη κατά Wikipedia (αντίκρουση με αρχικές πληροφορίες περί αγρ. μηχανήματος). Εκρήξεις αδρανούς πολεμικής ύλης (Μάχη Hürtgenwald ΒΔΠ) νύκτα 14/8 δυσχέραναν κατάσβεση. Εκκένωση ~1.800 κατοίκων Gey. 5 τραυματίες. Μεγαλύτερη δασική πυρκαγιά στη ΒΡΒ από καταγραφή δεδομένων (1991). | 5 τραυματίες, κανείς νεκρός. Κάτοικοι Gey επέστρεψαν βράδυ 15/8. Επίσημη μεταβίβαση αρμοδιότητας στον δήμο: 18 Αυγ. Δυνάμεις: Bundeswehr (ελικόπτερα + θωρακισμένα ανάκτησης), THW, αστυνομία ομοσπονδίας/Landa. Ανεκπυρσοκρότητα ΒΒΠΣ από Μάχη Χίρτγκεν 1944 επέτεινε τις επιχειρήσεις. Υπόγειες εστίες (Glutnester) εκτείνονταν ευρύτερα υπεδαφίως. Αιτία αμφισβητείται: αρχικά ανακοινώθηκε αγροτικό μηχάνημα (B399), Wikipedia αναφέρει ως αδιευκρίνιστη. | Κάτοικοι επέστρεψαν βράδυ 15/8. Ανάκληση εκκένωσης Gey: 16/8. Από 18/8 αρμοδιότητα Δήμου Hürtgenwald. Ολοκλήρωση κατάσβεσης ανακοινώθηκε 21/8/2026. Δεν καταστράφηκαν κατοικίες. Εκρηκτικά WWII δυσκόλεψαν επιχειρήσεις. | Επίσημη κατάσβεση 21/8/2026 (Wikipedia DE). ΠΡΟΣΟΧΗ: η Wikipedia αναφέρει αιτία ως 'αγνώστου αιτίας' για τη δεύτερη εστία κοντά Bundesstraße 399/Gey – η υπάρχουσα καταχώρηση 'αγροτικό μηχάνημα' χρήζει επαλήθευσης από πρωτογενείς γερμανικές πηγές.</t>
  </si>
  <si>
    <t>Gey / Βόρεια Ρηνανία-Βεστφαλία</t>
  </si>
  <si>
    <t>Γερμανία / Βόρεια Ρηνανία-Βεστφαλία</t>
  </si>
  <si>
    <t>https://www.aljazeera.com/news/2026/8/14/wildfires-force-thousands-to-flee-as-blazes-spread-across-europe ; https://www.dw.com/en/wildfire-forces-evacuations-as-germanys-heat-wave-persists/video-78378992 ; https://www.usnews.com/news/world/articles/2026-08-15/german-wildfire-near-belgian-border-under-control-local-authorities-say ; https://www.timeslive.co.za/news/world/2026-08-14-germany-evacuates-about-1800-as-wildfire-reaches-border-village/ ; https://www.thelocal.de/20260814/wildfire-forces-evacuation-of-1800-people-in-north-rhine-westphalia ; https://uk.news.yahoo.com/germany-news-wildfire-forces-evacuations-073500890.html ; https://www.yahoo.com/news/weather-news/articles/western-german-state-brings-record-180426714.html ; https://de.wikipedia.org/wiki/Waldbrand_im_H%C3%BCrtgenwald_2026 ; https://www.newsworm.de/news/hurtgenwald-forest-fire-gey-evacuation-lifted-no-homes-lost ; https://mapping.emergency.copernicus.eu/news/forest-fire-in-huertgen-forest-germany-emsr920/ ; https://www.euronews.com/my-europe/2026/08/22/german-chancellor-merz-visits-hurtgen-forest-fire-site-amid-boos-and-whistles ; https://tecnobosque.es/en/hurtgen-forest-wildfire-germany-technical-analysis/</t>
  </si>
  <si>
    <t>~1.800 εκκενώθηκαν (14/8). Φλόγες 300 μ. από κατοικίες. Κίνδυνος ανεξερεύνητων βομβών ΒΠII. Επεκτάθηκε νύχτα 14-15/8 με ~2.000 εκκενώσεις. | ~2.000 κάτοικοι εκκενώθηκαν τη νύχτα 14-15/8· καύσωνας + κίνδυνος από αναξερεύνητες βόμβες Β΄ΠΠ σε δασικές ζώνες | Μεγαλύτερη δασική πυρκαγιά στην ιστορία της ΒΡΒ (δάσος Hürtgenwald, περιοχή Eifel). ~2.000 κάτοικοι εκκενώθηκαν τα ξημερώματα 14/8, επέστρεψαν 16/8. Ανεκπυροκρότητα WWII πυρομαχικά δυσχέραναν κατάσβεση. Κανένα σπίτι δεν κάηκε. | Εκκενώθηκαν ~2.000 κάτοικοι κατά τη νύχτα 14-15/8· κίνδυνος από ανεξερεύνητες βόμβες WWII σε δασικές ζώνες· ακραίος καύσωνας | 2 άρματα μάχης Bundeswehr για άνοιγμα δρόμων πρόσβασης· εκρήξεις WWII πυρομαχικών εντός καμένης ζώνης· τοπικοί αγρότες με τρακτέρ και βυτία νερού | Ορατές φλόγες κατασβέστηκαν 17/08/2026. Παρακολούθηση εναπομεινασών θερμών εστιών με ελικόπτερο θερμικής απεικόνισης. Κανένα σπίτι δεν κάηκε, μηδέν τραυματίες. Περίπου 1.800 εκκενωθέντες επέστρεψαν. Ρεκόρ δασικής πυρκαγιάς για NRW. | Μεγαλύτερη δασική πυρκαγιά ΒΡ-Βεστφαλίας από το 1991. Εκκένωση ~1.800 κατοίκων· επιστροφή απόγευμα 15/08. Από 18/08 αρμοδιότητα επιχειρήσεων στον δήμο Hürtgenwald. 5 τραυματίες. | Σταθεροποιήθηκε ~15/8/2026· κάτοικοι Gey παρέμειναν εκτός σπιτιών τους. Πιθανώς η μεγαλύτερη πυρκαγιά στην ιστορία NRW (~300 ha). | Κάτοικοι επέστρεψαν βράδυ 15/8. Ανάκληση εκκένωσης Gey: 16/8. Από 18/8 αρμοδιότητα Δήμου Hürtgenwald. Ολοκλήρωση κατάσβεσης ανακοινώθηκε 21/8/2026. Δεν καταστράφηκαν κατοικίες. Εκρηκτικά WWII δυσκόλεψαν επιχειρήσεις. | Μεγαλύτερη δασική πυρκαγιά στην ιστορία NRW. Πλήρης κατάσβεση ~20/8/2026· Καγκελάριος Merz επισκέφθηκε χώρο 22/8. Εκκεν. ~1.800 κάτοικοι (επέστρεψαν)· δεν καταστράφηκαν κατοικίες. Αιχμή επιχείρησης: ~10 ελικόπτερα, ~1.400 πυροσβέστες, 4 θωρακισμένα οχήματα για αντιπυρικές ζώνες. Τελική έκταση 300-400 ha.</t>
  </si>
  <si>
    <t>Gey – NRW Wald</t>
  </si>
  <si>
    <t>Γερμανία / Βόρεια Ρηνανία-Βεστφαλία (σύνορα Βελγίου)</t>
  </si>
  <si>
    <t>Hürtgenwald</t>
  </si>
  <si>
    <t>https://www.aljazeera.com/news/2026/8/14/wildfires-force-thousands-to-flee-as-blazes-spread-across-europe ; https://www.dw.com/en/wildfire-forces-evacuations-as-germanys-heat-wave-persists/video-78378992 ; https://ground.news/article/forest-fire-1-800-people-are-evacuated-from-north-rhine-westphalia ; https://www.newsworm.de/news/forest-fire-grows-to-300-hectares-in-north-rhine-westphalia ; https://www.insurancejournal.com/news/international/2026/08/14/881555.htm ; https://de.wikipedia.org/wiki/Waldbrand_im_H%C3%BCrtgenwald_2026 ; https://de.euronews.com/my-europe/2026/08/15/schwerster-waldbrand-nrw-geschichte-gey-evakuierung ; https://www.usnews.com/news/world/articles/2026-08-15/german-wildfire-near-belgian-border-under-control-local-authorities-say ; https://mapping.emergency.copernicus.eu/news/forest-fire-in-huertgen-forest-germany-emsr920/ ; https://www.newsworm.de/news/hurtgenwald-forest-fire-gey-evacuation-lifted-no-homes-lost ; https://www.euronews.com/my-europe/2026/08/22/german-chancellor-merz-visits-hurtgen-forest-fire-site-amid-boos-and-whistles</t>
  </si>
  <si>
    <t>~1.800 εκκενώσεις 14/8 (φλόγες σε 300μ από κατοικίες). Κλιμακώθηκε νύχτα 14–15/8: ~2.000 εκκενωθέντες. Κίνδυνος από ανεξερεύνητες βόμβες Β΄ΠΠ στη δασική ζώνη. Ακραία ζέστη. Ίδια πυρκαγιά με ενημέρωση 15/8 email (NRW). | Πιθανώς ίδια πυρκαγιά με Gey. Δάσος Hürtgenwald κοντά στα βελγικά σύνορα. Εκκένωση &gt;2.000 ατόμων. Σταθεροποιήθηκε 15/8. | Μεγαλύτερη δασική πυρκαγιά στο NRW από το 1991. Εκκενώθηκαν ~1.800 κάτοικοι. 5 τραυματίες. Ελικόπτερα Bundeswehr: 2× NH-90, 2× CH-53 + αστυνομικά ελικόπτερα. Κάτοικοι Gey επέστρεψαν 15/8 βράδυ (πυρ. συνεχίστηκαν για υπόγειες εστίες). | Ανάφλεξη 13 Αυγ. 2026. Υπό έλεγχο εσπέρας 15 Αυγ. Εκκένωση ~1.800 κατοίκων της Gey. Κανένα σπίτι δεν κάηκε, κανένας τραυματίας. Μεγαλύτερη δασική πυρκαγιά Βόρειας Ρηνανίας-Βεστφαλίας από το 1991. Copernicus EMS EMSR920. | Πρώτη εστία εκδηλώθηκε 13/8/2026 (Wikipedia). Έλεγχος επιτεύχθηκε πρωί βραδιού 15/8 — τότε επέστρεψαν κάτοικοι. Αιτία δεύτερης εστίας (B399/Gey) αδιευκρίνιστη κατά Wikipedia (αντίκρουση με αρχικές πληροφορίες περί αγρ. μηχανήματος). Εκρήξεις αδρανούς πολεμικής ύλης (Μάχη Hürtgenwald ΒΔΠ) νύκτα 14/8 δυσχέραναν κατάσβεση. Εκκένωση ~1.800 κατοίκων Gey. 5 τραυματίες. Μεγαλύτερη δασική πυρκαγιά στη ΒΡΒ από καταγραφή δεδομένων (1991). | 5 τραυματίες, κανείς νεκρός. Κάτοικοι Gey επέστρεψαν βράδυ 15/8. Επίσημη μεταβίβαση αρμοδιότητας στον δήμο: 18 Αυγ. Δυνάμεις: Bundeswehr (ελικόπτερα + θωρακισμένα ανάκτησης), THW, αστυνομία ομοσπονδίας/Länder. Ανεκπυρσοκρότητα ΒΒΠΣ (Μάχη Χίρτγκεν) επέτεινε τις επιχειρήσεις. Υπόγειες εστίες (Glutnester) εκτείνονταν ευρύτερα υπεδαφίως. Μεγαλύτερη πυρκαγιά στη ΒΡ-Β. από το 1991. | Σταθεροποιήθηκε ~15/8/2026· αιτία (πυρκαγιά σε αγροτικό μηχάνημα κοντά στη B399 πλησίον Gey) επιβεβαιώθηκε από αρχές. | Κάτοικοι επέστρεψαν βράδυ 15/8. Ανάκληση εκκένωσης Gey: 16/8. Από 18/8 αρμοδιότητα Δήμου Hürtgenwald. Ολοκλήρωση κατάσβεσης ανακοινώθηκε 21/8/2026. Δεν καταστράφηκαν κατοικίες. Εκρηκτικά WWII δυσκόλεψαν επιχειρήσεις. | Μεγαλύτερη δασική πυρκαγιά ιστορίας NRW. Πλήρης κατάσβεση ~20/8· επίσκεψη Merz 22/8. ~1.800 εκκενωθέντες, δεν καταστράφηκαν κατοικίες. 4 θωρακισμένα οχήματα για αντιπυρικές ζώνες. Τελική έκταση 300-400 ha.</t>
  </si>
  <si>
    <t>High Fens (Hautes Fagnes / Hohes Venn)</t>
  </si>
  <si>
    <t>Βέλγιο / Επαρχία Λιέγης (Ανατολικό Βέλγιο)</t>
  </si>
  <si>
    <t>Sourbrodt</t>
  </si>
  <si>
    <t>υπό διερεύνηση (η εστία έκδοσης μη προσπελάσιμη από διασώστες)</t>
  </si>
  <si>
    <t>https://www.usnews.com/news/world/articles/2026-08-15/eu-sends-aircraft-as-belgium-fights-record-wildfire ; https://www.france24.com/en/europe/20260816-eu-sends-aircraft-and-villagers-evacuate-as-belgium-battles-record-wildfire ; https://www.euronews.com/my-europe/2026/08/16/europe-continues-to-battle-wildfires-as-belgium-sees-biggest-blaze-in-recorded-history ; https://belgiumpulse.com/article/wildfire-burns-through-the-high-fens-as-crews-defend-belgiums-largest-reserve ; https://phys.org/news/2026-08-belgium-huge-wildfire-germany.html ; https://news.cgtn.com/news/2026-08-18/Belgium-wildfire-contained-in-accessible-areas-1PHAs4OiuyY/p.html ; https://www.euronews.com/my-europe/2026/08/18/firefighters-pushing-to-definitively-encircle-east-belgium-wildfire-authorities-say ; https://www.rte.ie/news/world/2026/0819/1588548-belgian-wildfire-evacuations/ ; https://www.rte.ie/news/europe/2026/0817/1588143-belgium-wildfire/ ; https://www.rte.ie/news/europe/2026/0820/1588667-belgium-wildfires/ ; https://www.euronews.com/my-europe/2026/08/20/fire-of-the-century-in-eastern-belgium-brought-under-control-local-official-says ; https://phys.org/news/2026-08-belgium-century.html ; https://www.iqair.com/newsroom/wildfire-map-spotlight-high-fens-fire-belgium ; https://www.aljazeera.com/news/2026/8/16/belgiums-largest-wildfire-on-record-spreads-towards-german-border ; https://eu-space.europa.eu/components/earth-observation-copernicus/image-of-the-day/wildfire-high-fens-nature-reserve-belgium</t>
  </si>
  <si>
    <t>Νέο εθνικό ρεκόρ Βελγίου (υπερβαίνει ρεκόρ 2011). Εκκένωση παιδικής κατασκήνωσης. Sourbrodt: σύσταση ετοιμότητας. Αεροπυρόσβεση ΕΕ: 3 ελικόπτερα + 2 αεροσκάφη (Τσεχία, Σουηδία, Ολλανδία) — αριθμοί αφορούν ΕΕ-συνδρομή, όχι σύνολο βελγικών δυνάμεων. | Νέο εθνικό ρεκόρ Βελγίου (&gt;2011). Εκκένωση παιδικής κατασκήνωσης· ετοιμότητα Sourbrodt. Συνδρομή ΕΕ: 2 α/φ + 3 ελικόπτερα (Τσεχία, Σουηδία, Ολλανδία). | Ρεκόρ Βελγίου (υπερβαίνει 2011). Εκκένωση παιδικής κατασκήνωσης. Sourbrodt σε ετοιμότητα. Συνδρομή ΕΕ: 2 α/φ + 3 ελικ. από Τσεχία, Σουηδία, Ολλανδία. | Νέο εθνικό ρεκόρ Βελγίου (υπερβαίνει 2011: 1.600 ha)· 15/8: 1.600 ha· 16/8: &gt;3.000 ha· εκκένωση παιδικής κατασκήνωσης· Sourbrodt: ειδοποίηση ετοιμότητας· ΕΕ: 3 ελικόπτερα + 2 αεροσκάφη (Τσεχία, Σουηδία, Ολλανδία) | Ρεκόρ καμένης έκτασης στο Βέλγιο (πρ. ρεκόρ 2011)· 1.600 ha στις 15/8 → &gt;3.000 ha στις 16/8· εκκένωση παιδικής κατασκήνωσης + σύσταση ετοιμότητας Sourbrodt· ΕΕ Μηχανισμός ΠΠ: 3 ελικόπτερα + 2 αεροσκάφη (Τσεχία, Σουηδία, Ολλανδία) | 2 μέτωπα (προς Jalhay &amp; Monschau) τέθηκαν υπό έλεγχο. Εκατοντάδες πυροσβέστες από πολλές χώρες + EU αεροπυρόσβεση + αγρότες με γεωργικά μηχανήματα. Δεν έχει ανακοινωθεί συνολικό ποσοστό ελέγχου. Φωτιά απειλεί γερμανικά σύνορα. | 18/8: Υπό έλεγχο στις προσβάσιμες ζώνες, παραμένει ενεργή στο ανατολικό/δυσπρόσιτο μέτωπο (σύνορα Γερμανίας). 9 εναέρια μέσα από Βέλγιο, Ολλανδία, Γερμανία, Νορβηγία, Σουηδία. ~600 κάτοικοι εκκενωμένοι. Αρχές: 'αρκετές εβδομάδες' για οριστική κατάσβεση. Μεγαλύτερη πυρκαγιά Βελγίου από το 1911. Αιτία υπό έρευνα Εισαγγελίας Λιέγης. | Εκκενώσεις άρθηκαν 19/08/2026 τόσο στο Βέλγιο (Waimes, Bütgenbach) όσο και στη Γερμανία (Monschau). Εκπρόσωπος κρίσης Tony Hosmans: «η πυρκαγιά περικυκλώθηκε και δεν μπορεί να εξαπλωθεί». Τελική έκταση ~3.000 ha — μεγαλύτερη πυρκαγιά στη σύγχρονη ιστορία Βελγίου. Υπόγεια καύση σε τυρφώδη εδάφη (peat) συνεχίζεται υπό παρακολούθηση. | 20/08/2026: αρχές ανακοίνωσαν πλήρη έλεγχο — «the fire is now under control in its entirety and should no longer spread». Θα απαιτηθούν εβδομάδες/μήνες κατάβρεξης. Μεγαλύτερη πυρκαγιά στο Βέλγιο εδώ και έναν αιώνα. | Ανακοινώθηκε υπό πλήρη έλεγχο από τοπικό κυβερνήτη 20/8/2026 (~15:58 τοπ. ώρα) μετά από 7 ημέρες επιχειρήσεων. ~350 πυροσβέστες και αγρότες παρέμειναν αναπτυγμένοι. Απαιτούνται εβδομάδες/μήνες διαβροχής για αποφυγή επανάναμμα. Η εκκένωση άρθηκε 19/8/2026. Αιτία παραμένει αγνώστη. Μεγαλύτερη πυρκαγιά στο Βέλγιο εδώ και έναν αιώνα. | Παρέμενε σε κατάσταση οριοθέτησης έως 18/08/2026 · επιχειρήσεις συνεχίστηκαν στο ανατολικό τμήμα μετά την ημερομηνία αυτή · ειδικός χρόνος ελέγχου δεν αναφέρθηκε | Μεγαλύτερη πυρκαγιά στην ιστορία Βελγίου. 17/8: πύρωμα σταμάτησε πριν τα γερμανικά σύνορα (Monschau). 18/8: οριοθετήθηκε σε προσβάσιμες ζώνες· συνεχίστηκε σε απρόσιτη περιοχή. ~600 κάτοικοι εκτοπισμένοι. Εναέρια υποστήριξη EU από Βέλγιο, Ολλανδία, Γερμανία, Νορβηγία, Σουηδία.</t>
  </si>
  <si>
    <t>Ομίς</t>
  </si>
  <si>
    <t>Κροατία / Σπλίτ-Δαλματία</t>
  </si>
  <si>
    <t>υπό διερεύνηση (εστία ανάφλεξης εντοπίστηκε πλησίον δρόμου)</t>
  </si>
  <si>
    <t>https://www.aljazeera.com/news/2026/8/14/wildfires-force-thousands-to-flee-as-blazes-spread-across-europe ; https://en.wikipedia.org/wiki/2026_Croatia_wildfires ; https://www.euronews.com/my-europe/2026/08/14/at-least-people-in-10-in-intensive-care-and-thousands-flee-intense-wildfire-in-croatia ; https://www.jpost.com/environment-and-climate-change/article-905528 ; https://tecnobosque.es/en/omis-wildfire-croatia-technical-analysis/ ; https://www.croatiaweek.com/omis-wildfire-nearly-1000-evacuated-fire-croatia/ ; https://currentwildfires.com/en/fire/wildfire-near-omis-dalmatia-hr-2026/</t>
  </si>
  <si>
    <t>1 νεκρός, 40 νοσηλευόμενοι (7 σοβαρά), ~2.000 εκκενώσεις. «Μία από τις χειρότερες στην ιστορία της Κροατίας». Ηρέμησε Παρασκευή πρωί 14/8. | φωτιά ξεκίνησε 13/8 στις 20:15· 253 πυροσβέστες από 6 νομούς (300+ συνολικά)· 4× Canadair CL-415 + 4× Air Tractor (fixed-wing)· ~1.000 εκκενωθέντες· δεκάδες τραυματίες (10+ σε ΜΕΘ) | 1 νεκρός, 43 τραυματίες (εκ των οποίων 3 πυροσβέστες). ~2.500 εκκενωθέντες. Εστία: Λόκβα Ρογκόζνιτσα – επεκτάθηκε στο κέντρο Ομίς. 4 Canadair CL-415 + 4 Air Tractors. Προκαταρκτική ζημία €110 εκ. (120 κτήρια πλήρως/μερικώς κατεστραμμένα).</t>
  </si>
  <si>
    <t>Πυρκαγιά Gey / NRW (Γερμανία)</t>
  </si>
  <si>
    <t>https://www.dw.com/en/wildfire-forces-evacuations-as-germanys-heat-wave-persists/video-78378992 ; https://www.aljazeera.com/news/2026/8/14/wildfires-force-thousands-to-flee-as-blazes-spread-across-europe ; https://www.usnews.com/news/world/articles/2026-08-15/german-wildfire-near-belgian-border-under-control-local-authorities-say ; https://www.thelocal.de/20260814/wildfire-forces-evacuation-of-1800-people-in-north-rhine-westphalia ; https://www.yahoo.com/news/weather-news/articles/western-german-state-brings-record-180426714.html ; https://uk.news.yahoo.com/germany-news-wildfire-forces-evacuations-073500890.html ; https://mapping.emergency.copernicus.eu/news/forest-fire-in-huertgen-forest-germany-emsr920/ ; https://english.news.cn/20260815/8c8452b3cf0d4a029d740fa014ccc307/c.html ; https://www.newsworm.de/news/forest-fire-grows-to-300-hectares-in-north-rhine-westphalia ; https://www.euronews.com/my-europe/2026/08/22/german-chancellor-merz-visits-hurtgen-forest-fire-site-amid-boos-and-whistles</t>
  </si>
  <si>
    <t>~1.800-2.000 εκκενώσεις νύχτα 14→15/8. Κίνδυνος ανεξερεύνητων βομβών Β΄ΠΠ σε δασικές ζώνες. Εστία αρχικά κοντά στο Gey (σύνορα Βελγίου), επεκτάθηκε εντός NRW. | Ίδιο με παραπάνω περιστατικό (Hürtgenwald). Μεγαλύτερη δασική πυρκαγιά στην ιστορία ΒΡΒ. Ανεκπυροκρότητα WWII πυρομαχικά. Κανένα σπίτι δεν κάηκε. | 2 άρματα μάχης Bundeswehr για άνοιγμα δρόμων πρόσβασης· εκρήξεις WWII πυρομαχικών εντός καμένης ζώνης· τοπικοί αγρότες με τρακτέρ και βυτία νερού· πιθανό διπλότυπο με εγγραφή name_area=Gey/Βόρεια Ρηνανία-Βεστφαλία | Μεγαλύτερη πυρκαγιά στην ιστορία ΒΡΒ. Ορατές φλόγες έσβησαν Κυριακή 16/8/2026· 2 θερμά σημεία υπό παρακολούθηση με ελικόπτερο θερμικής απεικόνισης. Εκκενώθηκαν ~2.000 κάτοικοι Gey – τα 2/3 επέστρεψαν ως 16/8. Καμία κατοικία δεν κάηκε, 0 θύματα. | Εκκένωση ~1.800 κατοίκων Gey αναιρέθηκε μετά κατάσβεση. Δεν κάηκε κανένα σπίτι, δεν αναφέρθηκαν τραυματίες. Copernicus EMS EMSR920 ενεργοποιήθηκε. | Σταθεροποίηση αναφέρθηκε 15/08/2026 (Peter Berndgen, εκπρόσωπος Πυροσβεστικής Düren): «η φωτιά δεν εξαπλώθηκε περαιτέρω» · ανεξερεύνητα πυρομαχικά WWII στο δάσος καθυστέρησαν επίγειες επιχειρήσεις | Μεγαλύτερη δασική πυρκαγιά ιστορίας NRW. Πλήρης κατάσβεση ~20/8· επίσκεψη Merz 22/8. Δεν καταστράφηκαν κατοικίες· δεν υπήρξαν τραυματισμοί.</t>
  </si>
  <si>
    <t>Πυρκαγιά High Fens (Hautes Fagnes, Βέλγιο)</t>
  </si>
  <si>
    <t>Βέλγιο / Επαρχία Λιέγης</t>
  </si>
  <si>
    <t>https://www.usnews.com/news/world/articles/2026-08-15/eu-sends-aircraft-as-belgium-fights-record-wildfire ; https://www.france24.com/en/europe/20260816-eu-sends-aircraft-and-villagers-evacuate-as-belgium-battles-record-wildfire ; https://www.theguardian.com/world/2026/aug/16/greek-island-salamis-belgium-high-fens-helicopters-wildfire ; https://news.cgtn.com/news/2026-08-18/Belgium-wildfire-contained-in-accessible-areas-1PHAs4OiuyY/p.html ; https://www.euronews.com/my-europe/2026/08/18/firefighters-pushing-to-definitively-encircle-east-belgium-wildfire-authorities-say ; https://news.cgtn.com/news/2026-08-18/Belgium-wildfire-contained-in-accessible-areas-1PHAs4OiuyY/share_amp.html ; https://www.iqair.com/newsroom/wildfire-map-spotlight-high-fens-fire-belgium ; https://www.rte.ie/news/europe/2026/0820/1588667-belgium-wildfires/ ; https://www.rte.ie/news/europe/2026/0817/1588143-belgium-wildfire/ ; https://www.aljazeera.com/news/2026/8/16/belgiums-largest-wildfire-on-record-spreads-towards-german-border</t>
  </si>
  <si>
    <t>Ρεκόρ Βελγίου (υπερέβη το 2011). 1.600 ha (15/8) → &gt;3.000 ha (16/8). Εκκένωση παιδικής κατασκήνωσης· Sourbrodt σε ετοιμότητα. Αεροσκάφη/ελικόπτερα ΕΕ: 2 αεροσκ. + 3 ελικ. (Τσεχία, Σουηδία, Ολλανδία) μέσω Μηχανισμού Πολιτικής Προστασίας. | ΔΙΠΛΟΤΥΠΟ του High Fens (Hautes Fagnes / Hohes Venn, municipality=Sourbrodt). Ίδια πυρκαγιά — συγχώνευση συνιστάται. 2 μέτωπα (Jalhay &amp; Monschau) υπό έλεγχο. Εκατοντάδες πυροσβέστες + EU αεροπυρόσβεση. | Ρεκόρ βελγικής ιστορίας (προηγ. ρεκόρ 2011)· 15/8: &gt;1.600 ha· 16/8: &gt;3.000 ha· εκκενώθηκε παιδική κατασκήνωση· Sourbrodt σε ετοιμότητα εκκένωσης· συνδρομή EU Civil Protection Mechanism: 3 ελικόπτερα + 2 α/φη (Τσεχία, Σουηδία, Ολλανδία) | 18/8: Υπό έλεγχο στις προσβάσιμες ζώνες, παραμένει ενεργή στο ανατολικό/δυσπρόσιτο μέτωπο (σύνορα Γερμανίας). 9 εναέρια μέσα από Βέλγιο, Ολλανδία, Γερμανία, Νορβηγία, Σουηδία. ~600 κάτοικοι εκκενωμένοι. Αρχές: 'αρκετές εβδομάδες' για οριστική κατάσβεση. Αιτία υπό έρευνα Εισαγγελίας Λιέγης. | Ως 18/8/2026: περιορισμένη σε προσβάσιμες ζώνες· συνεχίζεται αργά σε απρόσιτα βαλτώδη-τυρφώδη. ~600 κάτοικοι παραμένουν εκτοπισμένοι. Βασιλιάς Φίλιππος επισκέφθηκε. EU αεροσκάφη από Ολλανδία, Γερμανία, Νορβηγία, Σουηδία. Η φωτιά σταμάτησε πριν φτάσει στα γερμανικά σύνορα (Μόνσχαου). | Περιεχόμενη στις προσβάσιμες περιοχές από πρωί 18/8· εξακολουθεί να εξαπλώνεται αργά σε απρόσιτα τυρφώδη εδάφη. ~600 κάτοικοι παρέμεναν εκτοπισμένοι στις 18/8. Δεν έχει κατασβεστεί πλήρως ως 18/8. | Πλήρης έλεγχος επιβεβαιώθηκε 20 Αυγούστου 2026. Αναμένονται εβδομάδες/μήνες εργασιών κατάβρεξης για αποτροπή αναζωπύρωσης. Όλες οι εντολές εκκένωσης αρθήκαν. Μεγαλύτερη πυρκαγιά Βελγίου τελευταίου αιώνα. | 17 Αυγ.: φωτιά σταμάτησε πριν φτάσει γερμανικά σύνορα αλλά 'δεν υπό έλεγχο' (RTE). 18 Αυγ.: Walloon αρχές δήλωσαν 'υπό έλεγχο σε προσπελάσιμες περιοχές' — απρόσπελαστα τμήματα τύρφης παρέμεναν ενεργά. ~600 κάτοικοι εξακολουθούσαν εκτοπισμένοι. Εισαγγελία Λιέγης άνοιξε επίσημη ανάκριση για αιτία πυρκαγιάς.</t>
  </si>
  <si>
    <t>Πυρκαγιά High Fens (εθνικό ρεκόρ Βελγίου)</t>
  </si>
  <si>
    <t>Sourbrodt / Φυσικό Πάρκο High Fens</t>
  </si>
  <si>
    <t>https://www.france24.com/en/europe/20260816-eu-sends-aircraft-and-villagers-evacuate-as-belgium-battles-record-wildfire ; https://www.usnews.com/news/world/articles/2026-08-15/eu-sends-aircraft-as-belgium-fights-record-wildfire ; https://www.iqair.com/newsroom/wildfire-map-spotlight-high-fens-fire-belgium ; https://www.voiceofemirates.com/en/news/2026/08/17/rain-helps-contain-belgiums-largest-recorded-wildfire-halting-spread-toward-germany/ ; https://news.cgtn.com/news/2026-08-18/Belgium-wildfire-contained-in-accessible-areas-1PHAs4OiuyY/p.html ; https://www.euronews.com/my-europe/2026/08/18/firefighters-pushing-to-definitively-encircle-east-belgium-wildfire-authorities-say ; https://news.cgtn.com/news/2026-08-18/Belgium-wildfire-contained-in-accessible-areas-1PHAs4OiuyY/share_amp.html ; https://www.rte.ie/news/europe/2026/0820/1588667-belgium-wildfires/ ; https://www.rte.ie/news/europe/2026/0817/1588143-belgium-wildfire/ ; https://www.aljazeera.com/news/2026/8/16/belgiums-largest-wildfire-on-record-spreads-towards-german-border</t>
  </si>
  <si>
    <t>15/8: 1.600 ha (νέο εθνικό ρεκόρ — ξεπέρασε ρεκόρ 2011). 16/8: &gt;3.000 ha. Αεροπορική συνδρομή ΕΕ: 3 ελικόπτερα + 2 αεροσκάφη από Τσεχία, Σουηδία, Ολλανδία (αριθμοί αφορούν μόνο EU support). Εκκένωση παιδικής κατασκήνωσης. Κάτοικοι Sourbrodt σε ετοιμότητα πιθανής εκκένωσης. | Εθνικό ρεκόρ Βελγίου. Στις 17/8 βροχόπτωση 5-9mm + πτώση θερμοκρασίας (~20°C) ανέκοψαν εξάπλωση προς Γερμανία. Δύο μέτωπα (Jalhay, Monschau) τέθηκαν υπό έλεγχο. Κάτοικοι παραμένουν εκκενωμένοι. | Αι 18/8 προσβάσιμες περιοχές υπό έλεγχο· φωτιά συνεχίζεται σε απροσπέλαστες εκτάσεις. 9 αεροσκάφη από Βέλγιο, Ολλανδία, Γερμανία, Νορβηγία, Σουηδία. ~600 κάτοικοι εκτοπισμένοι (18/8). Εισαγγελία Λιέγης άνοιξε έρευνα αιτίας. | Ως 18/8/2026: περιορισμένη σε προσβάσιμες ζώνες· συνεχίζεται αργά σε απρόσιτα βαλτώδη-τυρφώδη. ~600 κάτοικοι παραμένουν εκτοπισμένοι. Βασιλιάς Φίλιππος επισκέφθηκε. EU αεροσκάφη από Ολλανδία, Γερμανία, Νορβηγία, Σουηδία. | Περιεχόμενη στις προσβάσιμες περιοχές από πρωί 18/8· εξακολουθεί να εξαπλώνεται αργά σε απρόσιτα τυρφώδη εδάφη. ~600 κάτοικοι παρέμεναν εκτοπισμένοι στις 18/8. Δεν έχει κατασβεστεί πλήρως ως 18/8. | Πλήρης έλεγχος επιβεβαιώθηκε 20 Αυγούστου 2026. Αναμένονται εβδομάδες/μήνες εργασιών κατάβρεξης για αποτροπή αναζωπύρωσης. Όλες οι εντολές εκκένωσης αρθήκαν. | 17 Αυγ.: φωτιά σταμάτησε πριν φτάσει γερμανικά σύνορα αλλά 'δεν υπό έλεγχο' (RTE). 18 Αυγ.: Walloon αρχές δήλωσαν 'υπό έλεγχο σε προσπελάσιμες περιοχές' — απρόσπελαστα τμήματα τύρφης παρέμεναν ενεργά. ~600 κάτοικοι εξακολουθούσαν εκτοπισμένοι. Εισαγγελία Λιέγης άνοιξε επίσημη ανάκριση για αιτία πυρκαγιάς.</t>
  </si>
  <si>
    <t>Πυρκαγιά Luglon</t>
  </si>
  <si>
    <t>Γαλλία / Landes</t>
  </si>
  <si>
    <t>Luglon</t>
  </si>
  <si>
    <t>αγνώστη αιτία</t>
  </si>
  <si>
    <t>https://www.aljazeera.com/news/2026/8/14/wildfires-force-thousands-to-flee-as-blazes-spread-across-europe ; https://www.franceinfo.fr/environnement/evenements-meteorologiques-extremes/incendies-et-feux-de-foret/plus-de-500-personnes-evacuees-1-100-hectares-parcourus-500-pompiers-mobilises-ce-que-l-on-sait-de-l-incendie-qui-s-est-declare-dans-les-landes_8147084.html ; https://www.lematin.ch/story/france-le-feu-dans-les-landes-est-fixe-retour-d-une-partie-des-evacues-103618529 ; https://www.landes.gouv.fr/Actualites/Salle-de-presse/Communiques-de-presse/2026/Incendie-en-cours-a-Luglon ; https://feuxdeforet.fr/en/landes-40/morcenx-la-nouvelle-13-08-2026-9878/ ; https://www.landes.gouv.fr/Actualites/Salle-de-presse/Communiques-de-presse/2026/Incendie-en-cours-a-Luglon2 ; https://fr.wikipedia.org/wiki/Incendies_de_2026_dans_la_for%C3%AAt_des_Landes ; https://france3-regions.franceinfo.fr/nouvelle-aquitaine/landes/mont-de-marsan/le-feu-qui-a-parcouru-1-700-hectares-pres-de-luglon-dans-les-landes-est-desormais-maitrise-3404800.html</t>
  </si>
  <si>
    <t>525 εκκενώσεις. Κατάσταση «δυσμενής». 1.100 εκτάρια από Πέμπτη 13/8. Πυρ 2 χλμ. από χωριό. | Τελικά ≥1300 ha καμένα (franceinfo), έως 1700 ha σύμφωνα με lematin.ch. 550 κάτοικοι εκκενώθηκαν (Luglon + Garein). Αιτία άγνωστη. Κηρύχθηκε 'fixé' – κάτοικοι επέστρεψαν. | Νεότερα στοιχεία νομαρχίας (17/08/2026): τελική έκταση 1.700 ha (vs 1.300 ha αρχικά). Πυρκαγιά «fixée» (οριοθετημένη) 17/08 χωρίς θύματα ή ζημιές σε κτίρια· επέστρεψαν 250 κάτοικοι. | Δηλώθηκε 'fixé' (σταθεροποιημένη) τη Δευτέρα 17/8/2026 το πρωί. Ξεκίνησε Πέμπτη 13/8/2026. Τελική έκταση: 1.700 ha. Δυνάμεις: 550 πυροσβέστες, 3 ελικόπτερα + 2 αεροσκάφη εναέριας κατάσβεσης. | Επισήμως οριοθετήθηκε 21/08/2026 (Παρασκευή) — 8η ημέρα επιχειρήσεων · κάτοικοι Luglon &amp; Garein επέστρεψαν 19/08 · επιτήρηση μάζας συνεχίστηκε λόγω υψηλού κινδύνου αναζωπύρωσης | Κηρύχθηκε υπό έλεγχο 21/8 (Νομαρχία Landes) μετά από 8 ημέρες επιχειρήσεων. Εκκενώσεις Luglon + Garein· κάτοικοι επέστρεψαν 19/8. 1.700 ha επιβεβαιωμένα.</t>
  </si>
  <si>
    <t>Φυσική Διατηρητέα Περιοχή High Fens (Hautes Fagnes)</t>
  </si>
  <si>
    <t>Επαρχία Λιέγης, Βέλγιο</t>
  </si>
  <si>
    <t>Sourbrodt (πλησίον)</t>
  </si>
  <si>
    <t>https://www.usnews.com/news/world/articles/2026-08-15/eu-sends-aircraft-as-belgium-fights-record-wildfire ; https://www.france24.com/en/europe/20260816-eu-sends-aircraft-and-villagers-evacuate-as-belgium-battles-record-wildfire ; https://www.theguardian.com/world/2026/aug/16/greek-island-salamis-belgium-high-fens-helicopters-wildfire ; https://news.cgtn.com/news/2026-08-18/Belgium-wildfire-contained-in-accessible-areas-1PHAs4OiuyY/p.html ; https://www.euronews.com/my-europe/2026/08/18/firefighters-pushing-to-definitively-encircle-east-belgium-wildfire-authorities-say ; https://news.cgtn.com/news/2026-08-18/Belgium-wildfire-contained-in-accessible-areas-1PHAs4OiuyY/share_amp.html ; https://www.rte.ie/news/europe/2026/0820/1588667-belgium-wildfires/</t>
  </si>
  <si>
    <t>Ρεκόρ καμένης έκτασης Βελγίου: &gt;1.600 ha έως 15/08, &gt;3.000 ha έως 16/08 (υπερβαίνει εθνικό ρεκόρ 2011). Εκκένωση παιδικής κατασκήνωσης· κάτοικοι Sourbrodt σε ετοιμότητα. Αεροπορική συνδρομή ERCC/ΕΕ: 3 ελικόπτερα + 2 αεροσκάφη από Τσεχία, Σουηδία, Ολλανδία. Ενεργή 14-16/08. | Ίδια πυρκαγιά με καταγραφή 'Πυρκαγιά High Fens'. Προσβάσιμες περιοχές υπό έλεγχο ως 18/8· φωτιά ενεργή σε απροσπέλαστες εκτάσεις. Εισαγγελία Λιέγης ερευνά αιτία. | Ως 18/8/2026: περιορισμένη σε προσβάσιμες ζώνες· συνεχίζεται αργά σε απρόσιτα βαλτώδη-τυρφώδη. ~600 κάτοικοι παραμένουν εκτοπισμένοι. Βασιλιάς Φίλιππος επισκέφθηκε. EU αεροσκάφη από Ολλανδία, Γερμανία, Νορβηγία, Σουηδία. | Περιεχόμενη στις προσβάσιμες περιοχές από πρωί 18/8· εξακολουθεί να εξαπλώνεται αργά σε απρόσιτα τυρφώδη εδάφη. ~600 κάτοικοι παρέμεναν εκτοπισμένοι στις 18/8. Δεν έχει κατασβεστεί πλήρως ως 18/8. | Πλήρης έλεγχος επιβεβαιώθηκε 20 Αυγούστου 2026. Αναμένονται εβδομάδες/μήνες εργασιών κατάβρεξης για αποτροπή αναζωπύρωσης. Όλες οι εντολές εκκένωσης αρθήκαν.</t>
  </si>
  <si>
    <t>Lokva Rogoznica</t>
  </si>
  <si>
    <t>Κροατία / Παράκτια Δαλματία</t>
  </si>
  <si>
    <t>Split-Dalmatia</t>
  </si>
  <si>
    <t>Omiš</t>
  </si>
  <si>
    <t>https://www.euronews.com/video/2026/08/14/wildfire-forces-evacuation-of-1000-as-flames-sweep-croatias-coast ; https://croatiaunscripted.com/wildfire-in-lokva-rogoznica/ ; https://currentwildfires.com/en/fire/wildfire-near-omis-dalmatia-hr-2026/ ; https://english.news.cn/20260815/ee1058918d794198ad168103325d505a/c.html ; https://www.croatiaweek.com/massive-wildfire-omis-lokva-rogoznica-croatia/ ; https://www.bloomberg.com/news/articles/2026-08-14/wildfires-flare-near-popular-southern-croatian-tourist-towns ; https://en.wikipedia.org/wiki/2026_Croatia_wildfires ; https://watchers.news/2026/08/14/wildfire-near-omis-burns-homes-and-vehicles-injures-40-and-forces-1-200-people-to-evacuate-croatia/</t>
  </si>
  <si>
    <t>Εκκένωση ~1.000 ατόμων (περιλ. ~300 Τσέχοι τουρίστες). Εξαπλώθηκε προς Mimice και Omiš. OroraTech: 200 ενεργά σημεία κατά 14/8. 1 νεκρός, 40 τραυματίες. | Τελικές δυνάμεις αιχμής: 253 πυροσβέστες από 6 νομαρχίες, 83 οχήματα, 4 Canadair CL-415 + 4 Air Tractor AT-802. 1 νεκρός, 43 τραυματίες, ~2500 εκτοπισθέντες, 58 κατοικίες κατεστραμμένες. | 1 νεκρός, 43 τραυματίες (εκ των οποίων 3 πυροσβέστες), ~2.500 εκκενωθέντες. Στις 12:00 της 14/08 δεν υπήρχε ενεργή φλόγα (HVZ). Αιτία αδιευκρίνιστη. | 1 νεκρός, 43 τραυματίες (+ 3 πυροσβέστες). Συνολικά 2.500+ εκκενώθηκαν. 58 κτίρια κατοικιών κατεστράφησαν μαζί με οχήματα και σκάφη. Αιτία πυρκαγιάς δεν έχει επίσημα ανακοινωθεί. | 1 νεκρός, 43 τραυματίες (εκ των οποίων 3 πυροσβέστες). Περίπου 2.500 άτομα εκκενώθηκαν (όχι 1.000 όπως αναφέρθηκε αρχικά). Αιτία αδιευκρίνιστη ειδικά για αυτή την πυρκαγιά· οι 4 συλλήψεις για ύποπτο εμπρησμό αφορούσαν πυρκαγιές στην περιοχή Ζαντάρ.</t>
  </si>
  <si>
    <t>Lokva Rogoznica, παράκτια Κροατία</t>
  </si>
  <si>
    <t>Σπλίτ-Δαλματία, Κροατία</t>
  </si>
  <si>
    <t>https://www.euronews.com/video/2026/08/14/wildfire-forces-evacuation-of-1000-as-flames-sweep-croatias-coast ; https://croatiaunscripted.com/wildfire-in-lokva-rogoznica/ ; https://currentwildfires.com/en/fire/wildfire-near-omis-dalmatia-hr-2026/ ; https://www.croatiaweek.com/massive-wildfire-omis-lokva-rogoznica-croatia/ ; https://watchers.news/2026/08/14/wildfire-near-omis-burns-homes-and-vehicles-injures-40-and-forces-1-200-people-to-evacuate-croatia/</t>
  </si>
  <si>
    <t>~1.000 κάτοικοι και τουρίστες εκκενώθηκαν· ζημιές σε κατοικίες και οχήματα· εγκαύματα αναφέρθηκαν· εναέρια σε ετοιμότητα την επόμενη ημέρα | ~1.000 εκκενώσεις (κάτοικοι + τουρίστες). Ζημιές σε κατοικίες και οχήματα. Εγκαύματα. Περιορίστηκε έως 14/8, εναέρια σε ετοιμότητα. Πιθανή σχέση με πυρκαγιά Omiš — αμφότερες παράκτιες Κροατία 13-14/8. | 4 Canadair CL-415 + 4 Air Tractors. Εκκενώθηκαν ~1.000 άτομα &amp; τουρίστες. Αδριατική λεωφόρος D8 έκλεισε. Πυρκαγιά σε χόρτα, χαμηλή βλάστηση και πευκοδάσος. Αρχηγός πυρόσβεσης: 'πολύ μεγάλη πυρκαγιά που εμποδίστηκε σοβαρά από τον άνεμο'. Δεν υπάρχει πλέον ανοιχτή εστία. | ~1.000 κάτοικοι και τουρίστες εκκενώθηκαν· ζημιές σε κατοικίες και οχήματα· εγκαύματα αναφέρθηκαν· εναέρια μέσα σε ετοιμότητα για 14/8 | 1.200 άτομα εκκενώθηκαν. 40 τραυματίες (7 σε κρίσιμη κατάσταση). Η πυρκαγιά έφτασε στο κέντρο του Omiš. 253 πυροσβέστες από 6 επιπλέον νομαρχίες (σύνολο 300+). Αεροπυρόσβεση: 4 Canadair CL-415 + 4 Air Tractor.</t>
  </si>
  <si>
    <t>Omiš / Lokva Rogoznica</t>
  </si>
  <si>
    <t>υπό διερεύνηση (ανοιχτή εγκληματολογική έρευνα)</t>
  </si>
  <si>
    <t>https://www.euronews.com/video/2026/08/14/wildfire-forces-evacuation-of-1000-as-flames-sweep-croatias-coast ; https://www.aljazeera.com/news/2026/8/14/wildfires-force-thousands-to-flee-as-blazes-spread-across-europe ; https://watchers.news/2026/08/14/wildfire-near-omis-burns-homes-and-vehicles-injures-40-and-forces-1-200-people-to-evacuate-croatia/ ; https://www.croatiaweek.com/omis-wildfire-nearly-1000-evacuated-fire-croatia/ ; https://currentwildfires.com/en/fire/wildfire-near-omis-dalmatia-hr-2026/ ; https://uk.news.yahoo.com/wildfire-descends-croatian-tourist-town-061930064.html ; https://en.wikipedia.org/wiki/2026_Croatia_wildfires</t>
  </si>
  <si>
    <t>~1.000 εκκενωθέντες (κάτοικοι + τουρίστες). Ζημιές σε κατοικίες και οχήματα. Εγκαύματα. Περιορίστηκε ως 14/8· εναέρια μέσα παρέμειναν σε ετοιμότητα. | ~1.000 κάτοικοι και τουρίστες εκκενώθηκαν. Ζημιές σε κατοικίες και οχήματα. Αναφέρονται εγκαύματα. Υπό έλεγχο 14/8, εναέρια σε ετοιμότητα. | 1 νεκρός, 40 νοσηλευόμενοι (7 σοβαρά), ~2.000 εκκενώσεις. «Μία από τις χειρότερες στην ιστορία της Κροατίας». Ηρέμησε Παρασκευή 14/8 πρωί. | 1 νεκρός, 40 νοσηλευόμενοι (7 σοβαρά), ~2.000 εκκενώσεις, 1.000 εκτάρια καμένα. «Μία από τις χειρότερες στην ιστορία της Κροατίας». Ηρέμησε Παρασκευή 14/08 πρωί. | 1 νεκρός· 40 νοσηλευόμενοι (7 σοβαρά)· ~2.000 εκκενώσεις· «μία από τις χειρότερες στην ιστορία της Κροατίας»· ηρέμησε 14/8 πρωί | 1 θάνατος. 40 νοσηλευόμενοι (7 σοβαρά). ~2.000 εκκενώσεις. «Μία από τις χειρότερες στην ιστορία της Κροατίας». Ηρέμησε πρωί Παρασκευής 14/8. | Εκδηλώθηκε στη Lokva Rogoznica στις 20:15 στις 13/08, εξαπλώθηκε νύχτα προς Omiš και κατοικημένες ζώνες. Εκκένωση ~1.200 κατοίκων· ~40 τραυματίες, εκ των οποίων 7 με απειλητικά τη ζωή τραύματα. 4 Canadair CL-415 εκτινάχθηκαν στις 06:00/14-08 αλλά ανακατευθύνθηκαν σε πυρκαγιά στη χερσόνησο Pelješac· 3 Air Tractor παρέμειναν πάνω από Lokva Rogoznica–Omiš στις 12:00/14-08. Πυρκαγιά ακόμα ενεργή στις 14/08 — δορυφορικά δεδομένα δείχνουν επιδείνωση, όχι οριοθέτηση. | 1 νεκρός. 40 τραυματίες (7 σοβαρά). ~2.000 εκκενώσεις. Ηρέμησε πρωί 14/8. «Μία από τις χειρότερες στην ιστορία Κροατίας». | 1 νεκρός, 40 νοσηλευόμενοι (7 σοβαρά), εγκαύματα. ~2.000 εκκένωση. 1.000 εκτάρια. Ζημιές σε κατοικίες και οχήματα. «Μία από τις χειρότερες στην ιστορία Κροατίας». Εμφανίζεται ως «Ομίς» (14/8) και «Lokva Rogoznica» (15/8) στα email — ίδια πυρκαγιά. Εναέρια σε ετοιμότητα 15/8. | ~1.000 κάτοικοι και τουρίστες εκκενώθηκαν· ζημιές σε κατοικίες και οχήματα· αναφέρονται εγκαύματα· υπό έλεγχο 14/8 με εναέρια σε ετοιμότητα | Στις 15/8 ο επικεφαλής Tucaković επιβεβαίωσε μηδέν ενεργό μέτωπο. 40 τραυματίες (7 σε κρίσιμη κατάσταση). 1200 εκκενωμένοι. Ζημιές σε σπίτια, οχήματα, σκάφη (Ivašnjak, Staro Selo, Nemira κ.α.). | Επίσημη κατάσβεση: 16/08/2026 (ακριβής ώρα αδιευκρίνιστη). 1 νεκρός, ~43 τραυματίες (3 πυροσβέστες), ~2.500 εκκενωθέντες, ~58 κατοικίες κάηκαν, εκτιμώμενες ζημίες €110 εκ.</t>
  </si>
  <si>
    <t>Ομίς, κοντά στη Σπλίτ</t>
  </si>
  <si>
    <t>https://www.aljazeera.com/news/2026/8/14/wildfires-force-thousands-to-flee-as-blazes-spread-across-europe ; https://en.wikipedia.org/wiki/2026_Croatia_wildfires ; https://watchers.news/2026/08/14/wildfire-near-omis-burns-homes-and-vehicles-injures-40-and-forces-1-200-people-to-evacuate-croatia/ ; https://currentwildfires.com/en/fire/wildfire-near-omis-dalmatia-hr-2026/ ; https://www.euronews.com/my-europe/2026/08/14/at-least-people-in-10-in-intensive-care-and-thousands-flee-intense-wildfire-in-croatia ; https://www.aa.com.tr/en/europe/wildfire-destroys-homes-forces-evacuations-near-croatias-omis/4027012</t>
  </si>
  <si>
    <t>1 νεκρός· 40 νοσηλευόμενοι (7 σοβαρά)· ~2.000 εκκενώσεις· 1.000 ha καμένα· «μία από τις χειρότερες πυρκαγιές στην ιστορία Κροατίας»· ηρέμησε Παρασκευή 14/8 πρωί | Ίδιο συμβάν με Lokva Rogoznica. Τελικές δυνάμεις αιχμής (Wikipedia). Πλήρης τεκμηρίωση ζημιών επιβεβαιώνει ολοκλήρωση. | Εκδηλώθηκε 20:15 στη Lokva Rogoznica (13/8). 40 τραυματίες (7 με απειλητικές για τη ζωή κακώσεις). ~1.200 εκκενωθέντες. Καμένες κατοικίες/οχήματα σε Ivašnjak, Staro Selo, Pod Vajle, Nemira, Stanići, Medići. Έλεγχος επιτεύχθηκε Παρασκευή 14/8 (ώρα αδιευκρίνιστη). | Επίσημη κατάσβεση: 16/08/2026 (ακριβής ώρα αδιευκρίνιστη). 1 νεκρός, ~43 τραυματίες (3 πυροσβέστες), ~2.500 εκκενωθέντες, εκτιμώμενες ζημίες €110 εκ.</t>
  </si>
  <si>
    <t>Πυρκαγιά Omiš (Κροατία)</t>
  </si>
  <si>
    <t>1 νεκρός· 40 νοσηλευόμενοι (7 σοβαρά)· ~2.000 εκκενώσεις. «Μία από τις χειρότερες στην ιστορία Κροατίας». Ηρέμησε πρωί Παρασκευής 15/8. | Ίδιο συμβάν με Lokva Rogoznica. Τελικές δυνάμεις αιχμής (Wikipedia). Πλήρης τεκμηρίωση ζημιών επιβεβαιώνει ολοκλήρωση. | Εκδηλώθηκε 20:15 στη Lokva Rogoznica (13/8). 40 τραυματίες (7 με απειλητικές για τη ζωή κακώσεις). ~1.200 εκκενωθέντες. Καμένες κατοικίες/οχήματα σε Ivašnjak, Staro Selo, Pod Vajle, Nemira, Stanići, Medići. Έλεγχος επιτεύχθηκε Παρασκευή 14/8 (ώρα αδιευκρίνιστη). | Επίσημη κατάσβεση: 16/08/2026 (ακριβής ώρα αδιευκρίνιστη). 1 νεκρός, ~43 τραυματίες (3 πυροσβέστες), ~2.500 εκκενωθέντες, ~58 κατοικίες κάηκαν, εκτιμώμενες ζημίες €110 εκ.</t>
  </si>
  <si>
    <t>12:52</t>
  </si>
  <si>
    <t>Stourbridge, West Midlands</t>
  </si>
  <si>
    <t>Ηνωμένο Βασίλειο / West Midlands</t>
  </si>
  <si>
    <t>Stourbridge</t>
  </si>
  <si>
    <t>11 ειδικευμένες ομάδες</t>
  </si>
  <si>
    <t>https://www.aljazeera.com/news/2026/8/14/wildfires-force-thousands-to-flee-as-blazes-spread-across-europe ; https://www.wmfs.net/incidents/extensive-fire-in-stourbridge/ ; https://www.wmfs.net/news/stourbridge-fire-update-from-chief-fire-officer-14-august-2026/ ; https://www.itv.com/news/central/2026-08-13/60-firefighters-tackling-extensive-grass-fire-in-stourbridge ; https://www.itv.com/news/central/2026-08-14/it-still-hasnt-sunk-in-couple-lost-their-home-in-devastating-fire ; https://internationalfireandsafetyjournal.com/west-midlands-wildfires/ ; https://www.lbc.co.uk/article/wildfires-stourbridge-west-midlands-5Hjdg48_2/ ; https://www.birminghamdispatch.co.uk/investigations-begin-into-the-cause-of-devastating-stourbridge-wildfires/ ; https://www.ibtimes.co.uk/stourbridge-wildfire-burns-six-homes-england-wales-hit-1017-fires-before-autumn-1814229</t>
  </si>
  <si>
    <t>Έναρξη Πέμπτη 13/08. 20–30 κατοικίες καταστράφηκαν. 19 νοσηλευόμενοι. | 20-30 κατοικίες καταστράφηκαν· 19 νοσηλευόμενοι | Ξεκίνησε Πέμπτη 13/8. 20–30 κατοικίες καταστράφηκαν. 19 νοσηλευόμενοι. Ενεργή 14/8. | Έναρξη στο Stourbridge Golf Course (13:30, 13/8). Κατεστράφησαν 19 κατοικίες, ζημιές σε 18 ακόμη (37 σύνολο). 6 τραυματίες (3 πυροσβέστες). ~500 acres ≈ 202 ha. | Έναρξη 13/8. 20-30 κατοικίες καταστράφηκαν. 19 τραυματίες. | 20-30 κατοικίες καταστράφηκαν. 19 νοσηλευόμενοι. Ενεργό 14/8. | Έναρξη Πέμπτη 13/8· 20–30 κατοικίες καταστράφηκαν· 19 νοσηλευόμενοι | 20–30 κατοικίες καταστράφηκαν. 19 νοσηλευόμενοι. Έναρξη Πέμπτη 13/8. Σημ.: ΗΒ εκτός ΕΕ — περιλαμβάνεται λόγω Yutori Scout. | Εστία: Stourbridge Golf Course. 37 ακίνητα επηρεάστηκαν (19 ολοσχερώς κατεστραμμένα, 18 με ζημιές). 6 τραυματίες (3 πυροσβέστες). Αιτία υπό διερεύνηση. Θερμοκρασία 38.1°C στο Kew Gardens εκείνη την ημέρα. | Αιτία υπό διερεύνηση (WMFS ξεκίνησε επίσημη έρευνα). Η WMFS χαρακτήρισε το συμβάν 'από τα σημαντικότερα στην ιστορία της'. 54 ασθενείς έλαβαν παραϊατρική βοήθεια (19 νοσηλεύθηκαν). Ενεργά σημεία κατασβήνονταν στις 14/8. | 37 κτίρια επηρεάστηκαν (19 ολοσχερώς καταστράφηκαν, 18 υπέστησαν ζημιές). 6 τραυματίες (3 πυροσβέστες), ελαφριά τραύματα. Διακοπή σιδηροδρομικής γραμμής Kidderminster–Stourbridge. Αιτία υπό έρευνα εμπρησμολόγων. 500 acres ≈ 202 ha επιβεβαιώθηκαν από WMFS CFO. | Το περιστατικό έκλεισε επίσημα 18/8/2026 στις 12:52 (WMFS). Ζημιές σε 6 κατοικίες· τραυματίστηκαν 3 πυροσβέστες και 1 παιδί. Επίσης επηρεάστηκε το Stourbridge Golf Club. Σύμφωνα με WMFS, η καμένη έκταση ήταν ~40 acres (~16 ha) — η καταχωρημένη τιμή 202 ha χρήζει επαλήθευσης. Τελευταία φάση αντιμετώπισης: παρακολούθηση εστιών με 2 οχήματα 4x4 έως 18/8.</t>
  </si>
  <si>
    <t>Πυρκαγιά Gey / Βόρεια Ρηνανία-Βεστφαλία</t>
  </si>
  <si>
    <t>Gey (Kreis Düren)</t>
  </si>
  <si>
    <t>https://www.aljazeera.com/news/2026/8/14/wildfires-force-thousands-to-flee-as-blazes-spread-across-europe ; https://www.dw.com/en/wildfire-forces-evacuations-as-germanys-heat-wave-persists/video-78378992 ; https://www.usnews.com/news/world/articles/2026-08-15/german-wildfire-near-belgian-border-under-control-local-authorities-say ; https://de.wikipedia.org/wiki/Waldbrand_im_H%C3%BCrtgenwald_2026 ; https://www.kreis-dueren.de/presse/krise-feuer-in-huertgenwald_2026-08-14.php ; https://mapping.emergency.copernicus.eu/news/forest-fire-in-huertgen-forest-germany-emsr920/ ; https://english.news.cn/20260815/8c8452b3cf0d4a029d740fa014ccc307/c.html</t>
  </si>
  <si>
    <t>~1.800-2.000 εκκενώσεις. Κίνδυνος ανεξερεύνητων βομβών Β' ΠΠ σε δασικές ζώνες. Ακραία ζέστη/καύσωνας. Ενεργό 14-15/8. | ~1.800 άτομα εκκενώθηκαν (14/8)· φλόγες 300 μ. από κατοικίες· νύχτα 14–15/8: ~2.000 εκκένωση· κίνδυνος ανεξερεύνητων βομβών Β΄ ΠΠ σε δασικές ζώνες· NRW | 14/8: ~1.800 εκκένωση, φλόγες 300μ από κατοικίες. Νύχτα 14–15/8: ~2.000 εκκένωση. Κίνδυνος ανεξερεύνητων βομβών Β΄ ΠΠ σε δασικές ζώνες. Ακραία θερμοκρασία. Εμφανίζεται ως «Gey» (14/8) και «NRW» (15/8) στα email — ίδια πυρκαγιά. | Πρώτη ημέρα πυρκαγιάς Hürtgenwald. Μεγαλύτερη στην ιστορία ΒΡΒ. Ανεκπυροκρότητα WWII πυρομαχικά. Κανένα σπίτι δεν κάηκε. | Μεγαλύτερη δασική πυρκαγιά ΒΡ-Βεστφαλίας από το 1991. Τέθηκε υπό έλεγχο πρώιμο βράδυ 15/8· κάτοικοι Gey επέστρεψαν βράδυ 15/8. Εκρήξεις πολεμικού υλικού Β' ΠΠ περίπλεξαν τις επιχειρήσεις. Αεροπορική υποστήριξη: NH-90 + Sikorsky Sea Stallion (Bundeswehr). Συμμετείχαν THW και @fire. Δυνάμεις μειώθηκαν από 1.800 σε ~400 ως 17/8. | 5 τραυματίες, κανείς νεκρός. Εκκένωση ~1.800 κατοίκων Gey νύχτα 13-14/8. Κορύφωση δυνάμεων: ~1.800 εκτ. προσωπικό. Αποκλιμάκωση σε ~400 τη μ.μ. 17/8. Επίσημη μεταβίβαση αρμοδιότητας: 18 Αυγ. Αιτία επιβεβαιωμένα αδιευκρίνιστη (Wikipedia). Ανεκπυρσοκρότητα ΒΒΠΣ (Μάχη Χίρτγκεν 1944) επέτεινε τις επιχειρήσεις. | Τοπικές αρχές ανακοίνωσαν «υπό έλεγχο» 15/8. Εκκένωση ~2.000 κατοίκων Gey ανακλήθηκε 16/8 (1.800 επέστρεψαν). Την 16/8 παρέμεναν 2 ενεργές εστίες με ~1.600 πυροσβεστικά στελέχη. Ιστορικά πυρομαχικά WWII περιέπλεξαν τις επιχειρήσεις. | Σταθεροποιήθηκε ~15/8/2026· κάτοικοι Gey παρέμειναν εκτός σπιτιών τους. Πιθανώς η μεγαλύτερη πυρκαγιά στην ιστορία NRW. | Σταθεροποίηση αναφέρθηκε 15/08/2026 · ανεξερεύνητα πυρομαχικά WWII καθυστέρησαν επίγειες επιχειρήσεις — αναφέρθηκαν εκρήξεις εντός της πυρκαγιάς · εκκένωση ~2.000 κατοίκων νύχτα 13→14/08 (04:00)</t>
  </si>
  <si>
    <t>Aragon, Ισπανία</t>
  </si>
  <si>
    <t>Αραγωνία, Ισπανία</t>
  </si>
  <si>
    <t>https://www.aljazeera.com/news/2026/8/14/wildfires-force-thousands-to-flee-as-blazes-spread-across-europe ; https://www.france24.com/en/live-news/20260816-spanish-soldier-dies-in-aragon-wildfire-regional-leader ; https://www.thelocal.es/20260816/spains-aragon-sends-largest-deployment-against-wildfire ; https://www.euronews.com/video/2026/08/18/spain-and-france-battle-wildfires-as-17000-hectares-burn-in-aragon ; https://en.wikipedia.org/wiki/2026_Spain_wildfires ; https://www.techtimes.com/articles/324676/20260817/aragon-wildfire-claims-spanish-soldiers-life-dangerous-drying-returns-monday.htm ; https://spanienpress.com/rain-gives-firefighters-a-respite-major-wildfire-in-aragon-has-already-affected-17500-hectares/?lang=en</t>
  </si>
  <si>
    <t>Απείλησε μονή· βασιλικά λείψανα τριών βασιλέων 11ου αι. μεταφέρθηκαν για ασφάλεια | Εκκίνηση εστίας Peñas de Riglos, Χουέσκα. Τελική έκταση 17.500 ha (ως 16/8, ακόμη σε εξέλιξη 17/8). Νεκρός στρατιωτικός UME στις 16/8. | Ενεργή ως 18/8 (Euronews). Ένας Ισπανός στρατιώτης νεκρός (16/8, όχημα έπεσε σε ρεματιά). ΕΕ ανέπτυξε 6 αεροσκάφη (Ελλάδα/Ιταλία/Τουρκία) + 134 πυροσβέστες/41 οχήματα από Πορτογαλία. Μεγαλύτερη ανάπτυξη δυνάμεων στην ιστορία Αραγωνίας. Απειλήθηκε μονή ~1.000 ετών. Αιτία (κεραυνός) επιβεβαιώνεται. | Ίδια πυρκαγιά με εγγραφή 2026-08-14/Aragon (πιθανώς διπλοεγγραφή διαφορετικής ημερομηνίας). Σε εξέλιξη έως τουλάχιστον 17/8/2026. Νεκρός Ισπανός στρατιωτικός ΥΜΕ κοντά στο Las Peñas de Riglos, Huesca (~16-17/8). ~1046 εκτοπισμένοι. ~1000 πυροσβέστες μετά γαλλικές ενισχύσεις. ΕΕ: 6 αεροσκάφη (Ελλάδα/Ιταλία/Τουρκία) + 134 πυρ./41 οχ. Πορτογαλίας. Μερική οριοθέτηση ΒΑ στις 16/8. | Θύμα: 1 στρατιώτης UME νεκρός κοντά στο Las Peñas de Riglos, Huesca — πρώτος στρατιωτικός νεκρός πυρκαγιάς 2026 για Ισπανία. Απειλήθηκαν μοναστήρια San Juan de la Peña (10ος αι.). Γαλλικές δυνάμεις συνέδραμαν. Αραγωνία: «μεγαλύτερη επιχειρησιακή ανάπτυξη στην ιστορία της». Βροχή νύχτα 17–18/8 ανακούφισε αλλά δεν κατέσβεσε πλήρως. Παρέμενε ενεργή ως 18/8. | Αρχικά ανεπίσημα αναφέρθηκε κεραυνός· στις 16/8/2026 η Guardia Civil συνέλαβε ύποπτο εμπρησμού. Ένας Ισπανός στρατιώτης σκοτώθηκε κατά τη διάρκεια των επιχειρήσεων. Στις 16/8 η φωτιά παρέμενε ενεργή στα 17.500 ha. Η αυτοκινητιστική Baja Aragón ανεβλήθη λόγω της πυρκαγιάς. Τελική ώρα ελέγχου/κατάσβεσης δεν εντοπίστηκε σε πηγές έως 16/8. | 1 Ισπανός στρατιώτης νεκρός στις 16 Αυγ. (όχημα ανετράπη σε χαράδρα κατά τη διάρκεια επιχείρησης) — πρώτος στρατιωτικός νεκρός πυρόσβεσης στην Ισπανία για το 2026. Στις 16-17 Αυγ. η φωτιά εξακολουθούσε να καίει.</t>
  </si>
  <si>
    <t>Πυρκαγιά Luglon (Landes, Γαλλία)</t>
  </si>
  <si>
    <t>40</t>
  </si>
  <si>
    <t>αγνώστου αιτίας (υπό διερεύνηση)</t>
  </si>
  <si>
    <t>https://www.aljazeera.com/news/2026/8/14/wildfires-force-thousands-to-flee-as-blazes-spread-across-europe ; https://www.ertnews.gr/eidiseis/diethni/germania-gallia-ekkenonontai-xoria-os-ta-synora-me-to-velgio-logo-ton-pyrkagion/ ; https://www.landes.gouv.fr/Actualites/Salle-de-presse/Communiques-de-presse/2026/Incendie-en-cours-a-Luglon ; https://www.franceinfo.fr/environnement/evenements-meteorologiques-extremes/incendies-et-feux-de-foret/plus-de-500-personnes-evacuees-1-100-hectares-parcourus-500-pompiers-mobilises-ce-que-l-on-sait-de-l-incendie-qui-s-est-declare-dans-les-landes_8147084.html ; https://www.lematin.ch/story/france-le-feu-dans-les-landes-est-fixe-retour-d-une-partie-des-evacues-103618529 ; https://feuxdeforet.fr/en/landes-40/morcenx-la-nouvelle-13-08-2026-9878/ ; https://fr.wikipedia.org/wiki/Incendies_de_2026_dans_la_for%C3%AAt_des_Landes ; https://www.ici.fr/infos/faits-divers-justice/direct-incendie-a-luglon-600-hectares-brules-500-personnes-evacuees-3938000 ; https://www.landes.gouv.fr/Actualites/Salle-de-presse/Communiques-de-presse/2026/Incendie-en-cours-a-Luglon-point-de-situation-a-19h00</t>
  </si>
  <si>
    <t>525 εκκενώσεις. 1.100 εκτάρια καμένα από Πέμπτη 13/08. Πυρ 2 χλμ. από χωριό Luglon. Κατάσταση «δυσμενής» 14/08. | Έναρξη Πέμπτη 13/8. 525 εκκενώσεις. Φλόγες 2χλμ από χωριό. Κατάσταση «δυσμενής» στις 14/8. | 525 εκκενώσεις· πυρ 2χλμ. από χωριό· κατάσταση «δυσμενής» | 525 εκκενώσεις. 1.100 ha καμένα από Πέμπτη 13/8. Πυρ 2 χλμ. από χωριό. Κατάσταση «δυσμενής» 14/8. | 525 εκκενώσεις. Φωτιά 2 χλμ από οικισμό. «Δυσμενής» κατάσταση (14/8). | 525 εκκενώσεις. Φλόγες σε 2 χλμ από χωριό. Κατάσταση «δυσμενής» στις 14/8. | 525 εκκενώσεις· 1.100 ha καμένα από Πέμπτη 13/8· πυρ 2 χλμ. από χωριό Luglon· 500 πυροσβέστες και 6 αεροσκάφη | 525 εκκενώσεις. Πυρ 2 χλμ. από χωριό Luglon. 1.100 ha από Πέμπτη 13/8. Κατάσταση «δυσμενής» 14/8. Δασική πυρκαγιά σε πευκοδάσος Landes. | Φωτιά ξεκίνησε 13/8. Αρχικές δυνάμεις: 280 πυροσβέστες + 40 δασοπυροσβεστικές ομάδες, στη συνέχεια 550 συνολικά. Αεροσκάφη: 2 Dash + 4 Canadair + 2 Air Tractor. Ελικόπτερα: 1 Chinook (Αυστραλία) + 1 Bell 412. 550 κάτοικοι εκκενώθηκαν. Αιτία άγνωστη. 'Fixé' – κάτοικοι Luglon/Garein επέστρεψαν. | ~550 κάτοικοι εκκενώθηκαν (Luglon + Garein). Επίσημη ενημέρωση 19:00/14-08: ~1.300 ha σε 2 ζώνες — αρχική εστία + jump fire νοτιοανατολικά· νοτιοανατολική ζώνη ακόμη ενεργή εκείνη την ώρα.</t>
  </si>
  <si>
    <t>Monte Barone Wildfire</t>
  </si>
  <si>
    <t>Ιταλία / Πιεμόντε</t>
  </si>
  <si>
    <t>Coggiola, Biella</t>
  </si>
  <si>
    <t>37</t>
  </si>
  <si>
    <t>https://www.rte.ie/news/2026/0810/1587293-europe-heatwave-weather/ ; https://www.ansa.it/english/news/general_news/2026/08/12/1000-hectares-burned-as-mt-barone-wildfire-enters-ninth-day_4beac24d-cab2-4041-8e10-b2fc897f7e46.html ; https://www.giornalelavoce.it/news/attualita/727776/alto-piemonte-nella-morsa-degli-incendi-il-monte-barone-brucia-da-undici-giorni-oltre-mille-ettari-interessati-e-fumo-sui-fondovalle.html ; https://www.montagna.tv/279087/monte-barone-mille-ettari-bruciati-lincendio-continua/ ; https://www.newsbiella.it/2026/08/17/leggi-notizia/argomenti/valli-mosso-e-sessera-2/articolo/incendio-monte-barone-a-coggiola-una-base-logistica-130-pasti-al-giorno-cappio-lunione-fa-la-f.html ; https://www.newsbiella.it/2026/08/18/leggi-notizia/argomenti/cronaca-5/articolo/monte-barone-volontari-in-campo-da-due-settimane-foto.html ; https://www.newsbiella.it/2026/08/18/leggi-notizia/argomenti/cronaca-5/articolo/monte-barone-il-peggio-e-passato-ma-lincendio-cela-insidie.html</t>
  </si>
  <si>
    <t>Πυρκαγιά Monte Barone κοντά Biella. Στοιχεία περιορισμένα. | Μέτωπο 9 χλμ. Έκταση 1.000 ha αφορά κατάσταση στις 12/8/2026 (9η ημέρα). Άνω 120 ρίψεων νερού από εναέρια μέσα. Κίνδυνος για ορειβατικό καταφύγιο Monte Barone. Επιχειρήσεις από εδάφους και αέρος. | Η πυρκαγιά ξεκίνησε 3 Αυγούστου 2026 από κεραυνό σε υψηλό υψόμετρο (Coggiola, Biella). Έως την 9η ημέρα (12/8) εκτιμάται ~1.000 εκτάρια με μέτωπο 9 χλμ. Επιχειρούσαν Canadair (1) και περιφερειακό ελικόπτερο (~120 ρίψεις νερού) καθώς και ~25 εθελοντές δασοπυροσβέστες από Τορίνο και Νοβάρα. Απειλήθηκαν τα ορεινά καταφύγια Monte Barone και Ciota. Ανώμαλο ανάγλυφο και ξηρή βλάστηση δυσχέραιναν την κατάσβεση. Τελική κατάσταση μετά 12/8 δεν τεκμηριώθηκε. | Πυρκαγιά από 2026-08-03 (αστραπή). Ημ.9 (12/8): ~1.000 ha. Ημ.11 (14/8): &gt;1.000 ha, εξακολουθεί. Ημ.14 (17/8): ακόμη σε εξέλιξη (newsbiella.it 17/8). Επίγειες ομάδες AIB Biella+Torino 37 εθελοντές + Πυροσβεστική. 2 Canadair + 1 ελικόπτερο. Βάση λογιστικής στήριξης Coggiola (130 γεύματα/ημέρα). | Παραμένει σε εξέλιξη 15 ημέρες μετά την έναρξη (2026-08-03). Εδαφολογικά δύσβατα σημεία χωρίς πεζή πρόσβαση. 58 ρίψεις νερού (ελικόπτερο + Canadair). Δεν εντοπίστηκε ώρα οριοθέτησης/κατάσβεσης. | Πυρκαγιά εκδηλώθηκε 2026-08-03 από αστραπή. Στις 2026-08-18 «το χειρότερο πέρασε» (newsbiella.it) αλλά δεν είχε πλήρως κατασβεστεί — εντοπίστηκε νέα εστία πίσω από το φράγμα Piancone. Επί τόπου 23 εθελοντές AIB, πυροσβέστες, 2 ομάδες Τορίνο, βυτιοφόρο Novara. Μέτωπο 9 χλμ.</t>
  </si>
  <si>
    <t>Monte Barone – Coggiola</t>
  </si>
  <si>
    <t>Πεδεμόντιο, Ιταλία</t>
  </si>
  <si>
    <t>Coggiola (Biella)</t>
  </si>
  <si>
    <t>AIB (~25 operators επί τόπου), ενισχύσεις από Τορίνο και Νοβάρα</t>
  </si>
  <si>
    <t>αστραπή (πυρκαγιά εκδηλώθηκε 2026-08-03)</t>
  </si>
  <si>
    <t>https://www.rte.ie/news/2026/0810/1587293-europe-heatwave-weather/ ; https://www.ansa.it/english/news/general_news/2026/08/12/1000-hectares-burned-as-mt-barone-wildfire-enters-ninth-day_4beac24d-cab2-4041-8e10-b2fc897f7e46.html ; https://www.ansa.it/piemonte/notizie/2026/08/10/da-una-settimana-brucia-montagna-nel-biellese-case-e-rifugi-presidiati_b2c24523-7aa9-45bc-a18a-ff6f0a37846e.html ; https://www.newsbiella.it/2026/08/09/leggi-notizia/argomenti/cronaca-5/articolo/fiamme-e-roghi-sul-monte-barone-il-terreno-impervio-e-la-caduta-di-pietre-rendono-difficile-lo-speg.html ; https://www.giornalelavoce.it/news/attualita/727776/alto-piemonte-nella-morsa-degli-incendi-il-monte-barone-brucia-da-undici-giorni-oltre-mille-ettari-interessati-e-fumo-sui-fondovalle.html ; https://www.newsbiella.it/2026/08/17/leggi-notizia/argomenti/valli-mosso-e-sessera-2/articolo/incendio-monte-barone-a-coggiola-una-base-logistica-130-pasti-al-giorno-cappio-lunione-fa-la-f.html ; https://www.newsbiella.it/2026/08/18/leggi-notizia/argomenti/cronaca-5/articolo/monte-barone-volontari-in-campo-da-due-settimane-foto.html ; https://www.newsbiella.it/2026/08/18/leggi-notizia/argomenti/cronaca-5/articolo/monte-barone-il-peggio-e-passato-ma-lincendio-cela-insidie.html</t>
  </si>
  <si>
    <t>Πυρκαγιά στο Monte Barone κοντά στο Biella (Πεδεμόντιο). Αναφέρεται σε ευρύτερη RTÉ κάλυψη καύσωνα Ευρώπης 10/8. | Μέτωπο 9 χλμ. Έκταση 1.000 ha αφορά κατάσταση στις 12/8/2026 (9η ημέρα). Άνω 120 ρίψεων νερού από εναέρια μέσα. Επιχειρήσεις από εδάφους και αέρος. | Αναφερόμενο στο πλαίσιο ευρωπαϊκού θερμικού κύματος Αυγούστου 2026. | 2026-08-12 (9η ημέρα): μέτωπο 9 km, ~1.000 ha καμένα. Εναέρια: 1 Canadair + 1 ελικόπτερο Πιεδμόντ — 120+ εναέριοι βομβαρδισμοί συνολικά. Υπουργός Περιβάλλοντος επισκέφθηκε βάση. Απειλήθηκαν ορεινά καταφύγια και αγροικίες. | Ταυτόσημο με «Monte Barone Wildfire» / «Mount Barone Wildfire» — τριπλή καταγραφή ίδιου συμβάντος. Πυρκαγιά από 2026-08-03 (αστραπή). Ημ.11 (14/8): &gt;1.000 ha. Ημ.14 (17/8): ακόμη σε εξέλιξη. 2 Canadair + 1 ελικόπτερο, 37 εθελοντές AIB + Πυροσβεστική. | Παραμένει σε εξέλιξη 15 ημέρες μετά την έναρξη (2026-08-03). Εδαφολογικά δύσβατα σημεία χωρίς πεζή πρόσβαση. 58 ρίψεις νερού (ελικόπτερο + Canadair). Δεν εντοπίστηκε ώρα οριοθέτησης/κατάσβεσης. | Πυρκαγιά εκδηλώθηκε 2026-08-03 από αστραπή. Στις 2026-08-18 «το χειρότερο πέρασε» αλλά δεν είχε πλήρως κατασβεστεί — εντοπίστηκε νέα εστία πίσω από το φράγμα Piancone. Επί τόπου 23 εθελοντές AIB, πυροσβέστες, 2 ομάδες Τορίνο, βυτιοφόρο Novara. Μέτωπο 9 χλμ.</t>
  </si>
  <si>
    <t>Mount Barone Wildfire</t>
  </si>
  <si>
    <t>Biella, Piedmont, Italy</t>
  </si>
  <si>
    <t>Coggiola</t>
  </si>
  <si>
    <t>https://www.rte.ie/news/2026/0810/1587293-europe-heatwave-weather/ ; https://www.ansa.it/english/news/general_news/2026/08/12/1000-hectares-burned-as-mt-barone-wildfire-enters-ninth-day_4beac24d-cab2-4041-8e10-b2fc897f7e46.html ; https://www.ansa.it/piemonte/notizie/2026/08/10/da-una-settimana-brucia-montagna-nel-biellese-case-e-rifugi-presidiati_b2c24523-7aa9-45bc-a18a-ff6f0a37846e.html ; https://www.newsbiella.it/2026/08/09/leggi-notizia/argomenti/cronaca-5/articolo/fiamme-e-roghi-sul-monte-barone-il-terreno-impervio-e-la-caduta-di-pietre-rendono-difficile-lo-speg.html ; https://www.giornalelavoce.it/news/attualita/727776/alto-piemonte-nella-morsa-degli-incendi-il-monte-barone-brucia-da-undici-giorni-oltre-mille-ettari-interessati-e-fumo-sui-fondovalle.html ; https://www.newsbiella.it/2026/08/17/leggi-notizia/argomenti/valli-mosso-e-sessera-2/articolo/incendio-monte-barone-a-coggiola-una-base-logistica-130-pasts-al-giorno-cappio-lunione-fa-la-f.html ; https://www.newsbiella.it/2026/08/18/leggi-notizia/argomenti/cronaca-5/articolo/monte-barone-volontari-in-campo-da-due-settimane-foto.html ; https://www.newsbiella.it/2026/08/18/leggi-notizia/argomenti/cronaca-5/articolo/monte-barone-il-peggio-e-passato-ma-lincendio-cela-insidie.html ; https://www.newsbiella.it/2026/08/18/leggi-notizia/argomenti/cronaca-5/articolo/incendio-monte-barone-tre-zone-presidiate-proseguono-le-operazioni-di-spegnimento.html</t>
  </si>
  <si>
    <t>Περιοχή Coggiola κοντά στη Biella (βόρεια Ιταλία). Αναφορά μέσω RTE στο πλαίσιο Ευρωπαϊκού καύσωνα Αυγ. 2026. | Μέτωπο 9 χλμ. Έκταση 1.000 ha αφορά κατάσταση στις 12/8/2026 (9η ημέρα). Άνω 120 ρίψεων νερού από εναέρια μέσα. Επιχειρήσεις από εδάφους και αέρος. | 2026-08-12 (9η ημέρα): μέτωπο 9 km, ~1.000 ha καμένα. Εναέρια: 1 Canadair + 1 ελικόπτερο Πιεδμόντ — 120+ εναέριοι βομβαρδισμοί συνολικά. | Ταυτόσημο με «Monte Barone Wildfire» / «Monte Barone – Coggiola» — τριπλή καταγραφή ίδιου συμβάντος. Πυρκαγιά από 2026-08-03 (αστραπή). Ημ.11 (14/8): &gt;1.000 ha. Ημ.14 (17/8): ακόμη σε εξέλιξη. 2 Canadair + 1 ελικόπτερο, 37 εθελοντές AIB + Πυροσβεστική. | Παραμένει σε εξέλιξη 15 ημέρες μετά την έναρξη (2026-08-03). Εδαφολογικά δύσβατα σημεία χωρίς πεζή πρόσβαση. 58 ρίψεις νερού (ελικόπτερο + Canadair). Δεν εντοπίστηκε ώρα οριοθέτησης/κατάσβεσης. | Ως 18/08/2026 υπό έλεγχο στην πλευρά Biella (sotto controllo) — δεν κηρύχθηκε επίσημα κατεσβεσμένη. 23 εθελοντές/πυροσβέστες συνεχίζουν παρακολούθηση. Νέα εστία κοντά στο φράγμα Piancone υπό παρακολούθηση.</t>
  </si>
  <si>
    <t>Mount Barone – Coggiola / Biella</t>
  </si>
  <si>
    <t>Πεδεμόντιο / Μπιέλα, Ιταλία</t>
  </si>
  <si>
    <t>https://www.rte.ie/news/2026/0810/1587293-europe-heatwave-weather/ ; https://www.ansa.it/english/news/general_news/2026/08/12/1000-hectares-burned-as-mt-barone-wildfire-enters-ninth-day_4beac24d-cab2-4041-8e10-b2fc897f7e46.html ; https://www.ansa.it/piemonte/notizie/2026/08/10/da-una-settimana-brucia-montagna-nel-biellese-case-e-rifugi-presidiati_b2c24523-7aa9-45bc-a18a-ff6f0a37846e.html ; https://www.newsbiella.it/2026/08/09/leggi-notizia/argomenti/cronaca-5/articolo/fiamme-e-roghi-sul-monte-barone-il-terreno-impervio-e-la-caduta-di-pietre-rendono-difficile-lo-speg.html ; https://www.newsbiella.it/2026/08/18/leggi-notizia/argomenti/cronaca-5/articolo/monte-barone-volontari-in-campo-da-due-settimane-foto.html ; https://www.newsbiella.it/2026/08/18/leggi-notizia/argomenti/cronaca-5/articolo/monte-barone-il-peggio-e-passato-ma-lincendio-cela-insidie.html ; https://www.newsbiella.it/2026/08/18/leggi-notizia/argomenti/cronaca-5/articolo/incendio-monte-barone-tre-zone-presidiate-proseguono-le-operazioni-di-spegnimento.html</t>
  </si>
  <si>
    <t>Αναφορά στο πλαίσιο κάλυψης κύματος καύσωνα ΕΕ (RTÉ). Ελάχιστα στοιχεία διαθέσιμα. | Αναφέρθηκε στο πλαίσιο ευρωπαϊκού καύσωνα· μοναδική πηγή RTÉ | Αναφορά μέσω RTÉ στο πλαίσιο κάλυψης θερμοκρασιακού κύματος Ευρώπης Αυγ 2026. | Κοντά στο Biella, Piemonte. Αναφέρθηκε από RTÉ στο πλαίσιο ευρωπαϊκής κάλυψης θερμικού κύματος 2026. | Μέτωπο 9 χλμ. Έκταση 1.000 ha αφορά κατάσταση στις 12/8/2026 (9η ημέρα). Άνω 120 ρίψεων νερού από εναέρια μέσα. Επιχειρήσεις από εδάφους και αέρος. | 2026-08-12 (9η ημέρα): μέτωπο 9 km, ~1.000 ha καμένα. Εναέρια: 1 Canadair + 1 ελικόπτερο Πιεδμόντ — 120+ εναέριοι βομβαρδισμοί συνολικά. | Παραμένει σε εξέλιξη 15 ημέρες μετά την έναρξη (2026-08-03). Εδαφολογικά δύσβατα σημεία χωρίς πεζή πρόσβαση. 58 ρίψεις νερού (ελικόπτερο + Canadair). Δεν εντοπίστηκε ώρα οριοθέτησης/κατάσβεσης. | Ως 18/08/2026 υπό έλεγχο στην πλευρά Biella (sotto controllo) — δεν κηρύχθηκε επίσημα κατεσβεσμένη. 23 εθελοντές/πυροσβέστες συνεχίζουν παρακολούθηση. Νέα εστία κοντά στο φράγμα Piancone υπό παρακολούθηση.</t>
  </si>
  <si>
    <t>13:49</t>
  </si>
  <si>
    <t>Navas de San Antonio</t>
  </si>
  <si>
    <t>Καστίλη και Λεόν</t>
  </si>
  <si>
    <t>Navas de San Antonio, Segovia</t>
  </si>
  <si>
    <t>41 μονάδες (ελικόπτερα + πεζοπόρα τμήματα)</t>
  </si>
  <si>
    <t>Φωτιά οχήματος στο έρεισμα της εθνικής οδού AP-6</t>
  </si>
  <si>
    <t>https://www.ecoticias.com/medio-ambiente/incendios-forestales-en-espana-alerta-maxima-hoy-ante-tres-grandes-frentes ; https://www.telemadrid.es/programas/telenoticias-1/El-incendio-de-Navas-de-San-Antonio-mantiene-evacuados-a-los-vecinos-de-dos-municipios-en-Segovia-2-2915128468--20260810023214.html ; https://www.eldiario.es/castilla-y-leon/sociedad/incendio-navas-san-antonio-segovia-obliga-mantener-evacuaciones-regreso-viento_1_13437753.html ; https://www.elespanol.com/castilla-y-leon/region/segovia/20260809/directo-medios-terrestres-aereos-actuan-incendio-forestal-nivel-declarado-navas-san-antonio/1003744347826_10.html ; https://tecnobosque.es/incendio-navas-san-antonio-segovia/ ; https://www.telecinco.es/noticias/sociedad/20260810/incendios-forestales-navas-san-antonio-segovia-evacuadas-preventivamente_18_019917366.html ; https://www.teleprensa.com/articulo/nacional-3/declarado-gravedad-1-fuego-navas-san-antonio-segovia-25-medios-desplegados/202608081717212484096.amp.html</t>
  </si>
  <si>
    <t>Ισπανία, επαρχία Segovia. Εκκένωση: Los Ángeles de San Rafael, Vegas de Matute. Εγκλεισμός Valdeprados. Ανανέωση φλεγόμενης ζώνης λόγω ανέμων μετά από ατύχημα. | 176 κάτοικοι των Los Ángeles de San Rafael και Vegas de Matute παρέμεναν εκκενωμένοι (10/8). Επίπεδο σοβαρότητας IGR-2. Κλειστές οδοί AP-6 και N-6. Καμένη έκταση δεν επιβεβαιώθηκε σε ha. | Έναρξη 2026-08-08 16:35 (πυρκαγιά οχήματος σε ερείσμα AP-6). Οριστικός έλεγχος IGR-0 στις 13:49 της 15/08/2026. Συνολικά 114 αθροιστικά μέσα. Καμένη έκταση 970 ha εκτίμηση δορυφορικού αποτυπώματος EFFIS. Εκκένωση Los Ángeles de San Rafael και Vegas de Matute. | Κηρύχθηκε υπό έλεγχο στις 13:49 15/08/2026 (7 ημέρες από την έναρξη). Συνολικά 114 μέσα κατά τη διάρκεια της επιχείρησης. Αιχμή δυνάμεων: 8 επίγειες + 8 ελικοπτεροφερόμενες ομάδες, 6 αυτόμπομπες, 6 μπουλντόζες, 5 εναέρια + 3 ελικόπτερα Κοινότητας Μαδρίτης. ~5.000 εκκενωθέντες. | Σύνολο &gt;100 medios acumulados (Infocal: 114). Μαδρίτη: 5 επίγειες ομάδες + 3 ελικόπτερα. Ακριβής κατανομή πυροσβεστών/οχημάτων/αεροσκαφών ανά κατηγορία δεν επιβεβαιώθηκε. | Συνολικά αθροιστικά ~114 πόροι κατά τη διάρκεια της πυρκαγιάς (nivel 2). Επιβεβαιωμένη σύνθεση δυνάμεων: 7 ελικόπτερα, 3 επίγειες ομάδες, 6 αερομεταφερόμενες ομάδες, 3 πυροσβεστικά, 2 εκσκαφείς-μπουλντόζες, 2 τεχνικοί, 3 δασικοί πράκτορες + μονάδες Πυροσβεστικής Επ. Σεγόβιας, Χωροφυλακής, Πολιτικής Προστασίας.</t>
  </si>
  <si>
    <t>Niebla</t>
  </si>
  <si>
    <t>Ανδαλουσία</t>
  </si>
  <si>
    <t>Niebla, Huelva</t>
  </si>
  <si>
    <t>130 UME (στρατός), 115 Civil Guard</t>
  </si>
  <si>
    <t>Υπό διερεύνηση (ύποπτα υπόλειμμα τσιγάρου – Guardia Civil/BIIF)</t>
  </si>
  <si>
    <t>https://www.ecoticias.com/medio-ambiente/incendios-forestales-en-espana-alerta-maxima-hoy-ante-tres-grandes-frentes ; https://gr.euronews.com/my-europe/2026/08/09/mainontai-oi-pyrkagies-se-ouelva-kai-kastegion-katoikoi-egkataleipoun-ta-spitia-toys ; https://gr.euronews.com/my-europe/2026/08/09/mainontai-oi-pyrkagies-se-ouelba-kai-kastegion-katoikoi-egkataleipoun-ta-spitia-toys ; https://www.thespanisheye.com/2026/08/11/huelva-wildfire-dangerous-blaze-reaches-sevilla-as-police-probe-cigarette-butt-theory-and-army-reinforcements-sent/ ; https://tecnobosque.es/analisis-tecnico-incendio-de-niebla-huelva/ ; https://www.infobae.com/espana/2026/08/10/el-incendio-forestal-de-niebla-en-huelva-arrasa-8000-hectareas-y-mantiene-a-474-vecinos-desalojados/ ; https://www.infobae.com/espana/2026/08/13/el-incendio-de-niebla-huelva-pierde-fuerza-tras-arrasar-31000-hectareas-y-dejar-a-700-vecinos-desalojados/ ; https://www.democrata.es/en/current-events/fires-in-spain-today-august-14-fog-worsens-in-aznalcollar-and-the-fire-in-huesca-threatens-san-juan-pena/ ; https://www.telecinco.es/noticias/andalucia/20260815/ultima-hora-incendio-niebla-huelva-desalojados_18_019958529.html</t>
  </si>
  <si>
    <t>Ισπανία, επαρχία Huelva. 474 εκκενωθέντες. 12 εκσκαφείς. 205 εξοπλισμός παντός τύπου. Yutori Scout 9/8 ανέφερε 40.000 ha για ευρύτερο σύμπλεγμα Ουέλβα. | Πυρκαγιά παρέμεινε ενεργή. Συνολική έκταση ~25.000 ha έως 11/08. Επεκτάθηκε στην επαρχία Σεβίλλης. UME κινητοποιήθηκε. | Στις 2026-08-13 09:15 CEST τεχνική ανάλυση (UME/τεχνικές πηγές) εκτιμά &gt;31.000 ha καμένα, περίμετρος ~120 km· ~700 επαγγελματίες (350+ ΜΕΑ)· Κατάσταση 2 INFOCA· αναμένεται παρατεταμένη επιχείρηση λόγω απουσίας βελτίωσης καιρού· ~718 κάτοικοι εκκενωμένοι. | Εξελισσόμενη έκταση: ~8.000 ha (πρώιμο Aug 10) → &gt;20.000 ha (αργότερα Aug 10) → 31.000+ ha (Aug 13). Ενεργή 14/8, επεκτείνεται προς Aznalcóllar (Σεβίλλη). Ρυθμός επιβράδυνσης: −12.000→−6.000→−3.000 ha/24h. | Πυρκαγιά εκδηλώθηκε 2026-08-06 στην περιοχή Raboconejo (Niebla). Στις 2026-08-15 για πρώτη φορά δεν σημειώθηκε νυχτερινή εξάπλωση σε κανένα μέτωπο· οι αρχές της Ανδαλουσίας μίλησαν για «αρχή του τέλους» της έκτακτης ανάγκης. Διαφυγούσα έκταση &gt;38.000 ha (η πραγματική καμένη επιφάνεια εκτιμάται χαμηλότερη). 546 κάτοικοι παραμένουν σε προληπτική εκκένωση — 268 εξουσιοδοτήθηκαν να επιστρέψουν. Δυνάμεις αιχμής (2026-08-15): 1.116 επίγεια στελέχη, 337 οχήματα, 33 αεροσκάφη. Αναμένονταν ριπές ανέμου ~40 km/h απόγευμα 2026-08-16 — διατηρήθηκε μέγιστη επιφυλακή. | Σταθεροποιήθηκε στις 16/08 10:30 μετά από 36 ώρες χωρίς νέες εστίες σε περίμετρο ~210 χλμ. Δυνάμεις στη σταθεροποίηση: 875 πυροσβέστες, 33 εναέρια, 352 μηχανικά μέσα. Η UME άρχισε αποχώρηση. Δεν εκδόθηκε επίσημη ανακοίνωση «controlado» έως 08:10 17/08. Πλήρης κατάσβεση αναμένεται σε αρκετές εβδομάδες. | 15/08/2026: πρώτη νύχτα χωρίς εξέλιξη σε κανένα μέτωπο — σημείο καμπής. 114 κάτοικοι επέστρεψαν στα σπίτια τους (+ 60 προηγουμένως). Ακριβής ώρα ελέγχου/κατάσβεσης δεν επιβεβαιώθηκε.</t>
  </si>
  <si>
    <t>10:52</t>
  </si>
  <si>
    <t>Tírig</t>
  </si>
  <si>
    <t>Κοινότητα Βαλένθια</t>
  </si>
  <si>
    <t>Tírig, Castellón</t>
  </si>
  <si>
    <t>https://www.ecoticias.com/medio-ambiente/incendios-forestales-en-espana-alerta-maxima-hoy-ante-tres-grandes-frentes ; https://www.ecoticias.com/medio-ambiente/ultima-hora-incendios-forestales-espana-agosto-2026 ; https://castellonplaza.com/castellonplaza/comarcas/los-bomberos-dan-por-controlado-el-incendio-de-tirig-mas-de-800-hectareas-calcinadas-en-un-perimetro-de-228-kilometros ; https://www.infobae.com/espana/agencias/2026/08/11/controlado-el-incendio-de-tirig-castellon-tras-calcinar-mas-de-800-hectareas/ ; https://www.castelloninformacion.com/tirig-afronta-su-tercera-noche-de-fuego-con-810-hectareas-calcinadas/ ; https://www.aragondigital.es/articulo/espana/incendio-tirig-castellon-arrasa-810-hectareas-mantiene-evacuada-localidad-cati/202608101223071000992.html</t>
  </si>
  <si>
    <t>Ισπανία, επαρχία Castellón. ~700 εκκενωθέντες από Catí. 19 εναέρια μέσα (fixed-wing + ελικόπτερα, ανάλυση άγνωστη). Αξιοποίηση νυκτερινής υγρασίας για κατάσβεση. | Εκδηλώθηκε 2026-08-08· οριοθετήθηκε 2026-08-12 10:52· δασική έκταση 617 ha εκ συνολικών 810 ha· Tírig 404 ha + Catí ~350 ha· αιτία αδιευκρίνιστη | 21 medios aéreos και &gt;50 medios terrestres (castelloninformacion.com). Αιτία δεν επιβεβαιώθηκε από διαθέσιμες πηγές. | Επίγειες δυνάμεις: Κοιν. Βαλένθια — 11 επίγειες ομάδες, 5 αερομεταφερόμενες ομάδες, 11 πυροσβεστικά. Επαρχία Καστεγιόν — 4 ομάδες, 8 πυροσβεστικά, 4 Ειδικές Δασοπυρικές Μονάδες (EPRIF). Αιτία πυρκαγιάς: αδιευκρίνιστη (δεν επιβεβαιώθηκε από πηγές).</t>
  </si>
  <si>
    <t>Πυρκαγιά San Juan de la Peña (Αραγωνία, Ισπανία)</t>
  </si>
  <si>
    <t>Ισπανία / Αραγωνία (Ουέσκα)</t>
  </si>
  <si>
    <t>https://www.aljazeera.com/news/2026/8/14/wildfires-force-thousands-to-flee-as-blazes-spread-across-europe ; https://www.cp24.com/news/world/2026/08/16/spains-aragon-sends-largest-deployment-against-wildfire-threatening-1000-year-old-monastery/ ; https://www.thelocal.es/20260816/spains-aragon-sends-largest-deployment-against-wildfire ; https://www.theolivepress.es/spain-news/2026/08/14/spain-wildfire-surrounds-san-juan-de-la-pena-monasteries-in-aragon/ ; https://english.aawsat.com/culture/5306841-spain-removes-remains-11th-century-kings-monastery-wildfire-rages ; https://www.elconstitucional.es/en/communities/aragon/the-huesca-fire-devastates-some-10000-hectares-and-forces-the-evacuation-of-18-villages-while-threatening-san-juan-pena_7101_102.html</t>
  </si>
  <si>
    <t>Εκκένωση 16 χωριών. Μεγαλύτερη κινητοποίηση ΠΣ στην ιστορία Αραγωνίας· γαλλική υποστήριξη 16/8. Λείψανα πρώτων 3 βασιλέων Αραγωνίας (11ου αι.) μεταφέρθηκαν στο επαρχιακό μουσείο Ουέσκα. Μονή San Juan de la Peña δεν κάηκε. Ξεκίνησε Δευτέρα (εκτιμ. 10/8), ακόμα ενεργή 16/8. | Εστία στην περιοχή Riglos. Απειλή στα ιστορικά μοναστήρια San Juan de la Peña (1000+ ετών) — δεν υπέστησαν ζημιά έως 16/8. 18 οικισμοί εκκενώθηκαν (891 άτομα). Γαλλική ενίσχυση. Αιτία αγνώστη.</t>
  </si>
  <si>
    <t>Nieva–Huelva &amp; Castellón Wildfires</t>
  </si>
  <si>
    <t>Huelva, Andalusia + Castellón, Valencia, Spain</t>
  </si>
  <si>
    <t>Nieva (Huelva)</t>
  </si>
  <si>
    <t>INFOCA, UME (Μονάδα Στρατιωτικών Εκτάκτων Αναγκών), Ισπανικός Στρατός, δασικές ταξιαρχίες</t>
  </si>
  <si>
    <t>αμέλεια – σπινθήρες από αδειοδότητο βαρύ μηχάνημα (εκσκαφέας) που άνοιγε δασική διαδρομή για κτηνοτροφία (Guardia Civil)</t>
  </si>
  <si>
    <t>https://gr.euronews.com/my-europe/2026/08/09/mainontai-oi-pyrkagies-se-ouelva-kai-kastegion-katoikoi-egkataleipoun-ta-spitia-toys ; https://tecnobosque.es/analisis-tecnico-incendio-de-niebla-huelva/ ; https://www.infobae.com/espana/2026/08/11/el-fuego-de-niebla-ya-supera-las-25000-hectareas-y-mantiene-a-681-personas-desalojadas-sigue-siendo-muy-complejo-y-peligroso/ ; https://gr.euronews.com/my-europe/2026/08/09/mainontai-oi-pyrkagies-se-ouelba-kai-kastegion-katoikoi-egkataleipoun-ta-spitia-toys ; https://www.infobae.com/espana/2026/08/13/el-incendio-de-niebla-huelva-pierde-fuerza-tras-arrasar-31000-hectareas-y-dejar-a-700-vecinos-desalojados/ ; https://www.elindependiente.com/futuro/medio-ambiente/2026/08/14/el-fuego-de-niebla-en-huelva-entra-en-capacidad-de-extincion-y-se-consolida-el-40-del-de-huesca/ ; https://www.thespanisheye.com/2026/08/16/huelva-wildfire-finally-stabilised-after-10-days-as-hundreds-of-evacuees-allowed-home/ ; https://deeparrival.com/news/niebla-huelva-wildfire-evacuations-august-2026/</t>
  </si>
  <si>
    <t>&gt;150 πυροσβέστες για σταθεροποίηση στη Nieva Χούελβας. 40.000 εκτ. ήδη καμένα. Εκατοντάδες κάτοικοι απομακρύνθηκαν. Ταυτόχρονη ενεργοποίηση στο Καστελλόν Βαλένθιας. | &gt;150 πυροσβέστες για σταθεροποίηση Νιέβλας. 40.000 ha καμένα (Ουέλβα). Εκατοντάδες κάτοικοι εκκενώθηκαν. | Φωτιά Niebla: εκκίνηση 2026-08-06 στο Raboconejo (Niebla, Huelva). Στις 2026-08-12 ακόμα ενεργή — ~25.000 ha επιβεβαιωμένα (πηγή: tecnobosque/infobae 11 Αυγ.), πιθανή περαιτέρω επέκταση. Χαρακτηρίστηκε «fuera de capacidad de extinción». Εκκενώθηκαν 681 άτομα (500 Huelva, 181 Sevilla). | Πυρκαγιά Niebla/Huelva: ξεκίνησε 2026-08-06 στην περιοχή Raboconejo, βόρεια του Niebla. Copernicus 09/08: 6.456,7 ha. Εξέλιξη: ~8.000 ha (10/08) → 25.000 ha (11/08) → 31.000 ha (13/08, χάνει δύναμη). 718 εκκενωθέντες. Αιτία: δεν επιβεβαιώθηκε. Δεδομένα Castellón/Βαλένθιας δεν επαληθεύτηκαν ξεχωριστά. | Εισήλθε σε capacidad de extinción στις 14/8/2026. Στις 15/8 08:30 CEST ακόμη ενεργό σε ανατολικό τομέα (Status Operacional 2). Επιχειρησιακή εκτίμηση επηρεαζόμενης έκτασης &gt;38.000 ha· τελικά καμένη αναμένεται χαμηλότερη. Δυνάμεις 14/8: 875 προσωπικό, 33 εναέρια, 352 οχήματα (18 bulldozers). Αιτία: άγνωστη. | Niebla: εκδηλώθηκε 2026-08-06 (Raboconejo)· σταθεροποιήθηκε 2026-08-16 10:30 (Επίπεδο 1)· ~38.000 ha διασχίστηκαν (tecnobosque.es), ~31.000 ha πλήρως κατεστραμμένα (infobae 2026-08-13)· Tírig/Καστελλόν: οριοθετήθηκε 2026-08-12· αιτία αγνώστη | Πυρκαγιά Niebla/Huelva: ξεκίνησε 06/08/2026 στην περιοχή Raboconejo – σταθεροποιήθηκε 16/08/2026 μετά 10 ημέρες. Σταμάτησε να προχωρά 15/08 για πρώτη φορά σε 8 ημέρες. Περίμετρος ~210 χλμ. Αδειοδότητο μηχάνημα: gross negligence κατά Guardia Civil. Ως 16/08 δεν είχε κηρυχθεί επίσημα 'ελεγχόμενη'.</t>
  </si>
  <si>
    <t>Πυρκαγιά Νιέβλας (Huelva)</t>
  </si>
  <si>
    <t>Ανδαλουσία, Ισπανία</t>
  </si>
  <si>
    <t>INFOCA, UME, Ισπανικός Στρατός, δασικές ταξιαρχίες</t>
  </si>
  <si>
    <t>https://gr.euronews.com/my-europe/2026/08/09/mainontai-oi-pyrkagies-se-ouelva-kai-kastegion-katoikoi-egkataleipoun-ta-spitia-toys ; https://tecnobosque.es/analisis-tecnico-incendio-de-niebla-huelva/ ; https://www.infobae.com/espana/2026/08/11/el-fuego-de-niebla-ya-supera-las-25000-hectareas-y-mantiene-a-681-personas-desalojadas-sigue-siendo-muy-complejo-y-peligroso/ ; https://www.infobae.com/espana/2026/08/10/el-incendio-forestal-de-niebla-en-huelva-arrasa-8000-hectareas-y-mantiene-a-474-vecinos-desalojados/ ; https://www.elsaltodiario.com/incendios-forestales/incendio-niebla-huelva-fuera-capacidad-extincion-arrasa-20-000-hectareas ; https://www.infobae.com/espana/2026/08/13/el-incendio-de-niebla-huelva-pierde-fuerza-tras-arrasar-31000-hectareas-y-dejar-a-700-vecinos-desalojados/ ; https://www.elindependiente.com/futuro/medio-ambiente/2026/08/14/el-fuego-de-niebla-en-huelva-entra-en-capacidad-de-extincion-y-se-consolida-el-40-del-de-huesca/ ; https://www.thespanisheye.com/2026/08/16/huelva-wildfire-finally-stabilised-after-10-days-as-hundreds-of-evacuees-allowed-home/ ; https://andaluciatoday.com/the_niebla_wildfire_has_now_burned_through_20_000_hectares_and_authorities_admit_it_is_beyond_their_ability_to_extinguish_it_1000272695-a.html</t>
  </si>
  <si>
    <t>&gt;150 πυροσβέστες για σταθεροποίηση. Εκατοντάδες κάτοικοι απομακρύνθηκαν. Το εμβαδό 40.000 ha ενδέχεται να είναι σωρευτικό για την ευρύτερη ζώνη Ουέλβα (πολλαπλά μέτωπα). | Εκκίνηση 2026-08-06 στο Raboconejo, Niebla. Στις 2026-08-12 ακόμα ενεργή, ~25.000 ha επιβεβαιωμένα. Χαρακτηρίστηκε «fuera de capacidad de extinción». 681 άτομα εκκενώθηκαν. | Ξεκίνησε 2026-08-06, Raboconejo. Copernicus 09/08: 6.456,7 ha. Τελική έκταση (13/08): 31.000 ha, ασθενέστερη ισχύς. Αιτία: δεν επιβεβαιώθηκε. | Πυρκαγιά εκδηλώθηκε 6/8/2026 στην περιοχή Raboconejo βόρεια της Niebla. Παρέμεινε σε Επιχειρησιακή Κατάσταση 2 (INFOCA) έως 14/8/2026. Εκτιμώμενη καμένη έκταση &gt;38.000 ha στις 14/8 (πραγματική επιφάνεια χαμηλότερη). Κυρίαρχο ενεργό μέτωπο: ανατολικός διάδρομος Aznalcóllar–El Álamo–El Castillo de las Guardas. Αιτία αδιευκρίνιστη. | Εισήλθε σε capacidad de extinción στις 14/8/2026. Στις 15/8 08:30 CEST ακόμη ενεργό σε ανατολικό τομέα (Status Operacional 2). Επιχειρησιακή εκτίμηση επηρεαζόμενης έκτασης &gt;38.000 ha· τελικά καμένη αναμένεται χαμηλότερη. Δυνάμεις 14/8: 875 προσωπικό, 33 εναέρια, 352 οχήματα. Αιτία: άγνωστη. | Εκδήλωση 06/08 στο paraje Raboconejo, Niebla. Στις 16/08 08:35 CEST παρέμενε σε Situación Operativa 2 (φάση σταθεροποίησης· ενεργό μέτωπο στον ανατολικό τομέα). Λειτουργικό εκτιμώμενο εμβαδόν &gt;38.000 ha· τελική πραγματικά καμένη έκταση αναμένεται σημαντικά μικρότερη. Αιτία δεν έχει επίσημα ανακοινωθεί. Ώρα πλήρους κατάσβεσης/ελέγχου δεν έχει καθοριστεί. | Εκδηλώθηκε 2026-08-06 (Raboconejo, Niebla)· σταθεροποιήθηκε 2026-08-16 10:30 (Επίπεδο 1)· ~38.000 ha διασχίστηκαν· αιτία αγνώστη | Ξεκίνησε 06/08/2026 στο Raboconejo, Niebla. Σταθεροποίηση 16/08/2026 (10 ημέρες). Εκκένωση ~800 κατοίκων. Ιστορική ξηρασία επιδείνωσε συνθήκες. Περίμετρος ~210 χλμ.</t>
  </si>
  <si>
    <t>Πυρκαγιές Ισπανίας – Ουέλβα/Niebla (Ανδαλουσία) + Καστελλόν (Βαλένθια)</t>
  </si>
  <si>
    <t>Κοινότητα Βαλένθιας, Ισπανία</t>
  </si>
  <si>
    <t>Niebla, Huelva · Castellón</t>
  </si>
  <si>
    <t>&gt;150 πυροσβέστες σταθεροποίησης μετώπου Niebla</t>
  </si>
  <si>
    <t>αμέλεια – σπινθήρες από αδειοδότητο βαρύ μηχάνημα (εκσκαφέας) που άνοιγε δασική διαδρομή για κτηνοτροφία (Guardia Civil – αφορά πυρκαγιά Huelva/Niebla)</t>
  </si>
  <si>
    <t>https://gr.euronews.com/my-europe/2026/08/09/mainontai-oi-pyrkagies-se-ouelva-kai-kastegion-katoikoi-egkataleipoun-ta-spitia-toys ; https://www.ertnews.gr/roi-idiseon/ispania-maxi-me-tis-pyrkagies-se-valenthia-kai-andalousia-xiliades-stremmata-eginan-staxti/ ; https://news.am/en/news/1054452 ; https://www.thelocal.es/20260810/firefighters-struggle-to-put-out-wildfire-in-southwestern-spain ; https://mapping.emergency.copernicus.eu/news/wildfire-in-huelva-spain-emsr913/ ; https://www.newsbeast.gr/greece/arthro/13283874/fialtiko-kokteil-gia-pyrkagies-40aria-xeri-kafsimi-yli-kai-ischyro-meltemi-mechri-ton-dekapentavgousto ; https://tecnobosque.es/analisis-tecnico-incendio-de-niebla-huelva/ ; https://www.vozpopuli.com/espana/el-incendio-de-niebla-sigue-sin-control-se-da-por-estabilizado-el-de-castellon-y-se-mantienen-las-evacuaciones-en-segovia.html ; https://www.infobae.com/espana/2026/08/13/el-incendio-de-niebla-huelva-pierde-fuerza-tras-arrasar-31000-hectareas-y-dejar-a-700-vecinos-desalojados/ ; https://www.elindependiente.com/futuro/medio-ambiente/2026/08/14/el-fuego-de-niebla-en-huelva-entra-en-capacidad-de-extincion-y-se-consolida-el-40-del-de-huesca/ ; https://castellonplaza.com/castellonplaza/comarcas/los-bomberos-dan-por-controlado-el-incendio-de-tirig-mas-de-800-hectareas-calcinadas-en-un-perimetro-de-228-kilometros ; https://www.thespanisheye.com/2026/08/16/huelva-wildfire-finally-stabilised-after-10-days-as-hundreds-of-evacuees-allowed-home/</t>
  </si>
  <si>
    <t>Καλύπτεται από Euronews μαζί με Ουέλβα. Περιορισμένα επιμέρους στοιχεία για Καστελλόν. | Κάτοικοι εγκαταλείπουν σπίτια. Δεν υπάρχουν αναλυτικά στοιχεία ανά πυρκαγιά από πηγές Yutori. | ~800 κάτοικοι εκκενώθηκαν (El Madroño+γύρω)· κοντά σε buffer zone Doñana UNESCO· Copernicus EMS EMSR913· Yutori ανέφερε 40.000 ha (Huelva+Castellón συνολικά), web επαλήθευσε 8.000 ha για Huelva/Niebla | &gt;150 πυροσβέστες επιχειρούν για σταθεροποίηση στη Νιέβλα· εκατοντάδες κάτοικοι απομακρύνθηκαν· 40.000 ha ήδη καμένα. | Εκατοντάδες κάτοικοι απομακρύνθηκαν. Ταυτόχρονα ενεργό μέτωπο και στην περιοχή Καστελλόν (Βαλένθια), βλ. επόμενη εγγραφή. | Κάτοικοι εγκαταλείπουν σπίτια. Περιορισμένα στοιχεία — συνδυαστική αναφορά με Ουέλβα στο ίδιο Euronews άρθρο. | Στις 2026-08-12: φωτιά Niebla ακόμα ενεργή (~25.000 ha, Κατάσταση Επιχείρησης 2 INFOCA). Εκκίνηση Niebla: 2026-08-06 Raboconejo. Εκκενώθηκαν 681 άτομα. | Niebla/Huelva: ξεκίνησε 2026-08-06, Copernicus 09/08: 6.456,7 ha, 31.000 ha (13/08). Αιτία: άγνωστη. Δεδομένα Castellón δεν επαληθεύτηκαν ξεχωριστά. | Η πυρκαγιά Niebla παρέμεινε ενεργή έως 14/8/2026 (INFOCA ΕΚ2, &gt;38.000 ha· 875 πυροσβέστες/33 αεροσκάφη/352 μηχανήματα στις 14/8). Η πυρκαγιά Καστελλόν σταθεροποιήθηκε νωρίτερα. | Εισήλθε σε capacidad de extinción στις 14/8/2026. Στις 15/8 08:30 CEST ακόμη ενεργό σε ανατολικό τομέα (Status Operacional 2). Επιχειρησιακή εκτίμηση επηρεαζόμενης έκτασης &gt;38.000 ha· τελικά καμένη αναμένεται χαμηλότερη. Δυνάμεις 14/8: 875 προσωπικό, 33 εναέρια, 352 οχήματα. Αιτία: άγνωστη. | Πυρκαγιά Niebla (Huelva): εκδήλωση 06/08, στις 16/08 παρέμενε σε Situación Operativa 2 με ενεργό ανατολικό μέτωπο. Αιτία δεν έχει επίσημα ανακοινωθεί. Ώρα πλήρους κατάσβεσης αναπόφευκτη. | Niebla: εκδηλώθηκε 2026-08-06, σταθεροποιήθηκε 2026-08-16· Tírig/Καστελλόν: οριοθετήθηκε 2026-08-12 10:52· συνολικά ~38.810 ha (38.000 Niebla + 810 Tírig)· αιτία αγνώστη | Πυρκαγιά Niebla/Huelva: σταθεροποίηση 16/08/2026. Περίμετρος ~210 χλμ. Συνολικά καμένα στρέμματα Ισπανία 2026: ~291.191 ha (206% πάνω από εικοσαετή μέσο όρο). Αιτία αφορά Huelva – αιτία Castellón δεν εντοπίστηκε.</t>
  </si>
  <si>
    <t>Nieblá — Huelva</t>
  </si>
  <si>
    <t>Andalucia</t>
  </si>
  <si>
    <t>Huelva</t>
  </si>
  <si>
    <t>Nieblá</t>
  </si>
  <si>
    <t>https://gr.euronews.com/my-europe/2026/08/09/mainontai-oi-pyrkagies-se-ouelva-kai-kastegion-katoikoi-egkataleipoun-ta-spitia-toys ; https://www.eldiario.es/andalucia/huelva/aumentan-600-efectivos-combaten-incendio-niebla-voracidad-peligrosa-bomberos_1_13437404.html ; https://www.eldiario.es/andalucia/huelva/incendio-niebla-sigue-fuera-control-obliga-actuar-ume-inestabilidad-provoca-viento_1_13435431.html ; https://www.moncloa.com/2026/08/10/incendio-niebla-huelva-ume-nivel-2-3413081/ ; https://www.infobae.com/espana/2026/08/09/el-incendio-forestal-de-niebla-en-huelva-ya-afecta-a-8000-hectareas-mientras-467-personas-siguen-desalojadas/ ; https://gr.euronews.com/my-europe/2026/08/09/mainontai-oi-pyrkagies-se-ouelba-kai-kastegion-katoikoi-egkataleipoun-ta-spitia-toys ; https://tecnobosque.es/analisis-tecnico-incendio-de-niebla-huelva/ ; https://www.infobae.com/espana/2026/08/11/el-fuego-de-niebla-ya-supera-las-25000-hectareas-y-mantiene-a-681-personas-desalojadas-sigue-siendo-muy-complejo-y-peligroso/ ; https://www.infobae.com/espana/2026/08/10/el-incendio-forestal-de-niebla-en-huelva-arrasa-8000-hectareas-y-mantiene-a-474-vecinos-desalojados/ ; https://www.elsaltodiario.com/incendios-forestales/incendio-niebla-huelva-fuera-capacidad-extincion-arrasa-20-000-hectareas ; https://www.infobae.com/espana/2026/08/13/el-incendio-de-niebla-huelva-pierde-fuerza-tras-arrasar-31000-hectareas-y-dejar-a-700-vecinos-desalojados/ ; https://www.elindependiente.com/futuro/medio-ambiente/2026/08/14/el-fuego-de-niebla-en-huelva-entra-en-capacidad-de-extincion-y-se-consolida-el-40-del-de-huesca/ ; https://www.thespanisheye.com/2026/08/16/huelva-wildfire-finally-stabilised-after-10-days-as-hundreds-of-evacuees-allowed-home/ ; https://www.africanews.com/2026/08/11/spains-huelva-blaze-threatens-homes-800-evacuated-amid-severe-drought/</t>
  </si>
  <si>
    <t>&gt;40.000 ha· κάτοικοι εγκαταλείπουν σπίτια | Πραγματική έναρξη 6 Αυγ. 2026 στην περιοχή Raboconejo. Επίπεδο 2 έκτακτης ανάγκης (10 Αυγ.). ΜΜΕ-αρωγή: UME με 113 μέλη ενεργοποιήθηκε. Συνολικά 600 πυρ/στές (αρχική τιμή 150 ήταν ημέρα έναρξης καταγραφής). 467 άτομα σε εκκένωση. Πηγές 9-10 Αυγ. αναφέρουν 8.000–20.000 ha — το καταγεγραμμένο 40.000 ha πιθανόν από μεταγενέστερη/άλλη εκτίμηση. | Εκκίνηση 2026-08-06 στο Raboconejo, Niebla. Στις 2026-08-12 ακόμα ενεργή, ~25.000 ha επιβεβαιωμένα (έναντι 40.000 εκτιμώμενων). Χαρακτηρίστηκε «fuera de capacidad de extinción». 681 άτομα εκκενώθηκαν. | Ξεκίνησε 2026-08-06, Raboconejo. Copernicus 09/08: 6.456,7 ha. 31.000 ha (13/08). Αιτία: δεν επιβεβαιώθηκε. | Πυρκαγιά εκκίνησε 6/8/2026 στη Raboconejo (βόρεια Niebla). Εκτός ικανότητας κατάσβεσης από 10/8 λόγω συναγωγικής συμπεριφοράς (convective behavior). Στις 14/8 δεν θεωρείται πλέον εκτός ικανότητας αλλά παραμένει ενεργή (ΕΚ2). Εκτιμώμενη καμένη έκταση &gt;38.000 ha (πραγματική χαμηλότερη). Αιτία αδιευκρίνιστη. | Εισήλθε σε capacidad de extinción στις 14/8/2026. Στις 15/8 08:30 CEST ακόμη ενεργό σε ανατολικό τομέα (Status Operacional 2). Επιχειρησιακή εκτίμηση επηρεαζόμενης έκτασης &gt;38.000 ha· τελικά καμένη αναμένεται χαμηλότερη. Δυνάμεις 14/8: 875 προσωπικό, 33 εναέρια, 352 οχήματα. Αιτία: άγνωστη. | Εκδήλωση 06/08 στο Raboconejo. Στις 16/08 08:35 CEST παρέμενε σε Situación Operativa 2 (ενεργό ανατολικό μέτωπο, φάση σταθεροποίησης βόρεια/κεντρικά). Εκτιμώμενο λειτουργικό εμβαδόν &gt;38.000 ha (τελική καμένη σημαντικά μικρότερη). Αιτία δεν έχει επίσημα ανακοινωθεί. | Σταθεροποιήθηκε (estabilizado) 16/8 ώρα 10:30· δεν κηρύχθηκε επίσημα «υπό έλεγχο» ανά 17/8 08:10 — σε φάση εκκαθάρισης/παρακολούθησης. Τεχνική ανάλυση Tecnobosque: ~38.000 ha εντός περιμέτρου 210 km· η Junta διευκρινίζει ότι η πραγματικά καμένη έκταση είναι χαμηλότερη. Αιτία δεν έχει δημοσιοποιηθεί. | Ξεκίνησε 06/08/2026 στο Raboconejo, Niebla. Σταθεροποίηση 16/08/2026 (10 ημέρες). Εκκένωση ~800 κατοίκων. Ακραία ξηρασία, άνεμοι NW, ραβδωτές χαράδρες. Δεν κηρύχθηκε 'ελεγχόμενη' ως 16/08.</t>
  </si>
  <si>
    <t>Νιέβλα</t>
  </si>
  <si>
    <t>Ανδαλουσία - Ουέλβα</t>
  </si>
  <si>
    <t>6 τεχνικοί επιχειρήσεων + 4 τεχνικοί κατάσβεσης + κινητή μετεωρολογική μονάδα + ιατρική μονάδα</t>
  </si>
  <si>
    <t>https://gr.euronews.com/my-europe/2026/08/09/mainontai-oi-pyrkagies-se-ouelva-kai-kastegion-katoikoi-egkataleipoun-ta-spitia-toys ; https://www.euronews.com/my-europe/2026/08/09/fires-in-huelva-and-castellon-force-evacuation-of-hundreds-of-residents ; https://euroweeklynews.com/2026/08/09/467-forced-from-their-homes-as-massive-wildfire-sweeps-across-huelva/ ; https://sana.sy/en/international/2335126/ ; https://www.spainenglish.com/2026/08/10/hundreds-evacuated-as-fierce-huelva-wildfire-continues-to-defy-firefighters/ ; https://www.thespanisheye.com/2026/08/10/dangerous-huelva-wildfire-becomes-one-of-andalucias-most-devastating-this-century/ ; https://tecnobosque.es/analisis-tecnico-incendio-de-niebla-huelva/ ; https://www.infobae.com/espana/2026/08/13/el-incendio-de-niebla-huelva-pierde-fuerza-tras-arrasar-31000-hectareas-y-dejar-a-700-vecinos-desalojados/ ; https://www.elindependiente.com/futuro/medio-ambiente/2026/08/14/el-fuego-de-niebla-en-huelva-entra-en-capacidad-de-extincion-y-se-consolida-el-40-del-de-huesca/</t>
  </si>
  <si>
    <t>Έναρξη 6 Αυγούστου 2026. Καμένα ~4.000 ha στις 8 Αυγ (αυξήθηκαν σε ~8.000 ha ως 9 Αυγ). Εκκένωση ~400-467 ατόμων από Berrocal, El Membrillo, El Pozuelo, Marigenta. Συνεχείς μεταβολές ανέμου δυσχέραναν επιχειρήσεις. Ισπανία-ΕΕ. | Μία εκ των πλέον καταστροφικών πυρκαγιών Ανδαλουσίας 21ου αι.· εκδηλώθηκε 6/8/2026 στο Paraje de Raboconejo· η τιμή 8.000 ha αφορά κατάσταση ~10/8/2026 (αρχική 4.000 ha)· δεν είχε τεθεί υπό έλεγχο έως 11/8/2026. | Πυρκαγιά ξεκίνησε 2026-08-06, Raboconejo, βόρεια Niebla. Copernicus 09/08: 6.456,7 ha. Τελική έκταση 31.000 ha (13/08, ασθενέστερη). 718 εκκενωθέντες συνολικά. Αιτία: δεν επιβεβαιώθηκε. | Στιγμιότυπο 8/8: ~8.000 ha. Πυρκαγιά εκκίνησε 6/8/2026 (Raboconejo, Niebla, Huelva) και επεκτάθηκε σε &gt;38.000 ha έως 14/8/2026 παραμένοντας ενεργή (INFOCA ΕΚ2). | Εισήλθε σε capacidad de extinción στις 14/8/2026. Στις 15/8 08:30 CEST ακόμη ενεργό σε ανατολικό τομέα (Status Operacional 2). Αρχική εκτίμηση 8.000 ha (8/8) — έκταση εξελίχθηκε σε 31.000 ha (13/8). Επιχειρησιακή εκτίμηση επηρεαζόμενης έκτασης &gt;38.000 ha· τελικά καμένη αναμένεται χαμηλότερη. Δυνάμεις 14/8: 875 προσωπικό, 33 εναέρια, 352 οχήματα. Αιτία: άγνωστη. | Πυρκαγιά εκδηλώθηκε 06/08. Στις 13/08 καμένη έκταση ~31.000 ha (681 εκτοπισμένοι). Στις 16/08 παρέμενε σε Situación Operativa 2 με ενεργό ανατολικό μέτωπο. Αιτία δεν έχει επίσημα ανακοινωθεί. | Ίδια πυρκαγιά με εγγραφή 2026-08-09 Nieblá-Huelva (snapshot διαφορετικής ημέρας). Σταθεροποιήθηκε 16/8 ώρα 10:30· σε φάση εκκαθάρισης/παρακολούθησης ανά 17/8. Τελική καμένη έκταση χαμηλότερη των 31.000 ha (περίμετρος) κατά Junta. Αιτία δεν έχει δημοσιοποιηθεί.</t>
  </si>
  <si>
    <t>Τίριγκ - Καστελλόν</t>
  </si>
  <si>
    <t>Κοινότητα Βαλένθιας - Καστελλόν</t>
  </si>
  <si>
    <t>Τίριγκ / Κατί</t>
  </si>
  <si>
    <t>50 επίγειες μονάδες</t>
  </si>
  <si>
    <t>Κεραυνοί (εργαζόμενη υπόθεση - Seprona υπό διερεύνηση)</t>
  </si>
  <si>
    <t>https://gr.euronews.com/my-europe/2026/08/09/mainontai-oi-pyrkagies-se-ouelva-kai-kastegion-katoikoi-egkataleipoun-ta-spitia-toys ; https://www.euronews.com/my-europe/2026/08/09/fires-in-huelva-and-castellon-force-evacuation-of-hundreds-of-residents ; https://www.democrata.es/en/current-events/fires-today-in-spain-confinement-in-castellon-and-emergency-due-to-the-fire-in-niebla/amp/ ; https://ca.news.yahoo.com/spain-firefighters-confront-intense-flames-212909587.html ; https://www.eldiario.es/comunitat-valenciana/medios-aereos-incorporan-incendio-forestal-tirig-castellon-quemado-ahora-684-hectareas_1_13437532.html ; https://www.elespanol.com/valencia/sucesos/20260810/vecinos-evacuados-cati-incendio-tirig-castellon-pueden-volver-casas-sin-ninguna-restriccion/1003744348992_0.html ; https://www.infobae.com/espana/agencias/2026/08/11/controlado-el-incendio-de-tirig-castellon-tras-calcinar-mas-de-800-hectareas/ ; https://www.vozpopuli.com/espana/el-incendio-de-niebla-sigue-sin-control-se-da-por-estabilizado-el-de-castellon-y-se-mantienen-las-evacuaciones-en-segovia.html ; https://www.castelloninformacion.com/ncendio-forestal-tirig-estabilizado/ ; https://castellondiario.com/el-incendio-forestal-de-tirig-queda-controlado-y-se-rebaja-el-nivel-de-emergencia/ ; https://www.esdiario.com/comunidad-valenciana/castellon/260811/195214/incendio-tirig-queda-controlado-cuatro-dias-lucha-fuego.html</t>
  </si>
  <si>
    <t>Έναρξη Παρασκευή 7 Αυγούστου 2026 απόγευμα. Ενεργή στις 8 Αυγ. Εκκένωση ~700 κατοίκων δήμου Κατί. Αεροπυροσβεστικά δεν μπόρεσαν να επιχειρήσουν αρχικά λόγω ισχυρών ριπών. Ισπανία-ΕΕ. | Αναθεωρημένη τελική έκταση 754 ha (404 Tírig + 350 Catí, 617 ha δασική). Υποβάθμιση σε situación 1 στις 10/8. Κάτοικοι Catí επέστρεψαν χωρίς περιορισμούς. | Σταθεροποίηση 2026-08-10 16:42· τελικός έλεγχος (controlado) 2026-08-11 10:52· εκ των 810 ha, 617 ha δασική έκταση· άρθηκαν όλες οι εκκενώσεις 10/08 βράδυ· αιτία κεραυνός (εργαζόμενη υπόθεση Seprona, επιβεβαιώθηκε ηλεκτρική καταιγίδα). | Αρχική αναφορά 810 ha ήταν ενδιάμεσο μέγεθος κατά την τρίτη νύχτα. Σταθεροποίηση (estabilizado) 10/8/2026· ανύψωση εκκένωσης Κατί ~13:00. Πλήρης έλεγχος (controlado) 11/8/2026· τελική καμένη έκταση 754 ha, περίμετρος 22,8 km. UME αποχώρησε μετά σταθεροποίηση. | Οριοθετήθηκε 11 Αυγ. 2026 στις 10:52 (4η ημέρα). Τελική έκταση 754 εκτ.: 404 στο Tírig + 350 στο Catí. Εκκένωση &gt;700 κατοίκων. Κατά την οριοθέτηση δεν είχε πλήρως κατασβεστεί — αναμενόταν νεότερη ανακοίνωση.</t>
  </si>
  <si>
    <t>Mizerieux Wildfire</t>
  </si>
  <si>
    <t>Ain, Γαλλία</t>
  </si>
  <si>
    <t>Mizerieux</t>
  </si>
  <si>
    <t>https://www.cnn.com/2026/08/10/climate/europe-heatwave-wildfire-intl-hnk</t>
  </si>
  <si>
    <t>Εκδηλώθηκε 7/8, αναφέρθηκε 10/8/2026, ενεργή κατά την αναφορά. Εντάσσεται στο ευρωπαϊκό κύμα πυρκαγιών καλοκαίρι 2026. | Αναφορά 10/8 σε ανάλυση CNN για το ευρωπαϊκό κύμα πυρκαγιών καλοκαιριού 2026. Κατάσταση: ενεργό έως 10/8. | Εκκίνηση 7/8, αναφέρθηκε 10/8. Ενεργή έως τουλάχιστον 10/8. Κύμα θερμότητας καλοκαιριού 2026. | Ανεφέρθη 10/08/2026, ενεργό κατά την αναφορά. Πλαίσιο: ευρωπαϊκό θερμικό κύμα καλοκαιρίου 2026. | Αναφερόμενο 10/8/2026, ενεργό έως τότε. Εντάσσεται στο ευρωπαϊκό κύμα πυρκαγιών καλοκαιριού 2026. | Αναφέρθηκε 10/8/2026 ως ενεργό. Εντάσσεται στο ευρύτερο κύμα πυρκαγιών Ευρώπης καλοκαίρι 2026 (JRC: συνολική καμένη έκταση ΕΕ 2026 &gt; 2025 αντίστοιχης περιόδου). | Αναφέρθηκε 10/8/2026 ως ενεργή (ongoing as of Aug 10). Εντάσσεται στο κύμα πυρκαγιών ΕΕ καλοκαίρι 2026 (αυξημένη δραστηριότητα vs 2025 — έκθεση JRC 12/8). | Αναφέρθηκε 10 Αυγ 2026. Εντάσσεται στο κύμα πυρκαγιών καλοκαιριού 2026 στην Ευρώπη. JRC (12 Αυγ): καμένη έκταση ΕΕ 2026 υπερβαίνει ήδη αντίστοιχη περίοδο 2025.</t>
  </si>
  <si>
    <t>Niebla, Huelva, Ισπανία</t>
  </si>
  <si>
    <t>https://currentwildfires.com/en/fire/wildfire-near-niebla-es-2026-2/ ; https://news.am/en/news/1054452 ; https://www.techtimes.com/articles/323557/20260807/donana-wildfire-emergency-spains-record-season-reaches-UNESCO-site-nearing-collapse.htm ; https://euroweeklynews.com/2026/08/09/467-forced-from-their-homes-as-massive-wildfire-sweeps-across-huelva/ ; https://sana.sy/en/international/2335126/ ; https://www.thespanisheye.com/2026/08/11/huelva-wildfire-dangerous-blaze-reaches-sevilla-as-police-probe-cigarette-butt-theory-and-army-reinforcements-sent/ ; https://www.thespanisheye.com/2026/08/08/wildfire-in-huelva-is-out-of-control-army-is-called-in-as-level-2-emergency-declared/ ; https://www.infobae.com/espana/2026/08/13/el-incendio-de-niebla-huelva-pierde-fuerza-tras-arrasar-31000-hectareas-y-dejar-a-700-vecinos-desalojados/ ; https://www.democrata.es/en/current-events/fires-in-spain-today-august-14-fog-worsens-in-aznalcollar-and-the-fire-in-huesca-threatens-san-juan-pena/ ; https://www.telecinco.es/noticias/andalucia/20260815/ultima-hora-incendio-niebla-huelva-desalojados_18_019958529.html ; https://www.elindependiente.com/futuro/medio-ambiente/2026/08/14/el-fuego-de-niebla-en-huelva-entra-en-capacidad-de-extincion-y-se-consolida-el-40-del-de-huesca/ ; https://www.euronews.com/video/2026/08/11/spains-huelva-blaze-threatens-homes-800-evacuated-amid-severe-drought</t>
  </si>
  <si>
    <t>Ξεκίνησε 07/08, άνεμοι 40-50 km/h. ~4.000 ha (08/08) → ~8.000 ha (09/08) → 20.784 ha (10/08 satellite). 467 εκκενωθέντες (283 από Berrocal). Κοντά σε UNESCO Doñana. Ανεπίσημη αρχική καμένη έκταση δεν έχει τεκμηριωθεί αμιγώς για 07/08. | Πυρκαγιά άρχισε 06/08/2026. Η μεγαλύτερη πυρκαγιά στη σύγχρονη ιστορία της Ισπανίας. Επεκτάθηκε στην επαρχία Σεβίλλης έως 11/08. ~800 εκτοπισμένοι. UME κινητοποιήθηκε. Παρέμεινε ενεργή έως τουλάχιστον 11/08/2026. | Τελευταία επιβεβαιωμένη έκταση (Aug 13): 31.000+ ha — ξεπέρασε την αρχική εκτίμηση 25.000 ha. Ενεργή στις 14/8, επεκτείνεται και σε τμήμα επαρχίας Σεβίλλης (Aznalcóllar). Αρχή πυρκαγιάς: 6 Αυγούστου 2026, παραχή Raboconejo, Niebla. ~718 εκκενωμένοι κάτοικοι (Huelva+Seville). | Πυρκαγιά ξεκίνησε 06/08 στην περιοχή Raboconejo. Εισήλθε σε δυνατότητα κατάσβεσης 14/08. Δεν εξελίχθηκε σε κανένα μέτωπο κατά τη νύχτα 14–15/08 (πρώτη φορά από έναρξης). Επέστρεψαν 114 εκκενωθέντες. Εξακολουθούν ενεργά hot spots ανατολικού τομέα (El Álamo–Aznalcóllar). Ανακεφαλαιωτικά δυνάμεις (15/08): 1.116 εφόδιμα, 337 επίγεια μέσα (incl. 21 autobomba + 18 βαριά μηχανήματα), 33 αεροσκάφη. Αιτία: υπό διερεύνηση (ύποπτο τσιγάρο – Guardia Civil/BIIF). Εισήλθε στην επαρχία Σεβίλης (Aznalcóllar).</t>
  </si>
  <si>
    <t>Lanton — Gironde</t>
  </si>
  <si>
    <t>Nouvelle-Aquitaine</t>
  </si>
  <si>
    <t>Gironde</t>
  </si>
  <si>
    <t>Lanton</t>
  </si>
  <si>
    <t>https://www.nytimes.com/2026/08/06/world/europe/europe-war-wildfires-migration.html</t>
  </si>
  <si>
    <t>Burgohondo - Ávila</t>
  </si>
  <si>
    <t>Castilla y León, Ισπανία</t>
  </si>
  <si>
    <t>Burgohondo</t>
  </si>
  <si>
    <t>σπινθήρες από μηχάνημα χωρίς εξουσιοδότηση/πυροπροστασία — σύλληψη 1 ατόμου, Guardia Civil ερευνά 2ο</t>
  </si>
  <si>
    <t>https://www.mappr.co/europe-wildfires-map/ ; https://www.nbcnews.com/data-graphics/europe-france-spain-wildfire-2026-maps-charts-photos-data-visuals-rcna589822 ; https://www.bloomberg.com/graphics/2026-europe-summer-wildfires/ ; https://en.wikipedia.org/wiki/2026_Spain_wildfires ; https://en.ara.cat/environment/16-000-evacuated-due-to-fire-in-castellon-while-madrid-fire-continues-out-of-control_1_5809166.html ; https://www.infobae.com/espana/2026/08/06/estabilizado-el-incendio-de-burgohondo-avila-tras-quince-dias-activos-y-mas-de-50000-hectareas-afectadas/ ; https://www.telemadrid.es/noticias/sociedad/El-incendio-de-Burgohondo-Avila-seguira-activo-al-menos-un-mes-mas-0-2913308671--20260804072224.html ; https://en.lacotorra.io/post/burgohondo-wildfire-becomes-largest-in-spains-recorded-history-as-over-83000-hectares-burn ; https://www.elconstitucional.es/en/national/wildfires-have-already-left-more-than-208000-hectares-burned-in-spain-and-the-burgohondo-fire-becomes-the-largest-in-its-history_6608_102.html</t>
  </si>
  <si>
    <t>Μεγαλύτερη πυρκαγιά στην ιστορία Ισπανίας. Πυρκαγιές Ávila-Toledo-Madrid συνενώθηκαν σε ~80.000 ha έως 29/7. Περίμετρος 160 χλμ. Ακόμη ενεργή στις αρχές Αυγούστου κατά EFFIS (498.823 ha συνολικά ΕΕ έως 6/8/2026 από 1.514 πυρκαγιές). | Εθνική κατάσταση έκτακτης ανάγκης για Μαδρίτη, Ávila, Toledo άρθηκε 30/07/2026. Κατά 05/08 η πυρκαγιά σε φάση εκκαθάρισης εστιών (χαμηλότερος βαθμός συναγερμού). 63.152 εκτοπισμένοι συνολικά. Εκδηλώθηκε ~22/07/2026 (NASA). | Εκδήλωση: 2026-07-22 ~13:00. Σταθεροποιήθηκε 2026-08-06 (15η ημέρα) — περίμετρος 160 km, &gt;50.000 ha. Μεγαλύτερη δασική πυρκαγιά στην ιστορία Ισπανίας. Αναμένεται &gt;1 μήνας για πλήρη κατάσβεση. Εκκενώσεις χωριών, ανακηρύχθηκε εθνική έκτακτη ανάγκη (Ávila/Madrid/Toledo).</t>
  </si>
  <si>
    <t>Πυρκαγιά Provence (Var)</t>
  </si>
  <si>
    <t>Provence-Alpes-Côte d'Azur, Γαλλία</t>
  </si>
  <si>
    <t>Montfort-sur-Argens / Carcès / Correns</t>
  </si>
  <si>
    <t>Ισχυροί άνεμοι, ξηρή βλάστηση και ακραίες θερμοκρασίες (&gt;35°C) — φυσικά μετεωρολογικά αίτια</t>
  </si>
  <si>
    <t>https://www.pbs.org/newshour/world/europes-hot-dry-summer-takes-its-toll-with-fires-in-france-and-greece-and-drought-in-the-uk ; https://www.connexionfrance.com/news/france-wildfires-var-blaze-spread-stops-after-burning-1800-hectares/805828 ; https://www.france24.com/en/europe/20260722-fast-moving-wildfire-forces-hundreds-of-evacuations-in-southern-france</t>
  </si>
  <si>
    <t>Τεκμηριώθηκε από Yutori Scout email 4/8/2026 (περ. πυρκαγιές 3 Αυγ). ~18 τ.χλμ. = ~1.800 ha. 1.500 πυροσβέστες. Δεν είχε περιεχθεί στις 3/8. Η κατάσταση στις 5/8 συνάγεται από συνέχεια κρίσης. | Περίμετρος σταθεροποιήθηκε πρωί 2/8/2026 (Préfet du Var)· 4 Canadair + 2 Dash (σταθερής πτέρυγας) + 5 ελικόπτερα· εκκενώσεις αρθείσαν 2/8/2026· επιχειρήσεις σε θερμά σημεία συνεχίστηκαν. | Επέκταση πυρκαγιάς σταμάτησε το πρωί Κυριακής 2/8/2026. Πυρκαγιά παρέμεινε ενεργή με εστίες χωρίς νέα επέκταση περιμέτρου κατά τη δήλωση νομάρχη. Εναέρια: 4 Canadair + 2 Dash αεροσκάφη + 5 ελικόπτερα. Εκκενώθηκαν ~400 κάτοικοι από Cotignac, Montfort-sur-Argens, Correns, Sillans-la-Cascade, Pontevès. Διοικητής E. Grohin: «καμία μεταβολή στην περίμετρο».</t>
  </si>
  <si>
    <t>Boschhuizerbergen / Rosmolen</t>
  </si>
  <si>
    <t>Noord-Limburg</t>
  </si>
  <si>
    <t>Venray</t>
  </si>
  <si>
    <t>άγνωστη</t>
  </si>
  <si>
    <t>NL-Alert εκδόθηκε· εκκένωση Camping De Oude Barrier + 4 κατοικίες προς Hotel Asteria Venray</t>
  </si>
  <si>
    <t>https://www.dutchnews.nl/2026/08/wildfire-breaks-out-in-limburg-train-services-halted/ ; https://www.dutchnews.nl/2026/08/limburg-wildfire-spreads-across-100-hectares-overnight/ ; https://nltimes.nl/2026/08/04/video-limburg-wildfire-now-covering-100-hectares-nl-alert-still-effect ; https://nltimes.nl/2026/08/04/changing-winds-thunderstorms-tense-hours-ahead-firefighters-fighting-limburg-blaze ; https://www.euronews.com/my-europe/2026/08/04/forest-fire-spreads-in-southern-netherlands-nature-reserve-authorities-say ; https://www.vrln.nl/nieuwsbericht/natuurbrand-oostrum-natuurgebied-de-rosmolen ; https://www.pbs.org/newshour/world/europes-hot-dry-summer-takes-its-toll-with-fires-in-france-and-greece-and-drought-in-the-uk ; https://www.dutchnews.nl/2026/08/bomb-disposal-experts-called-in-at-limburg-wildfire/ ; https://www.prokerala.com/news/articles/a1796933.html ; https://nltimes.nl/2026/08/06/pm-jetten-thanks-firefighters-site-limburg-wildfire-train-traffic-restarts ; https://www.dutchnews.nl/2026/08/limburg-wildfire-wiped-out-rare-juniper-shrubland/ ; https://nltimes.nl/2026/08/12/around-25-juniper-bushes-remain-wildfire-oostrum-nature-reserve</t>
  </si>
  <si>
    <t>Δύο Chinook Υπ. Άμυνας ~7.600 lt/εκτόξευση (εκκίνηση 4/8 08:30). Ενισχύσεις Βελγίου, Utrecht, IJsselland. Αναστολή τρένων Venray–Nijmegen. Καπνός ως Φρισλανδία, Δρένθε, Χέλντερλανδ, Kleve (DE). Φωτιά στις κορυφές δέντρων, μεταβαλλόμενοι άνεμοι. Υπό έλεγχο 8/8 — χωρίς θύματα/ζημιές κτιρίων. | Εκδηλώθηκε 3/8/2026 (~1 ha)· έφτασε 100 ha πρωί 4/8/2026· τέθηκε υπό έλεγχο μετά 7/8/2026 αλλά δεν κατασβέστηκε πλήρως· κλήθηκαν ειδικοί EOD (αδρανοποίησης πυρομαχικών) λόγω αδέσποτων βομβών Β' Παγκοσμίου Πολέμου στο έδαφος. | Πυρκαγιά ξεκίνησε 3/8/2026. Η φωτιά περιορίστηκε εντός αντιπυρικών ζωνών ως τις 6/8 (επαναλειτουργία σιδηροδρόμου, επίσκεψη ΠΘ Jetten). Ενεργές εστίες (hotspots) παρέμεναν τουλάχιστον έως 12/8. Κλήθηκε Υπηρεσία Εξουδετέρωσης Εκρηκτικών (EOD/Defensie) λόγω πιθανών πυρομαχικών Β΄ΠΠ. Κατεστράφη σπάνιος θαμνώνας αρκεύθου Natura 2000 (Boschhuizerbergen/Oostrum): επέζησαν ~100 από 4.000 θάμνους ηλικίας &gt;130 ετών. Αιτία παραμένει άγνωστη.</t>
  </si>
  <si>
    <t>Castilla y León / Comunidad de Madrid / Castilla-La Mancha</t>
  </si>
  <si>
    <t>Αδειοδότητος εκσκαφέας σε δασικό δρόμο (επαρχία Ávila)</t>
  </si>
  <si>
    <t>https://www.aljazeera.com/news/2026/7/25/wildfires-in-spain-and-france-force-evacuation-of-200000-people ; https://www.france24.com/en/live-news/20260724-firefighters-race-to-stop-wildfires-merging-near-madrid ; https://en.wikipedia.org/wiki/2026_Spain_wildfires ; https://www.mappr.co/europe-wildfires-map/ ; https://www.nuevaradio.org/2026/08/05/incendio-en-burgohondo-avila-permanece-bajo-control-sin-expansion-fuera-del-perimetro-y-sin-llamas-activas/ ; https://www.infobae.com/espana/2026/08/06/estabilizado-el-incendio-de-burgohondo-avila-tras-quince-dias-activos-y-mas-de-50000-hectareas-afectadas/ ; https://www.eldiario.es/castilla-y-leon/provincias/avila/estabilizado-incendio-burgohondo-avila-quince-dias-despues-inicio_1_13431916.html ; https://en.lacotorra.io/post/burgohondo-wildfire-becomes-largest-in-spains-recorded-history-as-over-83000-hectares-burn</t>
  </si>
  <si>
    <t>Επαρχία Ávila, εξαπλώθηκε Madrid &amp; Toledo. ~35.000 εκκενωθέντες. Μεγαλύτερη πυρκαγιά ιστορίας Ισπανίας (περίμετρος 160 χλμ). Διεθνής: Ελλάδα, Ιταλία, Πορτογαλία, Τουρκία, 50 Καταριανοί. Σταθεροποιήθηκε 6/8. | Χωρίς ενεργό μέτωπο/επέκταση εκτός περιμέτρου από 5/8· σταθεροποιήθηκε 6/8/2026. Πλήρης κατάσβεση αναμένεται σε ≥1 μήνα λόγω μεγέθους. &gt;50.000 ha επιβεβαιώθηκαν. | Πυρκαγιά εκδηλώθηκε 22/7/2026 στις 13:00 στη Burgohondo (Ávila). Σταθεροποιήθηκε (estabilizado) στις 09:00 της 6/8/2026 μετά 15 ημέρες ενεργού δραστηριότητας. Περίμετρος ~160 χλμ. Μεγαλύτερη πυρκαγιά στην ιστορία της Ισπανίας (&gt;50.000 ha). Η πλήρης κατάσβεση αναμένεται να απαιτήσει τουλάχιστον έναν επιπλέον μήνα επιτήρησης. Κατεστράφη φυσικό πάρκο Valle de Iruelas.</t>
  </si>
  <si>
    <t>Gros Bessillon – Correns / Montfort-sur-Argens</t>
  </si>
  <si>
    <t>Provence-Alpes-Côte d'Azur (Var)</t>
  </si>
  <si>
    <t>Correns</t>
  </si>
  <si>
    <t>Υπό διερεύνηση (αρχική αιτία αγνώστη) — 23χρονος κατηγορείται για εμπρησμό/επιδείνωση της πυρκαγιάς· τελικά κηρύχθηκε «fixé» μετά 18 ημέρες κινητοποίησης</t>
  </si>
  <si>
    <t>https://www.euronews.com/my-europe/2026/08/01/wildfires-in-europe-blazes-continue-to-spread-in-france-and-greece ; https://www.itv.com/news/2026-08-02/wildfire-near-bordeaux-contained-as-firefighters-fight-more-flames-in-provence ; https://www.france24.com/en/europe/20260803-europe-s-record-breaking-heat-sparks-wildfires-drought-in-france-greece-and-the-uk ; https://www.pbs.org/newshour/world/europes-hot-dry-summer-takes-its-toll-with-fires-in-france-and-greece-and-drought-in-the-uk ; https://www.rivieraradio.mc/article/var-wildfire-brought-under-control-after-eight-days-of-firefighting-5HjdfJZ_2/ ; https://www.franceinfo.fr/environnement/evenements-meteorologiques-extremes/incendies-et-feux-de-foret/incendie-dans-le-var-le-feu-du-gros-bessillon-est-fixe-apres-18-jours-de-mobilisation-des-pompiers_8138174.html ; https://presseagence.fr/correns-incendie-du-gros-bessillon-une-reprise-de-feu-contenue-mais-la-vigilance-reste-maximale/ ; https://www.france24.com/fr/france/20260807-feu-gros-bessillon-var-fix%C3%A9-apr%C3%A8s-18-jours-mobilisation ; https://www.franceinfo.fr/environnement/evenements-meteorologiques-extremes/incendies-et-feux-de-foret/incendie-dans-le-var-le-feu-du-gros-bessillon-est-fixe-apres-18-jours-d-une-mobilisation-inedite-des-pompiers_8139155.html ; https://www.ici.fr/provence-alpes-cote-d-azur/var-83/incendie-du-gros-bessillon-le-feu-est-fixe-annoncent-les-pompiers-et-le-prefet-du-var-2999722</t>
  </si>
  <si>
    <t>~6.000 εκκενωθέντες. 41 κτίρια κατεστραμμένα. 3.800 εναέριες ρίψεις νερού. Σύνολο δυνάμεων: 4.250 πυρ. Var + 6.870 ενισχύσεις + 100 Ευρωπαίοι + 200 χωρ. + 335 στρατ. μηχ. Τελική έκταση 5.700–6.300 εκτ. Μεγαλύτερη 6ήμερη πυρκαγιά στην ιστορία πυρ. Var. | Η πυρκαγιά κηρύχθηκε 'fixé' (σταθεροποιημένη) την 7η Αυγούστου 2026 μετά 18 ημέρες κινητοποίησης. Κατά τη φάση σταθεροποίησης παρέμεναν 450 πυροσβέστες επί τόπου για αποτροπή αναζωπυρώσεων. Εκκενώθηκαν ~6.000 κάτοικοι συνολικά. Επλήγησαν 70 κατοικίες, εκ των οποίων 41 κατεστράφησαν ολοσχερώς. Δήμοι που επλήγησαν: Pontevès, Correns, Cotignac, Carcès, Montfort-sur-Argens, Châteauvert, Barjols. | Έναρξη πυρκαγιάς: 21 Ιουλίου 2026 (Pontèves, Var). Κηρύχθηκε «fixé» (οριοθετήθηκε) στις 7 Αυγούστου μετά 18 ημέρες κινητοποίησης. Τελική καμένη έκταση Copernicus/pompiers: 6.300 ha (αρχικά εκτιμηθέντα 5.700 ha). Η κοινότητα Correns επλήγη με 52% της έκτασής της καμένη. 23χρονος κατηγορείται για εμπρησμό/επιδείνωση. Πλήρης κατάσβεση αναμενόταν αρκετές ημέρες μετά την οριοθέτηση.</t>
  </si>
  <si>
    <t>Var — Provence</t>
  </si>
  <si>
    <t>Provence-Alpes-Côte d'Azur</t>
  </si>
  <si>
    <t>Var</t>
  </si>
  <si>
    <t>https://www.theguardian.com/world/gallery/2026/aug/03/greece-battles-wildfires-in-pictures ; https://www.connexionfrance.com/news/france-wildfires-var-blaze-spread-stops-after-burning-1800-hectares/805828 ; https://en.wikipedia.org/wiki/2026_France_wildfires</t>
  </si>
  <si>
    <t>18 τ.χλμ. καμένα· 1.500 πυροσβέστες | 6 εναέρια (4 Canadair + 2 Dash-8) + 5 ελικόπτερα + πυροσβεστική μονάδα Παρισιού. 2.500 εκκενωθέντες. Εξάπλωση σταμάτησε 2 Αυγ. πρωί — περίμετρος αμετάβλητη. Περιοχή Gros Bessillon (Montfort-sur-Argens, Carcès, Correns). Αιτία αδιευκρίνιστη. Κακή χρονιά για Γαλλία: &gt;117.000 ha καμένα εθνικά το 2026.</t>
  </si>
  <si>
    <t>Πράστιο Κελλακίου</t>
  </si>
  <si>
    <t>Λεμεσός</t>
  </si>
  <si>
    <t>Κελλάκι</t>
  </si>
  <si>
    <t>υπό πλήρη έλεγχο</t>
  </si>
  <si>
    <t>Υπό πλήρη έλεγχο 3/8</t>
  </si>
  <si>
    <t>Limburg</t>
  </si>
  <si>
    <t>Gros Bessillon</t>
  </si>
  <si>
    <t>Αναζωπύρωση λόγω ανέμων Μιστράλ</t>
  </si>
  <si>
    <t>https://www.cbsnews.com/news/greece-wildfires-europe-evacuation-orders-france/ ; https://www.euronews.com/my-europe/2026/08/02/europes-wildfires-update-greece-still-battling-outbreaks-in-spain ; https://www.france24.com/fr/france/20260807-feu-gros-bessillon-var-fix%C3%A9-apr%C3%A8s-18-jours-mobilisation ; https://www.connexionfrance.com/news/firefighters-fear-var-blaze-could-reignite-arson-suspected/806282</t>
  </si>
  <si>
    <t>Εκδηλώθηκε 31/7, αναζωπύρωση 1–2/8 λόγω Μιστράλ. ~10 km² (1.000 ha) κάηκαν σε 6 ώρες. 1.300 πυροσβέστες. Ταυτόχρονα πυρκαγιά Gironde (42.000 ha) ήταν σχεδόν περιορισμένη με 2.500 εκτοπισμένους ακόμη στις 2/8. Ισπανία (Burgohondo/Ávila &gt;135.000 ha, La Mierla/Guadalajara 32.000 ha, Orés/Zaragoza 4.450 ha) περιορισμένες. Σύνολο καμένα ΕΕ 2026: ~464.344 ha (EFFIS/Euronews, ενημέρωση 1-8-2026). | Πυρκαγιά με αφετηρία 21/7 στο Pontevès· ελέγχθηκε 28/7· αναζωπυρώθηκε 31/7 λόγω Μιστράλ· σταθεροποιήθηκε ('fixée') στις 7/8/2026 μετά από 18 ημέρες επιχειρήσεων. Τελική καμένη έκταση ~6.300 ha. Εμπρησμός: 23χρονος συνελήφθη βάσει πλάνων κλειστής κυκλοφορίας.</t>
  </si>
  <si>
    <t>Φλόκα Δυτικής Αχαΐας</t>
  </si>
  <si>
    <t>Αχαΐα</t>
  </si>
  <si>
    <t>Δυτική Αχαΐα</t>
  </si>
  <si>
    <t>05:00 EEST εκκένωση Φλόκας προς Άρλα</t>
  </si>
  <si>
    <t>https://www.cretalive.gr/ ; https://www.naftemporiki.gr/ ; https://www.efsyn.gr/</t>
  </si>
  <si>
    <t>7 εναέρια μέσα (σύνθεση άγνωστη). Χάρτης κινδύνου 01/08 δεν ήταν διαθέσιμος (404).</t>
  </si>
  <si>
    <t>2026-08-01T00:00:00+03:00</t>
  </si>
  <si>
    <t>12:22</t>
  </si>
  <si>
    <t>Αυστρία–Γερμανία σύνορα</t>
  </si>
  <si>
    <t>https://www.deccanchronicle.com/lifestyle/environment/84000-evacuees-head-home-in-france-as-europe-battles-wildfire-blazes-1975420</t>
  </si>
  <si>
    <t>Ελικόπτερα και drones επιχειρούν. 31/7 12:22 EEST. | Χρήση drones και ελικοπτέρων.</t>
  </si>
  <si>
    <t>Αγία Παρασκευή</t>
  </si>
  <si>
    <t>Ενεργή</t>
  </si>
  <si>
    <t>Νότια Κρήτη. Ισχυροί άνεμοι.</t>
  </si>
  <si>
    <t>2026-08-01</t>
  </si>
  <si>
    <t>Άγιος Βασίλειος / Πόρτο Γερμενό</t>
  </si>
  <si>
    <t>Βοιωτία</t>
  </si>
  <si>
    <t>Θηβαίων</t>
  </si>
  <si>
    <t>08:19 EEST προειδοποίηση Προσήλι· 08:42 EEST εκκένωση Πόρτο Γερμενό· 254 κάτοικοι απομακρύνθηκαν διά θαλάσσης από Άγιο Βασίλειο</t>
  </si>
  <si>
    <t>https://www.ertnews.gr/eidiseis/fotia-sti-voiotia-ixise-to-112-se-prosili-kai-porto-germeno-epixeirisi-apomakrynsis-katoikon-dia-thalassis-ston-agio-vasilio/ ; https://www.newsit.gr/ellada/live-blog-fotia-voiotia-agios-vasilios-porto-germeno/4741174/</t>
  </si>
  <si>
    <t>Κύριο μέτωπο Βοιωτίας. 220+ πυροσβέστες. 254 κάτοικοι εκκενώθηκαν με πλοία.</t>
  </si>
  <si>
    <t>Κάρυστος / Αετός</t>
  </si>
  <si>
    <t>Εύβοια</t>
  </si>
  <si>
    <t>Εκκένωση προς Αετό</t>
  </si>
  <si>
    <t>https://www.newsit.gr/ellada/live-blog-fotia-voiotia-agios-vasilios-porto-germeno/4741174/</t>
  </si>
  <si>
    <t>Αγροδασική έκταση. Κατεστράφηκαν 1 κατοικία και 2 οχήματα.</t>
  </si>
  <si>
    <t>Εκκένωση ηλικιωμένων κατοίκων Κομποτίου</t>
  </si>
  <si>
    <t>Φωτιά εντός οικισμού Κομπότι Άρτας.</t>
  </si>
  <si>
    <t>Κυπαρίσσι Αταλάντης</t>
  </si>
  <si>
    <t>Φθιώτιδα</t>
  </si>
  <si>
    <t>Αταλάντη</t>
  </si>
  <si>
    <t>https://www.ertnews.gr/</t>
  </si>
  <si>
    <t>Πυρκαγιά σε χαμηλή βλάστηση, απόγευμα 31/07</t>
  </si>
  <si>
    <t>Νερατζιές – Αίγιο Αχαΐας</t>
  </si>
  <si>
    <t>Αίγιο</t>
  </si>
  <si>
    <t>ενεργή (01/08)</t>
  </si>
  <si>
    <t>01:07 EEST εκκένωση Νέου Ερινέου προς Εθν. Οδό Αθηνών-Πατρών· 01:10 EEST εκκένωση Αρραβωνίτσας προς Σελινιώτικα (Επαρχ. Οδός 28)</t>
  </si>
  <si>
    <t>https://www.skaikritis.gr/ ; https://www.ereportaz.gr/ ; https://www.newsbomb.gr/</t>
  </si>
  <si>
    <t>112 χτύπησε ξημερώματα 01/08. Danger level από χάρτη 30/07 (Αχαΐα πορτοκαλί).</t>
  </si>
  <si>
    <t>Ξηρονομή – Καλαμάκι – Πόρτο Γερμενό Βοιωτίας</t>
  </si>
  <si>
    <t>18</t>
  </si>
  <si>
    <t>εκκένωση Πόρτο Γερμενό, Μύτικα, Ψάθα → Αλεποχώρι &amp; Μέγαρα· εκκένωση Λιβαδόστρας</t>
  </si>
  <si>
    <t>https://www.ertnews.gr/eidiseis/ellada/vathrakogiannis-maxi-gia-tin-antimetopisi-73-pyrkagion-se-oli-ti-xora-oi-dyskoloteres-se-ksironomi-kai-kalamaki-voiotias/ ; https://www.newsit.gr/ellada/live-blog-fotia-voiotia-agios-vasilios-porto-germeno/4741174/ ; https://www.newsit.gr/4741706/ ; https://www.protothema.gr/1858475/ ; https://www.ertnews.gr/ ; https://www.businessdaily.gr/ ; https://www.dnews.gr/ ; https://www.athensvoice.gr/</t>
  </si>
  <si>
    <t>Χαρακτηρίστηκε ως μία από τις δυσκολότερες φωτιές 31/7 (αρχηγός ΠΣΕΑ Βαθρακογιάννης). | ~50.000 στρ. ≈ 5.000 ha. ~100 σπίτια κατεστραμμένα. 254 εκκενωθέντες δια θαλάσσης (31/7) + 12 (01/08). Έναρξη Καλαμάκι 31/07, επέκταση Πόρτο Γερμενό 01/08. | Χαρακτηρίστηκε από τον αρχηγό ΠΣΕΑ Βαθρακογιάννη ως μία από τις δυσκολότερες φωτιές 31/7.</t>
  </si>
  <si>
    <t>29 πεζοπόρες ομάδες</t>
  </si>
  <si>
    <t>ευρωπαϊκή αρωγή: 26 Ρουμάνοι + 23 Γάλλοι + λοιποί EU πυρ/στές (σύνολο ~245 EU μέσω ERCC)</t>
  </si>
  <si>
    <t>https://www.ertnews.gr/roi-idiseon/live-fotia-sti-dytiki-attiki-akomi-energo-to-metopo-apo-psatha-pros-loumpa-maxi-me-diaspartes-esties-kai-anazopyroseis/ ; https://www.ertnews.gr/roi-idiseon/pyrino-tokso-ston-kithairona-krisimes-ores-gia-veniza-ekkenonontai-kandili-kai-agia-skepi-pros-nea-peramo/ ; https://www.real.gr/koinonia/arthro/pyrkagia-sti-dytiki-attiki-veltiomeni-eikona-machi-me-diaspartes-esties-kai-anazopyroseis-stachti-pano-apo-134-000-stremmata-896655/ ; https://www.in.gr/2026/08/05/greece/fotia-sti-dytiki-attiki-synexizetai-gia-6i-mera-i-maxi-tis-katasvesis-krisimes-oi-epomenes-ores/ ; https://el.wikipedia.org/wiki/%CE%94%CE%B1%CF%83%CE%B9%CE%BA%CE%AD%CF%82_%CF%80%CF%85%CF%81%CE%BA%CE%B1%CE%B3%CE%B9%CE%AD%CF%82_%CF%83%CF%84%CE%B7%CE%BD_%CE%95%CE%BB%CE%BB%CE%AC%CE%B4%CE%B1_%CF%84%CE%BF_2026</t>
  </si>
  <si>
    <t>29 πεζοπόρες ομάδες. Διοίκηση μέσω ΚΕΠ OLYMPUS. Copernicus εκτίμηση (ενδιάμεση): 134.585 στρέμ. (≈13.460 ha) — συνδυασμένα Αττική+Βοιωτία. In.gr 6η ημέρα (5 Αυγ.): 144.243 στρέμ. (≈14.420 ha). Πυρκαγιά συνεχίστηκε τουλάχιστον 6 ημέρες (έως 5 Αυγ.). Αιτία υπό εξέταση (Κλιμάκιο Εμπρησμού). Εκκενώσεις Κανδήλι, Αγία Σκέπη → Νέα Πέραμο.</t>
  </si>
  <si>
    <t>Περιφερειακή Αιγάλεω</t>
  </si>
  <si>
    <t>Αιγάλεω</t>
  </si>
  <si>
    <t>Αστική-δασική διεπαφή κατά μήκος Περιφερειακής Αιγάλεω. Επίπεδο κινδύνου Αττική: 4 (31/7) → 5 ΣΥΝΑΓΕΡΜΟΥ (1/8).</t>
  </si>
  <si>
    <t>Ποικίλο Όρος – Αιγάλεω</t>
  </si>
  <si>
    <t>16:25 EEST εκκένωση Αφαίας και Άνω Δάσους Χαϊδαρίου προς Λεωφόρο Αθηνών / Περιστέρι</t>
  </si>
  <si>
    <t>https://www.ertnews.gr/ ; https://www.enikos.gr/ ; https://www.alfavita.gr/ ; https://www.naftemporiki.gr/</t>
  </si>
  <si>
    <t>Ασθενείς απομακρύνθηκαν από ψυχιατρείο Δαφνί. 5 αεροσκάφη + 6 ελικόπτερα = 11 εναέρια συνολικά.</t>
  </si>
  <si>
    <t>Φίχτια</t>
  </si>
  <si>
    <t>Αργολίδα</t>
  </si>
  <si>
    <t>Κατεστραμμένες κατοικίες κοντά στα Φίχτια Αργολίδας.</t>
  </si>
  <si>
    <t>Gros Bessillon — Var</t>
  </si>
  <si>
    <t>https://www.thetimes.com/travel/advice/wildfires-greece-crete-is-it-safe-to-travel-flrxcmxj2</t>
  </si>
  <si>
    <t>1.300 πυροσβέστες επιχειρούσαν</t>
  </si>
  <si>
    <t>Dunwich Heath</t>
  </si>
  <si>
    <t>Suffolk</t>
  </si>
  <si>
    <t>https://www.the-independent.com/life-style/europe-wildfire-turkey-portugal-france-spain-italy-b3024682.html</t>
  </si>
  <si>
    <t>Μεγάλης κλίμακας. Κήρυξη έκτακτης ανάγκης. ~90 πυροσβέστες.</t>
  </si>
  <si>
    <t>Suffolk – Dunwich Heath</t>
  </si>
  <si>
    <t>East of England</t>
  </si>
  <si>
    <t>~90 πυροσβέστες. Κήρυξη κατάστασης έκτακτης ανάγκης.</t>
  </si>
  <si>
    <t>Κυκλάδες</t>
  </si>
  <si>
    <t>Εκκένωση 14:31 EEST Παλαιόπολη· 16:30+ EEST Κολυμβός | 14:31 EEST εκκένωση Παλαιόπολης· 16:30 EEST εκκένωση Κολυμπού</t>
  </si>
  <si>
    <t>https://www.protothema.gr/greece/article/1858229/fotia-tora-stin-andro-112-gia-ekkenositis-palaiopolis/ ; https://www.protothema.gr/1858229/</t>
  </si>
  <si>
    <t>Καίει χαμηλή βλάστηση. Εκκενώσεις Παλαιόπολη και Κολυμβός. | Πυρκαγιά σε χαμηλή βλάστηση</t>
  </si>
  <si>
    <t>Castellón</t>
  </si>
  <si>
    <t>Comunitat Valenciana</t>
  </si>
  <si>
    <t>https://www.euronews.com/my-europe/2026/08/02/europes-wildfires-update-greece-still-battling-outbreaks-in-spain</t>
  </si>
  <si>
    <t>Αγερανός Γυθείου</t>
  </si>
  <si>
    <t>Λακωνία</t>
  </si>
  <si>
    <t>Υπό έλεγχο</t>
  </si>
  <si>
    <t>κεραυνός (μεταξύ Τοριζά και Καταφύγιο)</t>
  </si>
  <si>
    <t>Εστάλη σήμα 112 για εκκένωση</t>
  </si>
  <si>
    <t>https://watchers.news/2026/07/30/3-firefighters-confirmed-dead-wildfires-prompt-category-4-fire-risk-in-greece/ ; https://www.ekathimerini.com/news/1310967/three-firefighters-dead-villages-evacuated-as-wildfires-rip-through-tinder-dry-forests/ ; https://www.skai.gr/ ; https://www.news.gr/ ; https://www.argolidaportal.gr/</t>
  </si>
  <si>
    <t>1 πυροσβέστης νεκρός (29/7) στον Αγερανό. Η φωτιά Γύθειο (48 πυροσβέστες κ.λπ.) ήταν υπό έλεγχο τη στιγμή του θανάτου. Επίπεδο κινδύνου Λακωνία 29/7: 3–4. | 1 νεκρός πυροσβέστης 27 ετών</t>
  </si>
  <si>
    <t>Νέα Κρύα Βρύση / Ασώματα / Πρέβελη</t>
  </si>
  <si>
    <t>Ενεργή με αναζωπυρώσεις (31/7)</t>
  </si>
  <si>
    <t>Εκκενώσεις: Τριόπετρα, Άγιος Γεώργιος, Άγιος Παύλος, Σακθουριά, Μελάβες, Κρύα Βρύση</t>
  </si>
  <si>
    <t>https://gr.euronews.com/my-europe/2026/07/29/ellada-dyo-pyrosbestes-nerkoi-pyrkagia-rethymno ; https://www.ekathimerini.com/news/1310945/wildfire-forces-evacuation-of-five-villages-on-crete/ ; https://watchers.news/2026/07/30/3-firefighters-confirmed-dead-wildfires-prompt-category-4-fire-risk-in-greece/ ; https://www.ekathimerini.com/news/1310967/three-firefighters-dead-villages-evacuated-as-wildfires-rip-through-tinder-dry-forests/ ; https://www.protothema.gr/greece/article/1858323/video-apo-drone-o-puknos-kapnos-katapinei-to-kourtaliotiko-faraggi-sto-rethumno-mainetai-i-fotia/</t>
  </si>
  <si>
    <t>2 πυροσβέστες νεκροί (29/7). Εξάπλωση 30/7 στα Ασώματα/Φαράγγι Κουρταλιώτικο (αεροπυρόσβεση διακόπηκε λόγω ανέμων). Καμένη ~40.050 στρ Μελάμπες + 7.600 στρ Πρέβελη ≈ 4.765 εκτ. Αναζωπύρωση Πρέβελη 31/7.</t>
  </si>
  <si>
    <t>Νέα Κρύα Βρύση – Ασώματα Ρεθύμνου</t>
  </si>
  <si>
    <t>ενεργή (31/07)</t>
  </si>
  <si>
    <t>https://gr.euronews.com/ ; https://www.ekathimerini.com/news/1310945/ ; https://www.protothema.gr/ ; https://www.tovima.gr/</t>
  </si>
  <si>
    <t>2 νεκροί πυροσβέστες (Νέα Κρύα Βρύση). 45.000 στρ. = 4.500 ha. Εκκενώθηκαν: Τριόπετρα, Άγ. Γεώργιος, Άγ. Παύλος, Σακθουριά, Μελάβες, Κρύα Βρύση. Αεροπυρόσβεση διακόπηκε 30/7 λόγω ανέμων. Επέκταση 30/7 στα Ασώματα.</t>
  </si>
  <si>
    <t>Κάμπι / Κάμπος</t>
  </si>
  <si>
    <t>Βελτιωμένη (31/7), υψηλή επιφυλακή</t>
  </si>
  <si>
    <t>Υπό διερεύνηση — πιθανή αυτόαναφλέξη απορριμμάτων ή εμπρησμός</t>
  </si>
  <si>
    <t>28/7 14:42 EEST εκκένωση Αγ. Χαράλαμπος/Κάμπι/Μπουγάδος· 15:28 EEST εκκένωση Ανεράτζια/Καμάρι</t>
  </si>
  <si>
    <t>https://www.euronews.com/my-europe/2026/07/29/major-wildfire-breaks-out-on-greek-island-paros-as-villages-evacuated ; https://www.independent.co.uk/news/world/europe/paros-greece-wildfire-island-fires-evacuations-b3023837.html ; https://gr.euronews.com/my-europe/2026/07/30/pyrkagia-sthn-paro-synelhfthhsan-o-dhmarxos-kai-alla-tria-atoma</t>
  </si>
  <si>
    <t>Εκκενώθηκαν 10 χωριά: Τρυπητή, Γλύφα, Πυργάκι, Άσπρο Χωριό, Αγκαριά, Αγ. Χαράλαμπος, Κάμπος, Μπουγάδος, Ανεράτζια, Καμάρι. Συνελήφθησαν 4 άτομα συμπεριλαμβανομένου δημάρχου (30/7). 31/7: βελτίωση, Πάρος/Κάλυμνος/Άνδρος σε υψηλή επιφυλακή.</t>
  </si>
  <si>
    <t>Κάμπι Πάρου (ΧΥΤΑ)</t>
  </si>
  <si>
    <t>υπό διερεύνηση — αυτόαναφλέξη ή εμπρησμός</t>
  </si>
  <si>
    <t>14:42 EEST εκκένωση Άγ. Χαράλαμπος, Κάμπι, Μπουγάδος, Ανεράτζια, Καμάρι· 15:28 EEST εκκένωση (28/07)</t>
  </si>
  <si>
    <t>https://www.protothema.gr/1858229/ ; https://www.euronews.com/ ; https://www.independent.co.uk/</t>
  </si>
  <si>
    <t>10 χωριά εκκενώθηκαν. 4 συλληφθέντες μεταξύ αυτών ο δήμαρχος. 2 Canadair + 5 ελικόπτερα.</t>
  </si>
  <si>
    <t>Έβρος</t>
  </si>
  <si>
    <t>Εκκενώσεις 5 χωριών 28/7, 5 επιπλέον χωριών 29/7</t>
  </si>
  <si>
    <t>https://www.ekathimerini.com/news/1310827/ground-air-forces-battle-wildfire-near-turkish-border/ ; https://www.ekathimerini.com/news/1310827/</t>
  </si>
  <si>
    <t>Κοντά στα ελληνοτουρκικά σύνορα. Δημοσίευση 28/7 14:25 EEST. | Αναφορά δημοσίευσης 14:25 EEST</t>
  </si>
  <si>
    <t>Τοσκάνη</t>
  </si>
  <si>
    <t>Toscana</t>
  </si>
  <si>
    <t>https://www.euronews.com/my-europe/2026/07/28/europe-is-burning-how-bad-could-this-wildfire-crisis-get</t>
  </si>
  <si>
    <t>~3.000 εκκενωθέντες. Υποστήριξη αεροσκαφών Canadair. | Εκκένωση ~3.000 κατοίκων.</t>
  </si>
  <si>
    <t>Valpaços</t>
  </si>
  <si>
    <t>Trás-os-Montes</t>
  </si>
  <si>
    <t>Vila Real</t>
  </si>
  <si>
    <t>Ενεργή (31/7 16:45 EEST)</t>
  </si>
  <si>
    <t>http://www.bangkokpost.com/world/3294579/new-fronts-open-in-europes-wildfire-battle</t>
  </si>
  <si>
    <t>&gt;6.000 εκτ. 5 ελαφρά τραύματα.</t>
  </si>
  <si>
    <t>&gt;6.000 ha. 5 τραυματίες.</t>
  </si>
  <si>
    <t>Τοσκάνη (Wildfire Tuscany)</t>
  </si>
  <si>
    <t>Ιταλία / Τοσκάνη</t>
  </si>
  <si>
    <t>https://www.euronews.com/my-europe/2026/07/28/europe-is-burning-how-bad-could-this-wildfire-crisis-get ; https://www.euronews.com/my-europe/2026/07/28/europe-is-burning-how-bad-could-this-wildfire-season-get ; https://www.dw.com/en/eu-civil-protection-mechanism-coordinating-europes-firefighters/a-78145189</t>
  </si>
  <si>
    <t>Εκκενώσεις ~3.000 ατόμων. Επιχειρούν Canadair. 1 πυροσβέστης νεκρός (Ιταλία). Yutori 15:48 EEST 28/07. | Εκκενώσεις ~3.000 ατόμων. Αεροσκάφη Canadair. 1 πυροσβέστης νεκρός. | Εκκενώσεις ~3.000 ατόμων. Canadair. 1 νεκρός πυροσβέστης. | ~3.000 εκκενωμένα άτομα. Canadair αεροσκάφη επιχειρούσαν. 1 πυροσβέστης νεκρός (Ιταλία). | Εκκενώσεις ~3.000 ατόμων. Canadair αεροσκάφη. 1 νεκρός πυροσβέστης. | Εκκενώσεις ~3.000 ατόμων· Canadair αεροσκάφη επιχείρησαν· 1 νεκρός πυροσβέστης στην Ιταλία (Καλαβρία ή Τοσκάνη — υπό επαλήθευση) | Εκκενώσεις ~3.000 ατόμων. Canadair αεροσκάφη στην επιχείρηση. 1 νεκρός πυροσβέστης (Ιταλία, εντός ευρωπαϊκού συνολικού απολογισμού 30/7).</t>
  </si>
  <si>
    <t>https://www.ekathimerini.com/news/1310827/ground-air-forces-battle-wildfire-near-turkish-border/</t>
  </si>
  <si>
    <t>Εκκένωση ~3.000 κατοίκων</t>
  </si>
  <si>
    <t>Norte</t>
  </si>
  <si>
    <t>https://www.euronews.com/my-europe/2026/07/29/major-wildfire-breaks-out-on-greek-island-paros-as-villages-evacuated</t>
  </si>
  <si>
    <t>&gt;6.000 ha</t>
  </si>
  <si>
    <t>Σταυρός</t>
  </si>
  <si>
    <t>2 ομάδες ΕΜΟΔΕ</t>
  </si>
  <si>
    <t>Κατασβέστηκε</t>
  </si>
  <si>
    <t>https://www.ertnews.gr/roi-idiseon/pyrkagia-se-dasiki-ektasi-stous-rodolivous-serron/</t>
  </si>
  <si>
    <t>Δασική πυρκαγιά Εύβοιας. Ανακαλύφθηκε ανεξάρτητα (1Β).</t>
  </si>
  <si>
    <t>Γιρόντ–Λάντες (Μπορντό, Λακανό, Λε Πορζ)</t>
  </si>
  <si>
    <t>Γαλλία / Νουβέλ-Ακιτέν</t>
  </si>
  <si>
    <t>ακραίος καύσωνας</t>
  </si>
  <si>
    <t>Ενεργή από 23–25/07. Εκκενώσεις 197.000+ ατόμων. 240+ σπίτια κατεστραμμένα. 2 πυροσβέστες νεκροί. Δήλωση Μακρόν: «εντελώς άνευ προηγουμένου». Ενημέρωση Yutori 26/07 06:24 EEST. | Φωτιά Ζιρόντ αναφέρεται «περιεχόμενη» (contained) στις 28/7 από αρχές, με προειδοποίηση για δυσμενείς καιρικές συνθήκες. 2 νεκροί πυροσβέστες στη Γαλλία. &gt;320.000 εκκενωθέντες (Γαλλία+Ισπανία). 240+ κατοικίες κατεστραμμένες (Λε Πορζ). Εναέρια ΕΕ: 2 Canadair GR, 2 Canadair IT, 1 Canadair HR, 2 Air Tractor PT, 2 Air Tractor TR, 2 ελικ. SE, 1 Black Hawk SK, 1 ελικ. CZ. 770+ πυροσβέστες από 14 χώρες ΕΕ.</t>
  </si>
  <si>
    <t>Ισπανία πολλαπλά μέτωπα (Μαδρίτη–Άβιλα, Βαλένθια–Μανίσες, Καστελόν, Γουαδαλαχάρα, Τολέδο, Λάντες)</t>
  </si>
  <si>
    <t>Ισπανία / Μαδρίτη–Καστίλη–Βαλένθια</t>
  </si>
  <si>
    <t>https://www.euronews.com/my-europe/2026/07/28/europe-is-burning-how-bad-could-this-wildfire-crisis-get ; https://en.wikipedia.org/wiki/2026_Spain_wildfires ; https://www.cnn.com/2026/07/27/world/live-news/france-spain-wildfires-evacuations ; https://www.cnn.com/2026/07/26/world/live-news/france-spain-wildfires-evacuations</t>
  </si>
  <si>
    <t>Ενεργή από 23–25/07. Εκκενώσεις 100.000+ ατόμων. 1 νεκρός (Μανίσες). Εθνική έκτακτη ανάγκη Ισπανίας 25/07. Ενημέρωση Yutori 26/07 06:24 EEST. | Μέτωπο Καστελόν ανεξέλεγκτο στις 28/7. &gt;320.000 εκκενωθέντες (Γαλλία+Ισπανία). 3 πορτ. ομάδες εδάφους (134 πυροσβέστες, 41 οχήματα) αναπτύχθηκαν στην Ισπανία μέσω EUCPM. Εναέρια ΕΕ: βλ. μέτωπο Γαλλίας (κοινή διεθνής ανάπτυξη). | Ενεργοποιήθηκε ο Μηχανισμός Πολιτικής Προστασίας της ΕΕ. Διεθνής ενίσχυση: 6 αεροσκάφη από Ελλάδα/Ιταλία/Τουρκία και 134 Πορτογάλοι πυροσβέστες με 41 οχήματα. Εκκενώθηκαν &gt;80.000 άτομα συνολικά (Άβιλα-Μαδρίτη: 60.000, Καστελόν-La Vall d'Uixó: 18.000). Επιμέρους εκτάσεις: Άβιλα &gt;50.000 ha, Μαδρίτη ~28.000 ha, Γουαδαλαχάρα &gt;32.000 ha (έως 23/7), Καστελόν ~6.500 ha. Συνολικά πυρκαγιές 2026 σεζόν Ισπανίας: ~171.000 ha (80% πάνω από 20ετή μέσο όρο). | 14 νεκροί, &gt;80.000 εκκενώσεις. Εθνική έκτακτη ανάγκη (Μαδρίτη, Άβιλα, Τολέδο). Πυρκαγιά Sierra Oeste (Μαδρίτη–Άβιλα, ~50.000 ha): μεγαλύτερη στην ιστορία Ισπανίας — κατέστρεψε το Madrid Deep Space Communications Complex. Γουαδαλαχάρα (Sierra Norte Natural Park): &gt;32.000 ha έως 23/7. Καστελόν (La Vall d'Uixó): ~6.500 ha, 18.000 εκκενωθέντες, πιθανός εμπρησμός. ΕΕ–Μηχανισμός Πολιτικής Προστασίας: 6 ε/α από Ελλάδα/Ιταλία/Τουρκία, 134 πυροσβέστες + 41 οχήματα από Πορτογαλία. Σύνολο εποχής 2026 Ισπανία: &gt;150.000 ha (30/7/2026). Ακόμη σε εξέλιξη στις 30/7.</t>
  </si>
  <si>
    <t>Μπάδια Ηρακλείου</t>
  </si>
  <si>
    <t>https://www.skai.gr/news/world/i-ellada-stelnei-dyo-canadair-gia-tis-dasikes-pyrkagies</t>
  </si>
  <si>
    <t>Ελαιώνες και καλλιέργειες. Ώρα πληροφορίας: 17:26 EEST. | Πυρκαγιά σε ελαιώνες και καλλιέργειες</t>
  </si>
  <si>
    <t>Κινέτα</t>
  </si>
  <si>
    <t>Οριοθετήθηκε</t>
  </si>
  <si>
    <t>https://www.ertnews.gr/eidiseis/pyrkagia-se-dasiki-ektasi-stin-kineta-attikis/ ; https://www.newsit.gr/ellada/fotia-stin-kineta-kinitopoiisi-tis-pyrosvestikis/4736857/ ; https://www.newsbomb.gr/ellada/story/1752212/fotia-stin-kineta</t>
  </si>
  <si>
    <t>Δασική έκταση Κινέτα Αττικής. Ανακαλύφθηκε ανεξάρτητα (1Β).</t>
  </si>
  <si>
    <t>Castellón – Zamora – León</t>
  </si>
  <si>
    <t>&gt;207.000 ha συνολικά Ισπανία 2026 (όλη η σεζόν). 2 νεκροί πυροσβέστες (Castellón). Ημερομηνία κατά προσέγγιση.</t>
  </si>
  <si>
    <t>16:47</t>
  </si>
  <si>
    <t>Ώρα πληροφορίας 16:47 EEST.</t>
  </si>
  <si>
    <t>Καλαβρία</t>
  </si>
  <si>
    <t>Ιταλία / Καλαβρία</t>
  </si>
  <si>
    <t>https://gr.euronews.com/my-europe/2026/07/25/wildfires-have-increased-by-57-in-europe-over-just-four-years-warns-the-who ; https://www.youtube.com/watch?v=3bcJVpEM434</t>
  </si>
  <si>
    <t>Δασική πυρκαγιά σε Καλαβρία. Εκκίνησε έρευνα εμπρησμού. | Έρευνα αστυνομίας για εμπρησμό. Περιορισμένες πληροφορίες από Yutori email 25/7. | Έρευνα για εμπρησμό.</t>
  </si>
  <si>
    <t>Guadalajara / Madrid / Ávila / Toledo</t>
  </si>
  <si>
    <t>Castilla-La Mancha / Comunidad de Madrid / Castilla y León, Spain</t>
  </si>
  <si>
    <t>https://www.france24.com/en/europe/20260724-spain-declares-state-of-emergency-and-france-seeks-eu-help-as-wildfires-rage ; https://www.dw.com/en/europe-wildfires-fires-france-spain-italy/a-78080171 ; https://www.ertnews.gr/eidiseis/diethni/dramatiki-katastasi-stin-ispania-i-ellada-stelnei-dyo-canadair-gia-tis-megales-pyrkagies/ ; https://www.planet-today.com/2026/07/spain-mega-wildfire-600-firefighters.html ; https://www.aljazeera.com/news/2026/7/23/spain-and-france-battle-raging-wildfires-face-high-risk-of-more ; https://en.wikipedia.org/wiki/2026_Spain_wildfires ; https://www.theolivepress.es/spain-news/2026/07/24/spain-declares-national-emergency-over-wildfires-near-madrid-as-11500-evacuated-and-35000-hectares-of-land-scorched-in-just-one-fire/ ; https://www.euronews.com/my-europe/2026/07/24/southern-europe-still-battling-wildfires-as-spain-declares-national-emergency-in-madrid-re ; https://www.aljazeera.com/news/2026/7/21/spain-battles-latest-in-series-of-major-wildfires-near-madrid</t>
  </si>
  <si>
    <t>Εθνική κατάσταση έκτακτης ανάγκης 24/7. 19.000+ εκκενώθηκαν. Συγχώνευση μετώπων κοντά στη Μαδρίτη. 32.000+ ha στη Guadalajara μόνο. Ελλάδα + Ιταλία έστειλαν από 2 Canadair. EUCPM ενεργοποιήθηκε. | Μεγαλύτερη πυρκαγιά στην ιστορία Καστίλης-Λα Μάντσα. Πάνω από 600 πυροσβέστες και στρατιωτικοί, 29 αεροσκάφη. ~1.200 κάτοικοι εκκενώθηκαν, 34 οικισμοί αδειασαν, 14 περιοχές σε εσωτερική εκκένωση. Κηρύχθηκε κατάσταση έκτακτης ανάγκης. Πρόεδρος García-Page: «Σχεδόν σταματήσαμε την πρόοδο προς Σόρια αλλά η φωτιά δεν είναι υπό έλεγχο». | Συνδυασμένο μέτωπο 2026-07-24: πυρκαγιά La Mierla/Guadalajara ~32.000–35.000 ha (οριοθετήθηκε περ. 25/7 μετά από εβδομάδα), συγχωνευμένη πυρκαγιά Madrid/Ávila ~15.000 ha (εκτός ελέγχου 24/7, εκκενώθηκαν 60.000+ άτομα). Κηρύχθηκε εθνική κατάσταση έκτακτης ανάγκης. Κατεστράφη Madrid Deep Space Communications Complex. Επιδεινώθηκε από Ευρωπαϊκό Καύσωνα 2026. Αιτία ανάφλεξης αδιευκρίνιστη. | Σύμπλεγμα Άβιλα-Μαδρίτης χαρακτηρίστηκε «εκτός ικανότητας κατάσβεσης» από ισπανικές αρχές στις 24/7. Η Γουαδαλαχάρα (Sierra Norte Natural Park) οριοθετήθηκε στα 32.000 ha. Σύνολο Ισπανίας 2026: ~150.000 ha. Εκκενώθηκαν &gt;80.000 άτομα. Διεθνής ενίσχυση: 6 εναέρια (Ελλάδα/Ιταλία/Τουρκία) + 134 πυροσβέστες/41 οχήματα από Πορτογαλία. Ζημιά στον Madrid Deep Space Communications Complex.</t>
  </si>
  <si>
    <t>Ávila – Σαν Μαρτίν ντε Βαλδεϊγλέσιας – Μανίσες</t>
  </si>
  <si>
    <t>Καστίλη-Λεόν / Κοινότητα Μαδρίτης / Βαλένθια, Ισπανία</t>
  </si>
  <si>
    <t>https://www.euronews.com/my-europe/2026/07/24/wildfires-trigger-mass-evacuations-across-france-and-spain ; https://www.france24.com/en/live-news/20260729-spain-returns-wildfire-evacuees-as-france-braces-for-worsening-weather ; https://www.efsyn.gr/kosmos/1438219/ispania-pyrkagies-airetai-i-entoli-ekkenosis-gia-oles-tis-koinotites-tis-avila-kai-gia-alles-dyo-sti-madriti/ ; https://www.techtimes.com/articles/321961/20260729/europe-track-its-worst-wildfire-season-ever-satellite-data-show.htm ; https://www.cnn.com/2026/07/25/world/live-news/france-spain-wildfires-evacuations ; https://www.cnn.com/2026/07/26/world/live-news/france-spain-wildfires-evacuations ; https://www.euronews.com/my-europe/2026/07/27/thousands-evacuated-as-fires-creep-towards-bordeaux-while-authorities-scramble-to-fight-fl</t>
  </si>
  <si>
    <t>Καμένη έκταση Ισπανία ~80.000 ha (EFFIS &gt;207.000 ha 29/7)· εκκενώσεις &gt;100.000 ατόμων· 1 νεκρός στη Μανίσες Βαλένθιας· εθνική κατάσταση έκτακτης ανάγκης 25/7· άρση εντολών εκκένωσης Ávila 29/7· ενεργά μέτωπα και σε Τολέδο, Γουαδαλαχάρα, Καστελόν | Οριοθετήθηκε ουσιαστικά στις 26/7/2026. Μεγαλύτερη πυρκαγιά στην ιστορία της Ισπανίας (Ávila ~44.900 ha). Νεκρός 79χρονος στο Μανίσες Βαλένθια. Εκκένωση ~90.000 ατόμων. Δυνάμεις αφορούν το σύνολο ισπανικής επιχείρησης.</t>
  </si>
  <si>
    <t>Πορτογαλία</t>
  </si>
  <si>
    <t>https://gr.euronews.com/my-europe/2026/07/25/wildfires-have-increased-by-57-in-europe-over-just-four-years-warns-the-who ; https://www.iqair.com/newsroom/wildfire-map-spotlight-southern-europe-wildfires</t>
  </si>
  <si>
    <t>Ενεργές πυρκαγιές 24-25/07. Ελάχιστες λεπτομέρειες διαθέσιμες.</t>
  </si>
  <si>
    <t>Πυρκαγιές Γουαδαλαχάρα–Μαδρίτη–Άβιλα–Τολέδο</t>
  </si>
  <si>
    <t>Ισπανία / Καστίλη-Λα Μάντσα</t>
  </si>
  <si>
    <t>https://www.france24.com/en/europe/20260724-spain-declares-state-of-emergency-and-france-seeks-eu-help-as-wildfires-rage ; https://www.ertnews.gr/eidiseis/diethni/pyrkagies-ekatontades-xiliades-ekkenonontai-se-gallia-kai-ispania-to-mpornto-apeileitai-xanetai-i-maxi-sti-madriti/ ; https://www.ertnews.gr/eidiseis/diethni/pyrkagies-se-ispania-kai-gallia-xalazi-sta-valkania-o-astathis-kairos-synexizetai-stin-eyropi/ ; https://www.dw.com/en/europe-wildfires-fires-france-spain-italy/a-78080171 ; https://www.euronews.com/my-europe/2026/07/24/wildfires-trigger-mass-evacuations-across-france-and-spain ; https://www.bbc.com/news/videos/c70gezewz5ko ; https://www.pbs.org/newshour/world/tens-of-thousands-of-people-flee-raging-wildfires-in-france-and-spain-some-escaping-by-boat ; https://www.businessdaily.gr/diethni/222966_dasikes-pyrkagies-ektos-eleghoy-se-gallia-kai-ispania-kinitopoiisi-stratoy ; https://en.wikipedia.org/wiki/2026_Spain_wildfires ; https://www.aljazeera.com/news/2026/7/23/spain-and-france-battle-raging-wildfires-face-high-risk-of-more</t>
  </si>
  <si>
    <t>Εθνική κατάσταση έκτακτης ανάγκης 24/7. 32.000+ εκτάρια στη Γουαδαλαχάρα, συγχώνευση μετώπων κοντά στη Μαδρίτη. 19.000+ εκκενώσεις. Ελλάδα + Ιταλία απέστειλαν από 2 Canadair (συνολικά 4 αεροσκάφη μνημονεύονται). Χάνεται η μάχη στη Μαδρίτη. | 32.000+ εκτάρια Γουαδαλαχάρα, 19.000+ εκκενώσεις. Συγχώνευση μετώπων κοντά Μαδρίτη 24/07. Εθνική κατάσταση έκτακτης ανάγκης 24/07. Ελλάδα &amp; Ιταλία απέστειλαν από 2 Canadair. | Γουαδαλαχάρα: 32.000+ ha, Άβιλα: ~9.000 ha (90 km²), δυτ. Μαδρίτης: ~3.000 ha (30 km²). 19.000+ εκκενώσεις. Εθνική κατάσταση έκτακτης ανάγκης 24/07. Ελλάδα &amp; Ιταλία έστειλαν ανά 2 Canadair. Μέτωπα συγχωνεύτηκαν κοντά Μαδρίτη. Email 25/07: 19f99f93b937ff62. | Guadalajara: 32.000+ ha, 19.000+ εκκενώσεις. Ávila: ~9.000 ha (90 km²). Δυτ. Μαδρίτη: ~3.000 ha (30 km²). Συγχώνευση μετώπων 24/07. Εθνική κατάσταση έκτακτης ανάγκης Ισπανίας 24/07. Ελλάδα+Ιταλία: ανά 2 Canadair. Ελλάδα επιπλέον 1 C-27J (25/07). | Στις 24/7 δύο ξεχωριστές πυρκαγιές στις επαρχίες Ávila και Μαδρίτης (~50 km δυτικά της Μαδρίτης) συνενώθηκαν σε μία, καίγοντας 15.000 ha. Χαρακτηρίστηκαν «πέρα από τη δυνατότητα κατάσβεσης». Εκκενώθηκαν 60.000 άτομα. Καταστράφηκε το Madrid Deep Space Communications Complex (NASA). Εθνικό σύνολο Ισπανίας &gt;130.000 ha. | Πυρκαγιά Γουαδαλαχάρα (Sierra Norte Natural Park) οριοθετήθηκε μετά από καμένη έκταση 32.000 ha. Σύμπλεγμα Άβιλα-Μαδρίτης ανεξάρτητη εξέλιξη: συγχωνεύθηκε και ξεπέρασε 50.000 ha μόνο στην Άβιλα.</t>
  </si>
  <si>
    <t>Σικελία – Καλαβρία Ιταλίας</t>
  </si>
  <si>
    <t>Sicily / Calabria, Italy</t>
  </si>
  <si>
    <t>Έρευνα για εμπρησμό (Καλαβρία)</t>
  </si>
  <si>
    <t>https://www.dw.com/en/europe-wildfires-fires-france-spain-italy/a-78080171 ; https://www.france24.com/en/europe/20260723-wildfires-ravage-spain-france-and-italy-killing-three-firefighters ; https://pogodnik.com/en/news/europe-wildfires-2026-spain-france-italy-fire-map ; https://www.ertnews.gr/eidiseis/diethni/pyrkagies-ekatontades-xiliades-ekkenonontai-se-gallia-kai-ispania-to-mpornto-apeileitai-xanetai-i-maxi-sti-madriti/ ; https://www.youtube.com/watch?v=3bcJVpEM434</t>
  </si>
  <si>
    <t>50+ πυρκαγιές στη Σικελία, 160+ στην Καλαβρία στις 24/7. 6.000 διασώστες ανεπτυγμένοι. Υψηλός φόρτος παράλληλα με αποστολή Canadair στην Ισπανία. | Πάνω από 40 ξεχωριστές φωτιές στη Σικελία, 160+ στην Καλαβρία. Φωτιά Torre Galli (Vibo Valentia, Καλαβρία) έκαψε &gt;100 ha. Συνολικά ~6.000 πυροσβέστες, δασοφύλακες και Πολιτική Προστασία σε όλη Ιταλία. Ένας πυροσβέστης απεβίωσε στη Σικελία. Αιτία: ακραία θερμοκρασία (45,3°C Caltagirone) και ξηρασία. | 50+ πυρκαγιές στη Σικελία, 160+ στην Καλαβρία. 6.000 διασώστες ανεπτυγμένοι. Υψηλός παράλληλος φόρτος — 2 Canadair απεστάλησαν στην Ισπανία. | 50+ πυρκαγιές στη Σικελία, 160+ στην Καλαβρία. 6.000 διασώστες ανεπτυγμένοι 24/07. Εγγραφή συγκεντρωτική – ανά-πυρκαγιά λεπτομέρειες μη διαθέσιμες. | 50+ πυρκαγιές Σικελία, 160+ Καλαβρία. 6.000 διασώστες αναπτύχθηκαν 24/07. Email 25/07: 19f99f93b937ff62. | Αθροιστικά Mon–Wed (21–23 Ιουλίου): 344 πυρκαγιές στη Σικελία, εκ των οποίων ~300 κατασβέστηκαν. Καλαβρία: 160+ πυρκαγιές. Δεν εντοπίστηκαν ανά-περιστατικό δεδομένα για αυτή την ημερομηνία (burned_area, forces, control_time). | 50+ πυρκαγιές στη Σικελία· 160+ στην Καλαβρία· 6.000 διασώστες ανεπτυγμένοι (24/7)· έρευνα για εμπρησμό</t>
  </si>
  <si>
    <t>2026-07-27</t>
  </si>
  <si>
    <t>Gironde – Landes</t>
  </si>
  <si>
    <t>ενεργή (κατά τη διάρκεια αναφορών)</t>
  </si>
  <si>
    <t>~42.000 ha καμένα. Εκκένωση ~224.000 κατοίκων. 1 νεκρός πυροσβέστης.</t>
  </si>
  <si>
    <t>Gironde — Landes</t>
  </si>
  <si>
    <t>Gironde / Landes</t>
  </si>
  <si>
    <t>https://www.businessdaily.gr/diethni/222966_dasikes-pyrkagies-ektos-eleghoy-se-gallia-kai-ispania-kinitopoiisi-stratoy ; https://www.theguardian.com/world/2026/aug/02/western-europe-wildfire-crisis-retreats-greece-evacuates-hundreds-athens</t>
  </si>
  <si>
    <t>&gt;224.000 εκκενωμένοι· 42.000 ha· ουκρανικές μονάδες συμμετείχαν</t>
  </si>
  <si>
    <t>Camp de Souge / Gironde–Landes (Wildfire Bordeaux)</t>
  </si>
  <si>
    <t>Γαλλία / Nouvelle-Aquitaine</t>
  </si>
  <si>
    <t>Μπορντό (15-30 χλμ), Λακανό, Λε Πορζ</t>
  </si>
  <si>
    <t>υπό διερεύνηση (πιθανώς ανθρώπινη δραστηριότητα)</t>
  </si>
  <si>
    <t>https://www.france24.com/en/live-news/20260729-spain-returns-wildfire-evacuees-as-france-braces-for-worsening-weather ; https://www.euronews.com/my-europe/2026/07/28/europe-is-burning-how-bad-could-this-wildfire-season-get ; https://www.parapolitika.gr/diethni/article/1769583/ti-einai-ta-sunnefa-tis-fotias-kai-pos-ehoun-heiroterepsei-tis-purkagies-stin-europi/ ; https://en.wikipedia.org/wiki/2026_France_wildfires ; https://abcnews.com/International/major-wildfire-france-stabilized-contained-interior-minister/story?id=135123975 ; https://www.france24.com/en/europe/20260728-live-massive-wildfires-near-bordeaux-still-under-control-after-calm-night-local-authorities-say ; https://www.theguardian.com/world/2026/jul/30/fire-weather-eu-wildfires-data ; https://www.euronews.com/my-europe/2026/07/29/eu-wildfire-strategy-falls-short-as-southern-europe-faces-another-devastating-fire-season ; https://www.euractiv.com/news/close-to-half-a-million-hectares-reduced-to-ash-as-wildfires-rage-across-europe/ ; https://www.france24.com/en/europe/20260725-france-evacuates-55-000-more-as-bordeaux-fires-worsen ; https://www.france24.com/en/europe/20260724-thousands-forced-to-flee-as-deadly-wildfires-rage-in-parts-of-france-italy-and-spain</t>
  </si>
  <si>
    <t>&gt;197.000 εκκενωμένα άτομα (Γαλλία). &gt;240 σπίτια κατεστραμμένα στη Γιρόντ. Pyrocumulonimbus 28-29/07. 2 πυροσβέστες νεκροί (Γαλλία). Μακρόν: «εντελώς άνευ προηγουμένου». Ενεργή από 23-25/07, συνεχίζεται 29/07. | 10 θάνατοι (Γαλλία συνολικά). 250.000 εκκενωμένοι. Gironde: 42.000 ha (επιβεβαιώθηκε). Landes/Biscarrosse ξεχωριστά: ~3.500 ha υπό έλεγχο. Pyrocumulonimbus (πυροκουμουλονίμβος) παρατηρήθηκε για πρώτη φορά στη Γαλλία. Στρατιωτικό A400M Atlas ως εναέρια δεξαμενή (20 τόνοι επιβραδυντικού). Διεθνής βοήθεια 8 χωρών ΕΕ (Κροατία, Τσεχία, Γερμανία, Πορτογαλία, Ρουμανία, Σλοβακία, Σουηδία, Τουρκία). Αιτία υπό διερεύνηση (καύσωνας 2026/El Niño). Στις 28/07 νέες εκκενώσεις 4.000 ατόμων, φωτιά αναζωπυρώθηκε. | 42.000 ha στη Γιρόντ. Εκκενώσεις 220.000+ ατόμων γύρω από Μπορντό (15-30χλμ). 240+ σπίτια κατεστράφηκαν. 1 νεκρός πυροσβέστης (Γιρόντ). Pyrocumulonimbus 28-29/7. Μακρόν: «εντελώς άνευ προηγουμένου». Συνολική καμένη έκταση Γαλλίας 2026: 116.000+ ha. | Μεγαλύτερη πυρκαγιά Γαλλίας μετά τον Β' Παγκόσμιο Πόλεμο (&gt;42.000 ha Gironde έως 27/7). Πρώτη εμφάνιση pyrocumulonimbus στη Γαλλία (πυραντροποειδής σύννεφο που δημιούργησε κεραυνούς και νέες εστίες). Ενεργοποίηση Μηχανισμού Πολιτικής Προστασίας ΕΕ (Κροατία, Πορτογαλία, Τσεχία, Σλοβακία). Airbus A400M ως αεροπυροσβεστικό από 25/7. Εκκένωση ~250.000 κατοίκων Gironde–Landes. Νέες αναφλέξεις 28/7 (+4.000 εκκενώσεις τουριστικών χώρων). Εξακολουθεί σε εξέλιξη 30/7/2026.</t>
  </si>
  <si>
    <t>Camp de Souge – Λε Πορζ – Λακανό</t>
  </si>
  <si>
    <t>Γιρόντ – Λάντες, Γαλλία</t>
  </si>
  <si>
    <t>https://www.euronews.com/my-europe/2026/07/28/europe-is-burning-how-bad-could-this-wildfire-crisis-get ; https://www.france24.com/en/live-news/20260729-spain-returns-wildfire-evacuees-as-france-braces-for-worsening-weather ; https://www.parapolitika.gr/diethni/article/1769583/ti-einai-ta-sunnefa-tis-fotias-kai-pos-ehoun-heiroterepsei-tis-purkagies-stin-europi/ ; https://gr.euronews.com/my-europe/2026/07/29/pyrkagies-sthn-eyroph-pros-neo-arnhtiko-rekor-staxth-ektash-ish-me-loyxemboyrgo ; https://en.wikipedia.org/wiki/2026_France_wildfires</t>
  </si>
  <si>
    <t>Εκκενώσεις &gt;197.000 ατόμων· 240+ κατοικίες κατεστραμμένες· 2 νεκροί πυροσβέστες· pyrocumulonimbus 28–29/7 κοντά στο Μπορντό· ενεργή έως 29/7+ | Ίδια πυρκαγιά με Bordeaux/Gironde wildfire. &gt;42.000 ha Gironde. Pyrocumulonimbus (πρώτη φορά Γαλλία). EU Civil Protection ενεργοποιήθηκε. Εκκένωση ~250.000. Σε εξέλιξη 30/7/2026.</t>
  </si>
  <si>
    <t>Gironde, Landes, Cap Ferret, Le Porge, Lacanau</t>
  </si>
  <si>
    <t>Γαλλία / Νοτιοδυτική (Bordeaux)</t>
  </si>
  <si>
    <t>https://www.euronews.com/my-europe/2026/07/28/europe-is-burning-how-bad-could-this-wildfire-crisis-get ; https://www.euronews.com/my-europe/2026/07/24/wildfires-trigger-mass-evacuations-across-france-and-spain ; https://www.bbc.com/news/videos/cdx82pkelk0o ; https://www.pbs.org/newshour/world/tens-of-thousands-of-people-flee-raging-wildfires-in-france-and-spain-some-escaping-by-boat ; https://en.wikipedia.org/wiki/2026_France_wildfires ; https://abcnews.com/International/major-wildfire-france-stabilized-contained-interior-minister/story?id=135123975 ; https://www.france24.com/en/europe/20260728-live-massive-wildfires-near-bordeaux-still-under-control-after-calm-night-local-authorities-say</t>
  </si>
  <si>
    <t>Εκκενώσεις 197.000+ ατόμων. 240+ σπίτια καταστράφηκαν στη Γιρόντ. 2 πυροσβέστες νεκροί. Μακρόν: 'εντελώς άνευ προηγουμένου'. ~42.000 ha καμένα έως 28/7. | 10 θάνατοι (Γαλλία συνολικά). 250.000 εκκενωμένοι. Gironde: 42.000 ha (επιβεβαιώθηκε). Landes/Biscarrosse: ~3.500 ha υπό έλεγχο. Pyrocumulonimbus πρώτη φορά στη Γαλλία. A400M Atlas ως εναέρια δεξαμενή. Βοήθεια 8 χωρών ΕΕ. Αιτία υπό διερεύνηση (καύσωνας/El Niño). Αναζωπύρωση 28/07. | Ίδια πυρκαγιά Bordeaux/Gironde. &gt;42.000 ha Gironde έως 27/7. Pyrocumulonimbus (πρώτη φορά Γαλλία). Airbus A400M από 25/7. EU Civil Protection. Εκκένωση ~250.000. Σε εξέλιξη 30/7/2026.</t>
  </si>
  <si>
    <t>Ávila – Μαδρίτη – Τολέδο – Καστελόν – Λάντες</t>
  </si>
  <si>
    <t>Ισπανία / Castilla y León, Comunidad de Madrid, Castilla-La Mancha, Valencia</t>
  </si>
  <si>
    <t>Ávila, Robledo de Chavela, San Martín de Valdeiglesias, Manises, Guadalajara</t>
  </si>
  <si>
    <t>υπό διερεύνηση (υποψία εμπρησμού για La Vall d'Uixó/Μανίσες· υπόλοιπα υπό διερεύνηση)</t>
  </si>
  <si>
    <t>https://www.efsyn.gr/kosmos/1438219/ispania-pyrkagies-airetai-i-entoli-ekkenosis-gia-oles-tis-koinotites-tis-avila-kai-gia-alles-dyo-sti-madriti/ ; https://www.france24.com/en/live-news/20260729-spain-returns-wildfire-evacuees-as-france-braces-for-worsening-weather ; https://www.techtimes.com/articles/321961/20260729/europe-track-its-worst-wildfire-season-ever-satellite-data-show.htm ; https://gr.euronews.com/my-europe/2026/07/29/pyrkagies-sthn-eyroph-pros-neo-arnhtiko-rekor-staxth-ektash-ish-me-loyxemboyrgo ; https://en.wikipedia.org/wiki/2026_Spain_wildfires</t>
  </si>
  <si>
    <t>&gt;207.000 ha καμένα (EFFIS, 29/07). &gt;100.000 εκκενωμένα άτομα. Εθνική κατάσταση έκτακτης ανάγκης 25/07. Εκκενώσεις Ávila &amp; Μαδρίτης αρθήκαν 29/07. 1 νεκρός (Μανίσες/Βαλένθια). | Σύνολο Ισπανία: ~150.000 ha (Wikipedia 29/07). Άβιλα: 50.000+ ha (μεγαλύτερη πυρκαγιά ιστορίας Ισπανίας, 25.000 εκτοπισμένοι). Γουαδαλαχάρα/Sierra Norte NP: 32.000 ha. Καστελόν/La Vall d'Uixó: 6.500 ha (υποψία εμπρησμού). 80.000 εκκενώθηκαν συνολικά. Διεθνής βοήθεια: 6 εναέρια από Ελλάδα/Ιταλία/Τουρκία, 134 πυροσβέστες + 41 οχήματα Πορτογαλίας, δορυφορική χαρτογράφηση Copernicus. Στις 29/07 χιλιάδες επέστρεψαν.</t>
  </si>
  <si>
    <t>Άβιλα, Γουαδαλαχάρα, Ρομπλέδο ντε Τσαβέλα, Μανίσες Βαλένθιας</t>
  </si>
  <si>
    <t>Ισπανία / Κεντρική Ισπανία – Βαλένθια</t>
  </si>
  <si>
    <t>Σπινθήρας βαρέων μηχανημάτων σε απαγορευμένη ζώνη (Burgohondo/Άβιλα – πιστοποιήθηκε από Civil Guard, 1 συλληφθείς)· Γουαδαλαχάρα υπό διερεύνηση</t>
  </si>
  <si>
    <t>https://www.euronews.com/my-europe/2026/07/24/wildfires-trigger-mass-evacuations-across-france-and-spain ; https://www.bbc.com/news/videos/c70gezewz5ko ; https://www.pbs.org/newshour/world/tens-of-thousands-of-people-flee-raging-wildfires-in-france-and-spain-some-escaping-by-boat ; https://www.ertnews.gr/eidiseis/diethni/pyrkagies-se-ispania-kai-gallia-xalazi-sta-valkania-o-astathis-kairos-synexizetai-stin-eyropi/ ; https://brusselssignal.eu/2026/07/avila-fire-becomes-largest-ever-recorded-in-spain-as-eu-aircraft-join-the-fight/ ; https://en.wikipedia.org/wiki/2026_Spain_wildfires ; https://www.cnn.com/2026/07/25/world/live-news/france-spain-wildfires-evacuations ; https://www.cnn.com/2026/07/27/world/live-news/france-spain-wildfires-evacuations</t>
  </si>
  <si>
    <t>100.000+ εκκενώσεις. 1 νεκρός (Μανίσες). Εθνική κατάσταση έκτακτης ανάγκης 25/7/2026. 90 km²≈9.000 ha Άβιλα + 30 km²≈3.000 ha δυτ. Μαδρίτης. Ελλάδα απέστειλε 2 Canadair CL-415 + C-27J στις 25/7. | Σύμπλεγμα πολλαπλών πυρκαγιών. Burgohondo/Άβιλα (εκκίνηση 22/7/2026): ~50.000 ha – μεγαλύτερη ιστορικά στην Ισπανία· Γουαδαλαχάρα/Sierra Norte: &gt;32.000 ha ως 23/7. Εκκένωση ~80.000 κατοίκων (60.000 από Άβιλα). Ενεργοποίηση EU Civil Protection Mechanism: 6 εναέρια (Ελλάδα 2x Canadair CL-415, Ιταλία, Τουρκία), 134 πυροσβέστες + 41 οχήματα Πορτογαλίας. Κατάσταση 27/7: περίμετρος εν πολλοίς υπό έλεγχο, ορισμένα ενεργά μέτωπα παρέμεναν.</t>
  </si>
  <si>
    <t>Άβιλα–Σαν Μαρτίν ντε Βαλδεϊγλέσιας–Μανίσες–Καστελόν–Γουαδαλαχάρα</t>
  </si>
  <si>
    <t>Ισπανία / Μαδρίτη–Άβιλα–Βαλένθια</t>
  </si>
  <si>
    <t>Σπινθήρας βαρέων μηχανημάτων (Άβιλα – Civil Guard)· υποψία εμπρησμού (Καστελόν/Vall d'Uixó, εκκίνηση 25/7/2026)· Γουαδαλαχάρα υπό διερεύνηση</t>
  </si>
  <si>
    <t>https://www.bbc.com/news/videos/c70gezewz5ko ; https://www.euronews.com/my-europe/2026/07/24/wildfires-trigger-mass-evacuations-across-france-and-spain ; https://www.pbs.org/newshour/world/tens-of-thousands-of-people-flee-raging-wildfires-in-france-and-spain-some-escaping-by-boat ; https://brusselssignal.eu/2026/07/avila-fire-becomes-largest-ever-recorded-in-spain-as-eu-aircraft-join-the-fight/ ; https://en.wikipedia.org/wiki/2026_Spain_wildfires ; https://www.cnn.com/2026/07/27/world/live-news/france-spain-wildfires-evacuations ; https://www.euronews.com/my-europe/2026/07/28/europe-is-burning-how-bad-could-this-wildfire-crisis-get</t>
  </si>
  <si>
    <t>Εκκενώσεις 100.000+ ατόμων. 1 νεκρός Μανίσες (Βαλένθια). Έκταση: ~9.000 ha Άβιλα + ~3.000 ha δυτ. Μαδρίτης. Εθνική κατάσταση έκτακτης ανάγκης από 25/7/2026. Ενεργή έως 26/7/2026. Πηγές Yutori: BBC, DW, Independent, France24. | Σύμπλεγμα πολλαπλών πυρκαγιών: Άβιλα/Burgohondo ~50.000 ha· Γουαδαλαχάρα/Sierra Norte ~32.000 ha· Καστελόν/Vall d'Uixó (εκκίνηση 25/7) ~6.500 ha ως 26/7. Σύνολο ≥88.500 ha. Εκκένωση &gt;80.000 κατοίκων συνολικά. EU Civil Protection Mechanism: 6 εναέρια, 134 πυροσβέστες + 41 οχήματα Πορτογαλίας. Κατάσταση 27/7: περίμετρος σε μεγάλο βαθμό περιορισμένη. | Εκκενώσεις 100.000+ ατόμων. Εθνική κατάσταση έκτακτης ανάγκης 25/7. 1 νεκρός στη Manises. ~80.000 ha καμένα έως 28/7.</t>
  </si>
  <si>
    <t>Ισπανία – Μαδρίτη / Άβιλα / Γουαδαλαχάρα / Βαλένθια (Μανίσες) / Καστελόν</t>
  </si>
  <si>
    <t>Ισπανία / Κοινότητα Μαδρίτης – Καστίλη-Λεόν – Κοινότητα Βαλένθιας</t>
  </si>
  <si>
    <t>Άβιλα, Ρομπλέδο ντε Τσαβέλα, Σαν Μαρτίν ντε Βαλδεϊγλέσιας, Μανίσες (Βαλένθια), Καστελόν, Γουαδαλαχάρα, Τολέδο</t>
  </si>
  <si>
    <t>υπό διερεύνηση (υποψία εμπρησμού για La Vall d'Uixó)</t>
  </si>
  <si>
    <t>https://www.france24.com/en/europe/20260724-spain-declares-state-of-emergency-and-france-seeks-eu-help-as-wildfires-rage ; https://www.euronews.com/my-europe/2026/07/24/wildfires-trigger-mass-evacuations-across-france-and-spain ; https://www.bbc.com/news/videos/c70gezewz5ko ; https://www.pbs.org/newshour/world/tens-of-thousands-of-people-flee-raging-wildfires-in-france-and-spain-some-escaping-by-boat ; https://www.businessdaily.gr/diethni/222966_dasikes-pyrkagies-ektos-eleghoy-se-gallia-kai-ispania-kinitopoiisi-stratoy ; https://www.euronews.com/my-europe/2026/07/28/europe-is-burning-how-bad-could-this-wildfire-crisis-get ; https://en.wikipedia.org/wiki/2026_Spain_wildfires ; https://www.france24.com/en/live-news/20260729-spain-returns-wildfire-evacuees-as-france-braces-for-worsening-weather</t>
  </si>
  <si>
    <t>Έναρξη 23/7· εθνική κατάσταση έκτακτης ανάγκης 24/7· 100.000+ εκκενωμένοι· 1 νεκρός (Μανίσες)· Γουαδαλαχάρα 32.000+ ha, Άβιλα ~9.000 ha, δυτ. Μαδρίτη ~3.000 ha· Ελλάδα απέστειλε 2 Canadair CL-415 + 1 C-27J (25/7) | Εκκενώσεις &gt;100.000. Εθνική κατάσταση έκτακτης ανάγκης 25/7/2026. 1 νεκρός Μανίσες. Ενεργή 23–28/7+. | Στις 29/07 χιλιάδες εκτοπισμένοι επέστρεψαν στις εστίες τους. Σύνολο Ισπανία ~150.000 ha (Wikipedia). 80.000 εκκενώθηκαν. 6 εναέρια από Ελλάδα/Ιταλία/Τουρκία· 134 πυροσβέστες + 41 οχήματα Πορτογαλίας.</t>
  </si>
  <si>
    <t>Λέζ-Καπ-Φερέ / Γιρόντ – Λάντες</t>
  </si>
  <si>
    <t>Γαλλία / Νοτιοδυτική (Γιρόντ, Λάντες, Μπορντό)</t>
  </si>
  <si>
    <t>Μπορντό, Λακανό, Λε Πορζ, Καπ Φερέ</t>
  </si>
  <si>
    <t>Εναέρια ενίσχυση από Κροατία, Πορτογαλία, Τσεχία, Σλοβακία</t>
  </si>
  <si>
    <t>https://www.euronews.com/my-europe/2026/07/24/wildfires-trigger-mass-evacuations-across-france-and-spain ; https://www.bbc.com/news/videos/cdx82pkelk0o ; https://www.france24.com/en/europe/20260724-spain-declares-state-of-emergency-and-france-seeks-eu-help-as-wildfires-rage ; https://www.businessdaily.gr/diethni/222966_dasikes-pyrkagies-ektos-eleghoy-se-gallia-kai-ispania-kinitopoiisi-stratoy ; https://www.pbs.org/newshour/world/tens-of-thousands-of-people-flee-raging-wildfires-in-france-and-spain-some-escaping-by-boat ; https://gr.euronews.com/my-europe/2026/07/25/wildfires-have-increased-by-57-in-europe-over-just-four-years-warns-the-who ; https://www.france24.com/en/europe/20260724-thousands-forced-to-flee-as-deadly-wildfires-rage-in-parts-of-france-italy-and-spain ; https://www.euronews.com/my-europe/2026/07/26/more-than-220000-now-evacuated-in-gironde-as-wildfires-continue-to-spread ; https://www.foxnews.com/world/wildfires-displace-250000-france-threaten-famed-wine-region ; https://www.ertnews.gr/eidiseis/sta-perixora-tou-mpornto-oi-floges-tis-terastias-pyrkagias-sti-nd-gallia-skepseis-gia-ekkenosi-tis-polis-staxti-o-sitovolonas-tis-kentrikis-ispanias/ ; https://www.euronews.com/my-europe/2026/07/28/europe-is-burning-how-bad-could-this-wildfire-crisis-get ; https://www.france24.com/en/live-news/20260729-spain-returns-wildfire-evacuees-as-france-braces-for-worsening-weather ; https://www.parapolitika.gr/diethni/article/1769583/ti-einai-ta-sunnefa-tis-fotias-kai-pos-ehoun-heiroterepsei-tis-purkagies-stin-europi/</t>
  </si>
  <si>
    <t>125 km² (≈12.500 ha) κοντά στο Καπ Φερέ. 110.000+ άτομα εκκενώθηκαν (24–25/7). Ενεργοποίηση Μηχανισμού Πολιτικής Προστασίας ΕΕ. Τα σύννεφα καπνού Μαδρίτης–Μπορντό ενώθηκαν. | 40.000+ εκκενώσεις (23-24/07) → 110.000+ (25/07). 12.500 ha (=125 km²) κοντά Καπ Φερέ. Αεροπορική ενίσχυση ΕΕ: Κροατία, Πορτογαλία, Τσεχία, Σλοβακία. Email 25/07: 19f99f93b937ff62. | Έκταση 42.000 ha στη Γιρόντ ως 26/07/2026 (αναθεώρηση από 12.500 ha αρχικής καταγραφής). Άνω των 220.000 εκκενωθέντες στη ΝΔ Γαλλία (320.000+ Γαλλία+Ισπανία). Αιτία: υπό διερεύνηση. Πέραν των 2.500 πυροσβεστών, επιχείρησαν 1.500 στρατιωτικοί + 1.200 αστυνομικοί/χωροφύλακες. Εναέρια: 5 αεροσκάφη + 2 ελικόπτερα EU rescEU, 2 Canadair Ιταλίας + συνδρομή Πορτογαλίας και Ελλάδας. Κατάσταση «εξαιρετικά άγρια και απρόβλεπτη» (Γάλλος ΥΠΕΣ). | Έναρξη 23/7· ενεργή έως 26/7· 12.500 ha κοντά στο Καπ Φερέ (25/7)· 197.000+ εκκενωμένοι· 240+ σπίτια κατεστραμμένα στη Γιρόντ· 15–30 χλμ. από Μπορντό· αεροπορική βοήθεια ΕΕ (Κροατία, Πορτογαλία, Τσεχία, Σλοβακία) | 197.000+ εκκενώσεις (26/7)· 240+ κατοικίες κατεστραμμένες στη Γιρόντ· 3.400+ ha κοντά στο Καπ-Φερέ ως 24/7 (πιθανώς μεγαλύτερο ως 26/7)· EU ERCC ενεργοποίηση· αεροπορική ενίσχυση από Κροατία, Πορτογαλία, Τσεχία, Σλοβακία | 197.000+ εκκενώσεις. 240+ σπίτια κατεστραμμένα στη Γιρόντ. Απόσταση 15–30 χλμ. από Μπορντό. Ενεργή έως 26/7/2026. 125 km² ≈ 12.500 ha καμένα κοντά στο Καπ Φερέ. | Εκκενώσεις &gt;197.000 ατόμων. 240+ σπίτια κατεστραμμένα. 2 νεκροί πυροσβέστες. Μακρόν «εντελώς άνευ προηγουμένου». Ενεργή 23–28/7+. Ελλάδα έστειλε 2 Canadair CL-415 + C-27J στην Ισπανία (25/7). | Pyrocumulonimbus 28-29/7. Εκκενώσεις &gt;197.000 ατόμων. 240+ σπίτια καταστράφηκαν στη Γιρόντ. Απόσταση από Μπορντό 15-30 χλμ. Μακρόν: «εντελώς άνευ προηγουμένου».</t>
  </si>
  <si>
    <t>Μαδρίτη – Άβιλα – Γουαδαλαχάρα – Τολέδο</t>
  </si>
  <si>
    <t>Ισπανία / Μαδρίτη, Καστίλη-Λεόν, Καστίλη-Λα Μάντσα</t>
  </si>
  <si>
    <t>2 Canadair από Ελλάδα, 2 Canadair από Ιταλία</t>
  </si>
  <si>
    <t>https://www.france24.com/en/europe/20260724-spain-declares-state-of-emergency-and-france-seeks-eu-help-as-wildfires-rage ; https://www.euronews.com/my-europe/2026/07/24/wildfires-trigger-mass-evacuations-across-france-and-spain ; https://www.bbc.com/news/videos/c70gezewz5ko ; https://www.pbs.org/newshour/world/tens-of-thousands-of-people-flee-raging-wildfires-in-france-and-spain-some-escaping-by-boat</t>
  </si>
  <si>
    <t>Άβιλα: ~90 km² (9.000 ha). Γουαδαλαχάρα: 32.000+ ha. Δυτικά Μαδρίτης: ~30 km² (3.000 ha). 19.000+ εκκενώσεις. Συγχώνευση μετώπων 24/7. Εθνική κατάσταση έκτακτης ανάγκης 24/7/2026. Η Ελλάδα απέστειλε επίσης C-27J (25/7).</t>
  </si>
  <si>
    <t>Πυρκαγιά Άβιλα-Γουαδαλαχάρα-δυτική Μαδρίτη (Ρομπλέδο ντε Τσαβέλα, Σαν Μαρτίν ντε Βαλδεϊγλέσιας)</t>
  </si>
  <si>
    <t>Μαδρίτη / Καστίλη-Λα Μάντσα, Ισπανία</t>
  </si>
  <si>
    <t>https://www.france24.com/en/europe/20260724-spain-declares-state-of-emergency-and-france-seeks-eu-help-as-wildfires-rage ; https://www.euronews.com/my-europe/2026/07/24/wildfires-trigger-mass-evacuations-across-france-and-spain ; https://www.bbc.com/news/videos/c70gezewz5ko ; https://www.dw.com/en/europe-wildfires-fires-france-spain-italy/a-78080171 ; https://en.wikipedia.org/wiki/2026_Spain_wildfires ; https://www.theolivepress.es/spain-news/2026/07/24/spain-declares-national-emergency-over-wildfires-near-madrid-as-11500-evacuated-and-35000-hectares-of-land-scorched-in-just-one-fire/ ; https://www.thelocal.es/20260709/maps-where-are-the-wildfires-in-spain-right-now</t>
  </si>
  <si>
    <t>Συγχώνευση μετώπων κοντά στη Μαδρίτη 24/7· 32.000+ ha στη Γουαδαλαχάρα + 9.000 ha Άβιλα + 3.000 ha δυτικά Μαδρίτης· 100.000+ εκκενώσεις (26/7)· εθνική κατάσταση έκτακτης ανάγκης 25/7· 1 νεκρός Μανίσες (Βαλένθια)· Ελλάδα + Ιταλία έστειλαν από 2 Canadair CL-415 | Κηρύχθηκε εθνική κατάσταση έκτακτης ανάγκης. Συγχώνευση πυρκαγιών Άβιλα-Μαδρίτης (24/7). Εκκένωση 63.000+ κατοίκων από Μαδρίτη, Τολέδο, Άβιλα. Η φωτιά στην Άβιλα χαρακτηρίστηκε ως η μεγαλύτερη στην ιστορία της Ισπανίας (&gt;50.000 ha μόνο Άβιλα). Εκτιμώμενη καμένη έκταση ~80.000 ha σε Μαδρίτη-Άβιλα-Τολέδο ως τα τέλη Ιουλίου. Εναέρια ενίσχυση από ΕΕ (Ελλάδα: 2 Canadair CL-415). Ισπανία αίτηση EU Civil Protection Mechanism.</t>
  </si>
  <si>
    <t>Πυρκαγιά Λεζ-Καπ-Φερέ (Lège-Cap-Ferret)</t>
  </si>
  <si>
    <t>Gironde, France</t>
  </si>
  <si>
    <t>Lège-Cap-Ferret</t>
  </si>
  <si>
    <t>https://www.france24.com/en/europe/20260724-spain-declares-state-of-emergency-and-france-seeks-eu-help-as-wildfires-rage ; https://www.dw.com/en/europe-wildfires-fires-france-spain-italy/a-78080171 ; https://www.nbcnews.com/world/europe/france-wildfire-thousands-evacuated-firefighters-bordeaux-rcna588846 ; https://www.aljazeera.com/news/2026/7/23/spain-and-france-battle-raging-wildfires-face-high-risk-of-more ; https://www.bbc.com/news/videos/cdx82pkelk0o ; https://www.euronews.com/my-europe/2026/07/24/wildfires-trigger-mass-evacuations-across-france-and-spain ; https://www.pbs.org/newshour/world/tens-of-thousands-of-people-flee-raging-wildfires-in-france-and-spain-some-escaping-by-boat ; https://www.cnn.com/2026/07/26/world/live-news/france-spain-wildfires-evacuations ; https://www.travelerstoday.com/articles/60618/20260726/cap-ferret-remains-closed-wildfire-nears-bordeaux-13000-evacuated.htm ; https://watchers.news/2026/07/24/france-expands-evacuation-orders-as-gironde-wildfire-spreads-across-cap-ferret-peninsula/ ; https://www.pbs.org/newshour/world/new-wildfire-evacuations-ordered-in-france-bringing-total-to-330000-people-displaced-in-southwestern-europe</t>
  </si>
  <si>
    <t>40.000+ εκκενώθηκαν τη νύχτα 23–24/7. Ευρωπαϊκός Μηχανισμός Πολιτικής Προστασίας ενεργοποιήθηκε. Αεροπορική ενίσχυση από Κροατία, Πορτογαλία, Τσεχία, Σλοβακία. Ανεξέλεγκτο πύρινο μέτωπο στα Les Landes. | Πυρκαγιά παραβίασε γραμμή περιορισμού στη διάρκεια της νύχτας 23→24 Ιουλίου. Εκκενώθηκαν &gt;40.000 άτομα από Cap Ferret (σύμφωνα με τον Υπουργό Εσωτερικών Laurent Nuñez). ~500-1.000 πυροσβέστες με εναέρια μέσα. Ζητήθηκε ευρωπαϊκή βοήθεια μέσω EU Civil Protection Mechanism. | 40.000+ εκκενώσεις το βράδυ 23–24/07. Ενεργοποίηση Μηχανισμού Πολιτικής Προστασίας ΕΕ. Αεροπορική ενίσχυση από Κροατία, Πορτογαλία, Τσεχία, Σλοβακία. | 3.400+ ha (23-24/07) → 125 km² / 12.500 ha κοντά Καπ Φερέ (25/07). 40.000+ εκκενώσεις 23-24/07, 110.000+ συνολικά 25/07. ΜΠΠΕΕ ΕΕ ενεργός. Αεροπορική ενίσχυση: Κροατία, Πορτογαλία, Τσεχία, Σλοβακία. | Ίδια πυρκαγιά με εκείνη της 22/7 (εκκίνηση Saumos). Στις 26/7 εξακολουθεί να βρίσκεται σε εξέλιξη και πλησιάζει το Μπορντό. Το Cap Ferret παραμένει κλειστό. 197.000 εκκενωθέντες συνολικά (Gironde + Landes). | Αύξηση δυνάμεων σε 1.000 πυροσβέστες (από 800 στις 22/7). Εκκένωση ολόκληρης χερσονήσου Cap-Ferret (&gt;20.000 κάτοικοι/τουρίστες). Γαλλία ζήτησε ευρωπαϊκή βοήθεια μέσω ERCC. Πυρκαγιά εκδηλώθηκε αρχικά στο Saumos (22/7) και επεκτάθηκε μέσω πευκοδάσους προς Le Porge και Lège-Cap-Ferret.</t>
  </si>
  <si>
    <t>Σικελία – Καλαβρία</t>
  </si>
  <si>
    <t>Ιταλία / Σικελία, Καλαβρία</t>
  </si>
  <si>
    <t>Εμπρησμός (υπό έρευνα, Καλαβρία 25/7)</t>
  </si>
  <si>
    <t>https://www.dw.com/en/europe-wildfires-fires-france-spain-italy/a-78080171 ; https://www.youtube.com/watch?v=3bcJVpEM434 ; https://www.france24.com/en/europe/20260723-wildfires-ravage-spain-france-and-italy-killing-three-firefighters</t>
  </si>
  <si>
    <t>50+ πυρκαγιές στη Σικελία και 160+ στην Καλαβρία· 6.000 διασώστες ανεπτυγμένοι στις 24/7. Έρευνα για εμπρησμό Καλαβρία 25/7 (Yutori email). | 50+ πυρκαγιές Σικελία, 160+ Καλαβρία. 6.000 διασώστες ανεπτυγμένοι 24/07. Έρευνα εμπρησμού 25/07. | 3 νεκροί πυροσβέστες στη Νότια Ευρώπη (Ισπανία/Γαλλία/Ιταλία) ως 23 Ιουλίου. Σικελία αθροιστικά: 24.451 ha ως 21/7, 87 περιστατικά την εβδομάδα 15–21/7. Ιταλία 2026 συνολικά: 65.680 ha (+15% έναντι 20ετούς μέσου όρου). Δεν εντοπίστηκαν ανά-περιστατικό δεδομένα για 23/7 ειδικά.</t>
  </si>
  <si>
    <t>Castellón / Zamora / León</t>
  </si>
  <si>
    <t>Comunitat Valenciana / Castilla y León</t>
  </si>
  <si>
    <t>Castellón / Zamora</t>
  </si>
  <si>
    <t>Βελτίωση (29/7 άρση εκκενώσεων)</t>
  </si>
  <si>
    <t>https://www.euronews.com/video/2026/07/30/latest-news-bulletin-july-30th-2026-evening ; https://www.theguardian.com/world/2026/jul/30/fire-weather-eu-wildfires-data ; https://www.efsyn.gr/kosmos/1438219/ispania-pyrkagies-airetai-i-entoli-ekkenosis-gia-oles-tis-koinotites-tis-avila-kai-gia-alles-dyo-sti-madriti/ ; https://www.france24.com/en/live-news/20260729-spain-returns-wildfire-evacuees-as-france-braces-for-worsening-weather ; https://www.euronews.com/my-europe/2026/07/28/europe-is-burning-how-bad-could-this-wildfire-crisis-get</t>
  </si>
  <si>
    <t>80.000+ εκτ. Καστελλόν+Σαμόρα. Σύνολο Ισπανία 2026: 207.000+ εκτ. 2 πυροσβέστες νεκροί. Εκκενώσεις 330.000+. Άρση εκκενώσεων Ávila/Μαδρίτη 29/7.</t>
  </si>
  <si>
    <t>Ενεργή (31/7)</t>
  </si>
  <si>
    <t>https://www.deccanchronicle.com/lifestyle/environment/84000-evacuees-head-home-in-france-as-europe-battles-wildfire-blazes-1975420 ; https://sana.sy/en/international/2333327/ ; https://www.parapolitika.gr/diethni/article/1769583/ti-einai-ta-sunnefa-tis-fotias-kai-pos-ehoun-heiroterepsei-tis-purkagies-stin-europi/ ; https://www.france24.com/en/live-news/20260729-spain-returns-wildfire-evacuees-as-france-braces-for-worsening-weather ; https://www.theguardian.com/world/2026/jul/30/fire-weather-eu-wildfires-data ; https://www.euronews.com/my-europe/2026/07/29/eu-wildfire-strategy-falls-short-as-southern-europe-faces-another-devastating-fire-season</t>
  </si>
  <si>
    <t>~42.000 εκτ. Γιρόντ. Σύνολο Γαλλία: 116.000+ εκτ. Εκκενώσεις: 224.000 (84.000 επέστρεψαν έως 31/7). 1 πυροσβέστης νεκρός. Pyrocumulonimbus 28–29/7. Ουκρανικές δυνάμεις ανεπτύχθησαν 31/7 μέσω Μηχανισμού ΕΕ Πολιτικής Προστασίας.</t>
  </si>
  <si>
    <t>Ávila — Κοινότητα Μαδρίτης — Καστελόν — Τολέδο</t>
  </si>
  <si>
    <t>Ισπανία / Καστίλη-Λεόν, Κοινότητα Μαδρίτης, Βαλένθια</t>
  </si>
  <si>
    <t>υπό διερεύνηση (ύποπτος εμπρησμός στο La Vall d'Uixó, Καστελόν)</t>
  </si>
  <si>
    <t>https://www.efsyn.gr/kosmos/1438219/ispania-pyrkagies-airetai-i-entoli-ekkenosis-gia-oles-tis-koinotites-tis-avila-kai-gia-alles-dyo-sti-madriti/ ; https://www.france24.com/en/live-news/20260729-spain-returns-wildfire-evacuees-as-france-braces-for-worsening-weather ; https://www.euronews.com/my-europe/2026/07/24/wildfires-trigger-mass-evacuations-across-france-and-spain ; https://www.techtimes.com/articles/321961/20260729/europe-track-its-worst-wildfire-season-ever-satellite-data-show.htm ; https://en.wikipedia.org/wiki/2026_Spain_wildfires ; https://www.cnn.com/2026/07/29/world/live-news/france-spain-wildfires-heat-wave</t>
  </si>
  <si>
    <t>&gt;207.000 εκτάρια (EFFIS). Εκκενώσεις &gt;120.000 ατόμων. Εθνική κατάσταση έκτακτης ανάγκης 25/7. Εντολές εκκένωσης αρθήκαν 29/7. 1 θάνατος (Μανίσες, Βαλένθια). | 14 νεκροί, ~80.000 εκκενωθέντες· επιστροφή εκκενωθέντων 29/7. EU Civil Protection: 6 αεροσκάφη (Ελλάδα, Ιταλία, Τουρκία) + 134 πυροσβέστες &amp; 41 οχήματα Πορτογαλίας. Φωτιά Burgohondo/Ávila &gt;50.000 ha — μεγαλύτερη καταγεγραμμένη στην Ισπανία. Πυρκαγιά παρέμενε ενεργή 30/7.</t>
  </si>
  <si>
    <t>Καστελλόν / Σαμόρα (Wildfire Castellón)</t>
  </si>
  <si>
    <t>Ισπανία / Comunitat Valenciana – Castilla y León</t>
  </si>
  <si>
    <t>https://www.euronews.com/video/2026/07/30/drone-footage-captures-massive-castellon-wildfire-in-eastern-spain ; https://www.theguardian.com/world/2026/jul/30/fire-weather-eu-wildfires-data ; https://www.euractiv.com/news/close-to-half-a-million-hectares-reduced-to-ash-as-wildfires-rage-across-europe/ ; https://www.nbcnews.com/data-graphics/europe-france-spain-wildfire-2026-maps-charts-photos-data-visuals-rcna589822</t>
  </si>
  <si>
    <t>80.000+ ha (συνδυαστικά Καστελλόν &amp; Σαμόρα). 2 νεκροί πυροσβέστες (Καστελλόν). Συνολική καμένη έκταση Ισπανίας 2026: 207.000+ ha. Drone footage επιβεβαίωσε μεγάλα μέτωπα 30/7.</t>
  </si>
  <si>
    <t>Λεζ-Καπ-Φερέ / Cap-Ferret Peninsula</t>
  </si>
  <si>
    <t>Γαλλία / Ζιρόντ</t>
  </si>
  <si>
    <t>Saumos / Lège-Cap-Ferret</t>
  </si>
  <si>
    <t>800+ πυροσβέστες από τη Γαλλία</t>
  </si>
  <si>
    <t>https://www.france24.com/en/europe/20260724-spain-declares-state-of-emergency-and-france-seeks-eu-help-as-wildfires-rage ; https://watchers.news/2026/07/24/france-expands-evacuation-orders-as-gironde-wildfire-spreads-across-cap-ferret-peninsula/ ; https://www.upi.com/Top_News/World-News/2026/07/24/France-wildfires-thousands-evacuated/4781784890140/ ; https://www.ertnews.gr/eidiseis/diethni/pyrkagies-ekatontades-xiliades-ekkenonontai-se-gallia-kai-ispania-to-mpornto-apeileitai-xanetai-i-maxi-sti-madriti/ ; https://www.dw.com/en/europe-wildfires-fires-france-spain-italy/a-78080171 ; https://www.cnn.com/2026/07/24/europe/cap-ferret-peninsula-evacuated-intl ; https://www.travelerstoday.com/articles/60618/20260726/cap-ferret-remains-closed-wildfire-nears-bordeaux-13000-evacuated.htm ; https://www.nbcnews.com/world/europe/france-wildfire-thousands-evacuated-firefighters-bordeaux-rcna588846 ; https://www.pbs.org/newshour/world/new-wildfire-evacuations-ordered-in-france-bringing-total-to-330000-people-displaced-in-southwestern-europe ; https://www.france24.com/en/europe/20260724-thousands-forced-to-flee-as-deadly-wildfires-rage-in-parts-of-france-italy-and-spain</t>
  </si>
  <si>
    <t>Έναρξη Τετάρτη 22/7 στο Saumos. Ραγδαία εξάπλωση 23–24/7. 40.000+ εκκενώσεις (ολόκληρη χερσόνησος Καπ-Φερέ). Ενεργοποιήθηκε Μηχανισμός Πολιτικής Προστασίας ΕΕ· αεροπορική ενίσχυση από Κροατία, Πορτογαλία, Τσεχία, Σλοβακία. Απειλείται το Μπορντό. | Η πυρκαγιά εκδηλώθηκε ~μεσημέρι 22/7 στο Saumos και εξαπλώθηκε με ταχύτητα ~1.000 ha/ώρα κατά τη διάρκεια της νύχτας μέσα στο πυκνό πευκοδάσος. Στις 26/7 βρίσκεται ~30 km από το Μπορντό πλήττοντας δυτικά προάστια. 197.000 εκκενωθέντες συνολικά (Gironde + Landes) – ήδη ~5× μεγαλύτερη από την πυρκαγιά του 2022 στην ίδια περιοχή. | Πυρκαγιά εκκίνησε στο Saumos και εξαπλώθηκε μέσω πευκοδάσους προς Le Porge και Lège-Cap-Ferret. Εκκένωση ολόκληρης χερσονήσου Cap-Ferret έως 24/7 (&gt;20.000 κάτοικοι/τουρίστες). Γαλλία ζήτησε ευρωπαϊκή βοήθεια (ERCC). Συνολικά 330.000 εκτοπισμένοι στη ΝΔ Ευρώπη. Πυρκαγιά σταθεροποιήθηκε μετά νυκτερινές επιχειρήσεις (φλεγόμενα μέτωπα κοντά σε αμμόλοφους τέθηκαν υπό έλεγχο).</t>
  </si>
  <si>
    <t>Burgohondo — Sierra de Ávila</t>
  </si>
  <si>
    <t>Castilla y León</t>
  </si>
  <si>
    <t>Ávila</t>
  </si>
  <si>
    <t>https://www.euronews.com/my-europe/2026/07/28/europe-is-burning-how-bad-could-this-wildfire-crisis-get ; https://www.businessdaily.gr/diethni/222966_dasikes-pyrkagies-ektos-eleghoy-se-gallia-kai-ispania-kinitopoiisi-stratoy</t>
  </si>
  <si>
    <t>&gt;135.000 ha καμένα· ενεργή κατά το παρακολουθούμενο διάστημα</t>
  </si>
  <si>
    <t>Vojvodina — Δήμος Μπέλα Τσέρκβα, Σερβία</t>
  </si>
  <si>
    <t>Γερμανία &amp; Ρουμανία (124 επίγειο προσωπικό)</t>
  </si>
  <si>
    <t>https://europeanwesternbalkans.com/2026/08/25/eu-firefighters-helped-battle-the-wildfires-in-deliblato-sands-over-the-weekend/ ; https://www.aljazeera.com/news/2026/8/24/eu-russian-aircraft-help-serbia-battle-wildfires ; https://www.euronews.com/my-europe/2026/08/26/authorities-in-greece-issue-code-red-wildfire-alert-for-ionian-islands</t>
  </si>
  <si>
    <t>Ενεργοποίηση Μηχανισμού Πολιτικής Προστασίας ΕΕ. 4 ελικ.: Ρουμανία, Τσεχία, Σλοβακία. 124 επίγειο: Γερμανία, Ρουμανία. Πρώτη ανίχνευση 21 Ιουλ. 2026. ΕΕ αναφορά 25 Αυγ. 2026. | Πρώτη ανίχνευση 21/7/2026. Ενεργοποίηση Μηχανισμού Πολιτικής Προστασίας ΕΕ· 4 ελικόπτερα από Ρουμανία, Τσεχία, Σλοβακία. Αναφορά ΕΕ: 25/8/2026. Φυσική Διατηρητέα Περιοχή Δελιβλάτου. | Μηχανισμός Πολιτικής Προστασίας ΕΕ. 4 ελικόπτερα (Ρουμανία, Τσεχία, Σλοβακία). Αναφορά ΕΕ: 25 Αυγ. 2026. Φυσική Διατηρητέα Περιοχή. | Ευρωπαϊκός Μηχανισμός Πολιτικής Προστασίας ενεργός. 4 ελικόπτερα: Ρουμανία, Τσεχία, Σλοβακία. 124 επίγεια: Γερμανία + Ρουμανία. ΕΕ αναφορά 25 Αυγ 2026. | Φυσική Διατηρητέα Περιοχή Δελιβλάτου. Ενεργοποίηση Μηχανισμού Πολιτικής Προστασίας ΕΕ. 4 ελικόπτερα από Ρουμανία, Τσεχία, Σλοβακία· 124 επίγειο προσωπικό από Γερμανία και Ρουμανία. Αναφορά ΕΕ και Yutori email: 25 Αυγούστου 2026. | Φυσική Διατηρητέα Περιοχή. Ενεργοποίηση EUCPM. 4 ελικόπτερα (Ρουμανία, Τσεχία, Σλοβακία)· 124 επίγεια στελέχη (Γερμανία, Ρουμανία). Πρώτη ανίχνευση 21/07/2026· ΕΕ αναφορά 25/08/2026. | Φυσική Διατηρητέα Περιοχή Δελιβλάτου· ενεργοποίηση Μηχανισμού Πολιτικής Προστασίας ΕΕ· 124 επίγειο προσωπικό Γερμανία+Ρουμανία, 4 ελικόπτερα Ρουμανία+Τσεχία+Σλοβακία· πρώτη ανίχνευση 21/7, ενεργή EU αντίδραση αναφέρθηκε 25/8/2026</t>
  </si>
  <si>
    <t>Guadalajara – Sierra Norte / Castilla-La Mancha</t>
  </si>
  <si>
    <t>Ισπανία / Κοινότητα Καστίλης–Λα Μάντσα (επαρχία Guadalajara)</t>
  </si>
  <si>
    <t>https://www.usnews.com/news/world/articles/2026-07-22/firefighters-in-central-spain-battle-huge-wildfire-during-heat-wave ; https://www.france24.com/en/europe/20260719-wildfire-scorches-12-000-hectares-in-central-spain-s-guadalajara-province ; https://www.modernghana.com/news/1511872/wildfire-scorches-12000-hectares-in-central-spain.amp ; https://www.ertnews.gr/eidiseis/diethni/pyrkagies-se-ispania-kai-gallia-xalazi-sta-valkania-o-astathis-kairos-synexizetai-stin-eyropi/ ; https://www.wkbn.com/news/national-world/ap-firefighters-in-central-spain-battle-huge-wildfire-during-heat-wave/ ; https://www.planet-today.com/2026/07/spain-mega-wildfire-600-firefighters.html ; https://www.aljazeera.com/news/2026/7/21/spain-battles-latest-in-series-of-major-wildfires-near-madrid ; https://en.wikipedia.org/wiki/2026_Spain_wildfires ; https://www.thelocal.es/20260720/800-evacuated-as-spains-biggest-wildfire-of-the-year-rages-on ; https://www.aljazeera.com/news/2026/7/27/wildfires-in-southwest-europe-what-we-know-so-far ; https://www.aljazeera.com/news/2026/7/23/spain-and-france-battle-raging-wildfires-face-high-risk-of-more</t>
  </si>
  <si>
    <t>Μία από τις μεγαλύτερες πυρκαγιές στη σύγχρονη ιστορία Ισπανίας. Ξεκίνησε ~15-16/7, για 6η μέρα της στις 21/7 (εντός παραθύρου 3 ημερών). Κάηκαν &gt;32.000 εκτάρια (22/7 ενημέρωση). Άνω από 1.200 άτομα εκκενώθηκαν. Θερμ. άνω 40°C. Παράλληλα στη Γαλλία (Gironde) σκοτώθηκαν 2 πυροσβέστες (21/7, ανεπαρκή στοιχεία για ξεχωριστή εγγραφή). | Έκτη ημέρα κατάσβεσης στις 21/7/2026. Πάνω από 600 πυροσβέστες και στρατιωτικοί, 29 αεροσκάφη. Στις 21/7 είχαν καεί ~29.000 εκτάρια πριν φτάσει η πυρκαγιά τα 32.000 ha. Χαρακτηρίστηκε «μία από τις μεγαλύτερες στη σύγχρονη ιστορία» από το ΥΠΕΝ Ισπανίας. | Γνωστή ως πυρκαγιά «La Mierla» – ξεκίνησε 16/7 στο Sierra Norte Natural Park. Η 2η μεγαλύτερη στην Ισπανία τον 21ο αιώνα. Εκκενώθηκαν 34 χωριά. Σταθεροποιήθηκε 23/7 αλλά δεν κατασβέστηκε πλήρως. | Σταθεροποιήθηκε Πέμπτη 23 Ιουλίου 2026 (Al Jazeera / Wikipedia). 2η μεγαλύτερη πυρκαγιά Ισπανίας 21ου αιώνα και ιστορικά μεγαλύτερη στην Καστίλη-Λα Μάντσα. Δεν αναφέρεται αιτία. | Σταθεροποιήθηκε 23/7/2026. Εκτοπισμένοι επέστρεψαν στις 29/7/2026. Δεύτερη μεγαλύτερη πυρκαγιά στην Ισπανία τα τελευταία 100 χρόνια· μεγαλύτερη ιστορικά στη Καστίλη-Λα Μάντσα. Ευρωπαϊκή ενίσχυση μέσω ERCC: 6 εναέρια μέσα (Ελλάδα, Ιταλία, Τουρκία), 134 πυροσβέστες + 41 οχήματα από Πορτογαλία.</t>
  </si>
  <si>
    <t>Ροδολίβος Σερρών</t>
  </si>
  <si>
    <t>Σέρρες</t>
  </si>
  <si>
    <t>Δασική πυρκαγιά. Αναφέρθηκε σε άρθρο ertnews.gr εντός της περιόδου ανάλυσης. Χάρτης κινδύνου 19/07 δεν κατέβηκε.</t>
  </si>
  <si>
    <t>Orés, Zaragoza</t>
  </si>
  <si>
    <t>Zaragoza / Aragón</t>
  </si>
  <si>
    <t>Orés</t>
  </si>
  <si>
    <t>εμπρησμός (σύλληψη υπόπτου — βρέθηκε με αναπτήρα και εύφλεκτα υλικά, ιστορικό παρόμοιων αδικημάτων σε άλλες ισπανικές επαρχίες)</t>
  </si>
  <si>
    <t>https://www.euractiv.com/news/wildfires-sweep-across-thousands-of-hectares-in-spain/ ; https://www.euronews.com/my-europe/2026/07/18/wildfires-in-spain-zaragoza-blaze-destroys-over-15400-hectares ; https://inspain.news/zaragoza-wildfire-reaches-15-400-hectares-as-seven-communities-remain-evacuated/ ; https://www.indexbox.io/blog/spain-battles-three-active-wildfires-as-largest-blaze-of-2026-burns-12000-hectares/ ; https://www.thelocal.es/20260720/800-evacuated-as-spains-biggest-wildfire-of-the-year-rages-on ; https://okdiario.com/espana/fuego-ores-zaragoza-descontrola-ya-devora-15-400-hectareas-19021789 ; https://www.elespanol.com/aragon/actualidad/20260718/incendio-ores-peor-espana-arrasado-sexta-parte-hectareas-calcinadas-dl/1003744325723_0.amp.html ; https://www.spainenglish.com/2026/07/20/spains-largest-wildfire-of-2026-spreads-beyond-26000-hectares-as-heatwave-fuels-fears/ ; https://brusselssignal.eu/2026/07/spain-fights-two-major-wildfires-as-burnt-area-outpaces-last-year/</t>
  </si>
  <si>
    <t>Κοντά στο Orés, Ζαραγόζα. ~15.400 εκτ. Μέρος της ίδιας περιφερειακής κατάστασης έκτακτης ανάγκης Αραγονίας. | Μεγαλύτερη πυρκαγιά 2026 στην Ισπανία· 15.400 ha, περίμετρος ~60 km. Άνω 450 πυροσβέστες + Στρατιωτική Μονάδα Εκτάκτων (UME) + εξειδικευμένα συνεργεία από άλλες περιοχές. Άνω 20 εναέρια μέσα. Εκκένωση 7 κοινοτήτων. Ισχυροί άνεμοι και χαμηλή υγρασία επιδείνωσαν την εξέλιξη. Ακόμα σε εξέλιξη 18–19/07/2026. | Μέρος ίδιας περιφερειακής έκτακτης ανάγκης με Sierra Norte. Ενεργή 19/7. ~15.400 ha. | Έκταση αυξήθηκε από 15.400→16.000 ha πριν σταματήσει η εξάπλωση (okdiario.com). The Local (20/07): 'remains active, even though it is now under control' — κάτοικοι Orés/Asín/Malpica de Arba/Luesia/Uncastillo επέστρεψαν στα σπίτια τους. Η ημ/νία βάσης 2026-07-19 πιθανόν αφορά ημ/νία αναφοράς, ενώ η έναρξη ήταν ~15-16/07. | Ενεργή στις 19/7/2026· μέρος ευρύτερης έκτακτης ανάγκης Αραγώνας· ~15.400 εκτάρια | Πυρκαγιά ξεκίνησε 15/07/2026. Βραδινά 19/07 η κυβέρνηση Αραγωνίας ανακοίνωσε προσωρινή σταθεροποίηση (~14.400 ha). Στη διάρκεια της νύχτας 19-20/07 επεκτάθηκε εκ νέου: &gt;26.000 ha στις 20/07. Στις 20/07 ανέβηκε σε 655 πυροσβέστες, 33 αεροσκάφη, 33 ground crews. Μεγαλύτερη πυρκαγιά Ισπανίας 2026.</t>
  </si>
  <si>
    <t>Incendio Orés — Zaragoza</t>
  </si>
  <si>
    <t>Ισπανία/Αραγωνία (Zaragoza)</t>
  </si>
  <si>
    <t>https://www.euractiv.com/news/wildfires-sweep-across-thousands-of-hectares-in-spain/ ; https://www.infobae.com/espana/agencias/2026/07/19/estabilizado-el-incendio-de-ores-zaragoza-tras-quemar-14400-hectareas/ ; https://www.moncloa.com/2026/07/17/incendio-ores-zaragoza-12000-hectareas-3401365</t>
  </si>
  <si>
    <t>Κοντά στο Orés, Zaragoza. Ενεργή στις 19/7/2026. Μέρος της ίδιας περιφερειακής έκτακτης ανάγκης της Αραγωνίας με το Guadalajara. | Κοντά στο Orés, Zaragoza. Ενεργή 19/7/2026. Μέρος ίδιας περιφερειακής έκτακτης ανάγκης με Guadalajara. | Κοντά στο Orés, ~15.400 ha. Ενεργή 19/07. Μέρος ίδιας περιφερειακής έκτακτης ανάγκης Αραγωνίας. | Σταθεροποίηση ανακοινώθηκε 2026-07-19 (αντιπρόεδρος Αραγωνίας Mar Vaquero). Εκκενώθηκαν 5 δήμοι: Orés, Asín, Malpica de Arba, Luesia, Uncastillo. Αιτία μη επιβεβαιωμένη. Περίμετρος 78 km.</t>
  </si>
  <si>
    <t>Sierra Norte / Parque Natural</t>
  </si>
  <si>
    <t>Ισπανία / Guadalajara (Καστίλη-Λα Μάντσα)</t>
  </si>
  <si>
    <t>αγροτικές εργασίες (labores agrícolas)</t>
  </si>
  <si>
    <t>https://www.euractiv.com/news/wildfires-sweep-across-thousands-of-hectares-in-spain/ ; https://www.infobae.com/espana/agencias/2026/07/21/el-incendio-de-la-sierra-norte-de-guadalajara-es-ya-el-segundo-por-superficie-quemada/ ; https://www.que.es/2026/07/23/incendio-guadalajara-2026-hectareas-evacuados/</t>
  </si>
  <si>
    <t>~100 χλμ. βόρεια της Μαδρίτης· ενεργή στις 19/07/2026 με δυσχέρειες στον έλεγχο· μέρος της ίδιας περιφερειακής έκτακτης ανάγκης με Zaragoza | Ενεργή ακόμα στις 2026-07-23. Δεύτερη μεγαλύτερη πυρκαγιά στην ιστορία της Ισπανίας. Μεγαλύτερη πυρκαγιά στην ιστορία Καστίλης-Λα Μάντσα. Περίμετρος &gt;120 km. 34 κοινότητες εκκενώθηκαν, 1.200+ εκτοπισμένοι. Δευτερεύον μέτωπο στη Selas.</t>
  </si>
  <si>
    <t>Sierra Norte de Guadalajara</t>
  </si>
  <si>
    <t>Guadalajara / Comunidad de Madrid</t>
  </si>
  <si>
    <t>Guadalajara</t>
  </si>
  <si>
    <t>Μηχανήματα αγροτικών εργασιών (προσωρινή εκτίμηση)</t>
  </si>
  <si>
    <t>https://www.euractiv.com/news/wildfires-sweep-across-thousands-of-hectares-in-spain/ ; https://www.skai.gr/news/world/pyrkagia-mainetai-100-xiliometra-voreia-tis-madritis-staxti-120000-stremmata ; https://en.wikipedia.org/wiki/2026_Spain_wildfires ; https://russpain.com/news/guadalajara-wildfire-destroys-26-000-hectares-and-forces-1-200-to-evacuate-73480/ ; https://www.theolivepress.es/spain-news/2026/07/20/1000-evacuated-guadalajara-largest-wildfire-tears-through-26000-hectares/</t>
  </si>
  <si>
    <t>Φυσικό Πάρκο Sierra Norte, ~100 χλμ βόρεια Μαδρίτης. Έναρξη 16/07/2026, ενεργή 19/07. &gt;13.000 εκτ. Δύσκολη κατάσβεση. | ~100 χλμ. βόρεια Μαδρίτης, Φυσικό Πάρκο Sierra Norte. Ενεργή στις 19/7/2026, δύσκολη στον έλεγχο. &gt;13.000 εκτάρια (πηγή Euractiv) / ~12.000 εκτάρια (πηγή SKAI/120.000 στρέμματα). | Φυσικό Πάρκο Sierra Norte, ~100 km βόρεια Μαδρίτης. &gt;13.000 ha. Ενεργή 19/07, δύσκολη στον έλεγχο. | Ενεργή στις 19/7/2026· &gt;13.000 εκτάρια· δύσκολη στον έλεγχο | Ενεργή στις 19/7· Φυσικό Πάρκο Sierra Norte ~100 km βόρεια Μαδρίτης· δύσκολη στον έλεγχο | Μεγαλύτερη πυρκαγιά στην ιστορία Καστίλης-Λα Μάντσα· κάηκε &gt;90% Φυσικού Πάρκου Sierra Norte. Εκκενώθηκαν ~1.200 κάτοικοι από 34 δήμους. Δυνάμεις: UME + περιφερειακοί πυροσβέστες + δασοπυροσβέστες + &gt;20 εναέρια. Γνωστή και ως πυρκαγιά La Mierla. Έκταση 32.000 ha εκτίμηση ημ. 23/07/2026.</t>
  </si>
  <si>
    <t>Sierra Norte de Madrid</t>
  </si>
  <si>
    <t>Ισπανία / Guadalajara – Comunidad de Madrid</t>
  </si>
  <si>
    <t>https://www.euractiv.com/news/wildfires-sweep-across-thousands-of-hectares-in-spain/ ; https://en.wikipedia.org/wiki/2026_Spain_wildfires ; https://russpain.com/news/guadalajara-wildfire-destroys-26-000-hectares-and-forces-1-200-to-evacuate-73480/ ; https://www.theolivepress.es/spain-news/2026/07/20/1000-evacuated-guadalajara-largest-wildfire-tears-through-26000-hectares/</t>
  </si>
  <si>
    <t>Ενεργή στις 19/7. ~100 km βόρεια Μαδρίτης. Δύσκολος έλεγχος. Έκταση &gt;13.000 ha. | Ίδια πυρκαγιά με Sierra Norte de Guadalajara (La Mierla). Μεγαλύτερη στην ιστορία Καστίλης-Λα Μάντσα· κάηκε &gt;90% Φυσικού Πάρκου. Εκκενώθηκαν ~1.200 κάτοικοι από 34 δήμους. UME + &gt;20 εναέρια. Έκταση 32.000 ha εκτίμηση ημ. 23/07/2026.</t>
  </si>
  <si>
    <t>Φυσικό Πάρκο Sierra Norte</t>
  </si>
  <si>
    <t>Guadalajara, Καστίλη-Λα Μάντσα, Ισπανία</t>
  </si>
  <si>
    <t>~100 χλμ βόρεια Μαδρίτης. Ενεργή και δύσκολη στον έλεγχο στις 19/7/2026. Μέρος περιφερειακής έκτακτης ανάγκης Αραγόν/Καστίλης. | Ίδια πυρκαγιά με Sierra Norte de Guadalajara (La Mierla). Κάηκε &gt;90% Φυσικού Πάρκου Sierra Norte. Εκκενώθηκαν ~1.200 κάτοικοι από 34 δήμους. UME + &gt;20 εναέρια. Έκταση 32.000 ha εκτίμηση ημ. 23/07/2026.</t>
  </si>
  <si>
    <t>Δάσος Fontainebleau</t>
  </si>
  <si>
    <t>Île-de-France, Γαλλία</t>
  </si>
  <si>
    <t>Fontainebleau</t>
  </si>
  <si>
    <t>Ύποπτος εμπρησμός (2 συλλήψεις)</t>
  </si>
  <si>
    <t>https://www.independent.co.uk/bulletin/news/paris-france-wildfires-fontainebleau-forest-b3014656.html ; https://www.iqair.com/eu/newsroom/wildfire-map-spotlight-fontainebleau-forest-fire-france ; https://www.dhakatribune.com/amp/world/europe/415108/wildfires-ravage-over-1-300-hectares-of-historic ; https://www.ertnews.gr/eidiseis/diethni/aney-proigoumenou-pyrkagia-saronei-to-dasos-tou-fontenemplo-sta-perixora-tou-parisiou/ ; https://www.france24.com/en/france/20260714-more-than-1-900-hectares-fontainebleau-forest-near-paris-destroyed-by-wildfires ; https://www.euronews.com/my-europe/2026/07/14/fontainebleau-fire-still-burning-as-850-firefighters-tackle-blaze ; https://eu-space.europa.eu/components/earth-observation-copernicus/image-of-the-day/wildfire-burns-fontainebleau-forest-france ; https://www.nbcnews.com/world/europe/major-fire-fontainebleau-forest-paris-forces-evacuations-disrupts-trai-rcna587246 ; https://www.sortiraparis.com/en/news/in-paris/articles/349144-fontainebleau-fire-fires-under-control-six-people-in-custody ; https://www.connexionfrance.com/news/wildfire-updates-july-15-blazes-continue-across-france/800420</t>
  </si>
  <si>
    <t>Ενεργή 12–14/7/2026. &gt;1.300 εκτάρια. Περίπου 60χλμ νοτιοανατολικά Παρισιού. Κατάσβεση συνεχιζόταν στις 14/07. | Δύο ξεχωριστά μέτωπα στο ίδιο δάσος: 1η πυρκαγιά ξεκίνησε 12/7 (Κυριακή) ~1.600 εκτ. · 2η ξεκίνησε 13/7 (Δευτέρα) ~450 εκτ. · σύνολο &gt;2.050 εκτ. Εκκενώθηκαν ~1.000 κάτοικοι. «Περιορισμένες αλλά όχι κατασβεσμένες» κατά τον νομάρχη (14/7). Canadair αεροσκάφη χρησιμοποιήθηκαν. Αποστολή αστυνομίας — ένας εκ των δύο συλληφθέντων αφέθηκε ελεύθερος. | Ενεργή 12–14/7/2026. Πάνω από 1.300 εκτάρια. Δάσος UNESCO ~60χλμ ΝΑ Παρισιού. Κατάσβεση σε εξέλιξη στις 14/7. | Δάσος Fontainebleau ~60 χλμ. ΝΑ Παρισίου. Έναρξη 12/7, ενεργή 13–14/7/2026. Κατάσβεση σε εξέλιξη στις 14/7 (ημερομηνία email). &gt;1.300 εκτάρια καμένα. | Οριοθετήθηκε 14 Ιουλίου 2026 μετά από 48ωρη επιχείρηση. Εθελοντής πυροσβέστης παραδέχθηκε χρήση αναπτήρα+βενζίνης· δεύτερος ύποπτος πέταξε αναμμένο τσιγάρο. Σύνολο 6 συλλήψεις. Εναέρια μέσα: 3 Canadair, 1 Dash, 2 ελικόπτερα. | Ενεργή 12–14 Ιουλίου 2026, ~60 χλμ. ΝΑ Παρισιού. &gt;1.300 εκτάρια καμένα. Κατάσβεση σε εξέλιξη στις 14/7. Δύο ύποπτοι για εμπρησμό συνελήφθησαν. | Έναρξη 12/07/2026· ενεργή 13–14/07. Yutori Scout (email 14/07): &gt;1.300 ha καμένα, κατάσβεση σε εξέλιξη. Δύο ύποπτοι συνελήφθησαν για εμπρησμό. | Υπό έλεγχο μετά από ~48 ώρες κατάσβεσης (βράδυ Τρίτης 14/07/2026). Η 'υπό έλεγχο' κατάσταση σημαίνει ότι δεν προχωρεί αλλά δεν έχει κατασβεστεί· κίνδυνος 'zombie fires' (σβουρμένα κάρβουνα σε τύρφη). ~800-950 πυροσβέστες σε επιφυλακή. | Οριοθέτηση (containment) επιτεύχθηκε βραδινές ώρες 14/7/2026 (~48 ώρες μετά την έναρξη). Δεν είχε κατασβεστεί πλήρως έως 15/7 – εκτεταμένες εργασίες noyage (κατάσβεση υπόγειων ανθρακιών) λόγω τυρφώδους εδάφους. ~800 πυροσβέστες παρέμεναν αναπτυγμένοι. | Ορθή νομαρχία: Seine-et-Marne. Φωτιά ετέθη υπό έλεγχο μετά από ~48 ώρες μάχης (περ. 14/07/2026). Δεν είχε κατασβεσθεί πλήρως στις 15/07.</t>
  </si>
  <si>
    <t>Seine-et-Marne</t>
  </si>
  <si>
    <t>Εμπρησμός – 6 συλλήψεις συνολικά· 2 ομολόγησαν: εθελοντής πυροσβέστης (γεν. 2007) χρησιμοποίησε αναπτήρα και βενζίνη· δεύτερος νεαρός (γεν. 2007) άφησε αναμμένο τσιγάρο στη ζώνη Grand Parquet</t>
  </si>
  <si>
    <t>https://www.independent.co.uk/bulletin/news/paris-france-wildfires-fontainebleau-forest-b3014656.html ; https://www.iqair.com/eu/newsroom/wildfire-map-spotlight-fontainebleau-forest-fire-france ; https://www.sortiraparis.com/en/news/in-paris/articles/349144-fontainebleau-fire-fires-under-control-six-people-in-custody ; https://www.euronews.com/my-europe/2026/07/14/fontainebleau-fire-still-burning-as-850-firefighters-tackle-blaze ; https://www.france24.com/en/france/20260714-more-than-1-900-hectares-fontainebleau-forest-near-paris-destroyed-by-wildfires ; https://www.connexionfrance.com/news/wildfire-updates-july-15-blazes-continue-across-france/800420 ; https://www.france24.com/en/as-the-smoke-clears-the-fontainebleau-forest-takes-stock-of-its-destruction</t>
  </si>
  <si>
    <t>Κατεγράφη χωρίς ενεργό μέτωπο το βράδυ Τρίτης 14/07 (~48ωρη επιχείρηση από 12/07). Δεν είχε κατασβεστεί πλήρως ως 15/07 λόγω υπόγειων εστιών τύρφης. 800 πυροσβέστες παρέμειναν σε επιφυλακή για επανεξάψεις. Εναέρια: 3 Canadair + 1 Dash (ρίψεις νερού) + 2 ελικόπτερα ρίψεων + 1 ελικόπτερο διοίκησης. | Υπό έλεγχο μετά από ~48 ώρες κατάσβεσης (βράδυ Τρίτης 14/07/2026). Η 'υπό έλεγχο' κατάσταση σημαίνει ότι δεν προχωρεί αλλά δεν έχει κατασβεστεί· κίνδυνος 'zombie fires'. ~800-950 πυροσβέστες σε επιφυλακή. | Οριοθέτηση (containment) επιτεύχθηκε βραδινές ώρες 14/7/2026 (~48 ώρες μετά την έναρξη). Δεν είχε κατασβεστεί πλήρως έως 15/7 – εκτεταμένες εργασίες noyage (κατάσβεση υπόγειων ανθρακιών) λόγω τυρφώδους εδάφους. ~800 πυροσβέστες παρέμεναν αναπτυγμένοι. | Φωτιά ετέθη υπό έλεγχο μετά από ~48 ώρες (περ. 14/07/2026). Στις 15/07 παρέμεναν ~800 πυροσβέστες σε ετοιμότητα· δεν είχε κατασβεσθεί πλήρως. Ύπαρξη εκ των υστέρων ανάλυσης France24 ('as the smoke clears') υποδηλώνει τελική κατάσβεση.</t>
  </si>
  <si>
    <t>Los Gallardos (Bédar)</t>
  </si>
  <si>
    <t>Ισπανία / Ανδαλουσία</t>
  </si>
  <si>
    <t>Los Gallardos, Almería</t>
  </si>
  <si>
    <t>UME (Μονάδα Στρατιωτικών Εκτάκτων) σε κινητοποίηση</t>
  </si>
  <si>
    <t>πτώση ηλεκτροφόρου καλωδίου (υπό διακρίβωση)</t>
  </si>
  <si>
    <t>https://www.tbsnews.net/worldbiz/europe/spanish-wildfire-victims-burned-cars-roads-turned-death-traps-1485126 ; https://www.ertnews.gr/roi-idiseon/ispania-se-yfesi-i-foniki-pyrkagia-stin-almeria-pou-afise-piso-tis-12-nekrous-agonia-gia-tous-agnooumenous/ ; https://www.ertnews.gr/roi-idiseon/tragodia-stin-ispania-12-nekroi-19-agnooumenoi-staxti-31-000-stremmata-apo-ti-megali-dasiki-pyrkagia-en-meso-akraion-thermokrasion/ ; https://www.cnn.gr/kosmos/story/543080/ispania-dekades-nekroi-se-mia-apo-tis-pio-fonikes-pyrkagies-stin-istoria-tis-xoras-23-agnooymenoi ; https://www.euronews.com/my-europe/2026/07/10/majority-of-12-victims-of-spain-wildfires-believed-to-be-foreigners-officials-say ; https://www.ertnews.gr/eidiseis/diethni/tragodia-stin-ispania-enteka-nekroi-apo-dasiki-pyrkagia-stin-almeria/ ; https://en.wikipedia.org/wiki/2026_Los_Gallardos_wildfire ; https://watchers.news/2026/07/10/fast-moving-wildfire-near-los-gallardos-kills-at-least-12-under-extreme-heat-spain/ ; https://www.euronews.com/my-europe/2026/07/15/spain-confirms-12-foreigners-among-13-victims-of-los-gallardos-wildfire-as-missing-toll-ri</t>
  </si>
  <si>
    <t>Τουλάχιστον 12 νεκροί, 23 αγνοούμενοι. Ταχέως κινούμενη πυρκαγιά σε ορεινό έδαφος. Ενεργή κατά τη δημοσίευση 11/7/2026. | Ταχέως κινούμενη σε ορεινό έδαφος· τουλάχιστον 12 νεκροί, 23 αγνοούμενοι· θύματα σε καμένα αυτοκίνητα στους δρόμους | Τουλάχιστον 12 νεκροί και 23 αγνοούμενοι. Ταχέως κινούμενη πυρκαγιά σε ορεινό έδαφος. Ενεργή κατά τη δημοσίευση 11/07/2026. | ≥12 νεκροί, 23 αγνοούμενοι. Ταχέως κινούμενη δασική πυρκαγιά σε ορεινό έδαφος Ανδαλουσίας. Κατάσταση κατά δημοσίευση 11/07. | Τουλάχιστον 12 νεκροί (πλειοψηφία αλλοδαποί), 23 αγνοούμενοι. ~800 εκκενωθέντες, ~200 σε προσωρινά καταλύματα. 66.000 στρέμματα (6.600 ha) — ταχέως κινούμενη σε ορεινό ανάγλυφο. Στρατιωτική Υπηρεσία Έκτακτης Ανάγκης (UME) συμμετείχε. Σε ύφεση από 11/7. | 12 νεκροί, 19 αγνοούμενοι (κυρίως τουρίστες που εγκατέλειψαν με οχήματα αντίθετα σε οδηγίες). Ταχέως κινούμενη σε ορεινό έδαφος με φαράγγια. Τρίτος ευρωπαϊκός καύσωνας 6 εβδομάδων. 31.000 στρέμματα = 3.100 ha. Κατάσταση ενεργή κατά τη δημοσίευση 11/7. | ≥12 νεκροί, 23 αγνοούμενοι. Ταχέως κινούμενη πυρκαγιά σε ορεινό έδαφος. Ενεργή κατά δημοσίευση Yutori (11/07/2026). | 13 νεκροί (12 αλλοδαποί, 1 Ισπανός), 17+ τραυματίες, εκκένωση &gt;1.600 κατοίκων. Η πυρκαγιά ξεκίνησε 09/07, σταθεροποιήθηκε 14/07 οπότε και άρθηκαν τα μέτρα εκκένωσης. Τρίτη θανατηφόρα πυρκαγιά στην ιστορία της Ισπανίας. | Πυρκαγιά ξεκίνησε 9 Ιουλίου 2026 (πηγή: Wikipedia — εγγεγραμμένη ημ/νία 2026-07-10 πιθανώς αντανακλά ώρα αρχικής καταγραφής). Σταθεροποιήθηκε 12 Ιουλίου 2026· εκκένωση ανακλήθηκε 14 Ιουλίου 2026. 13 νεκροί (12 αλλοδαποί: 7 Βρετανοί, 3 Βέλγοι, 1 Γάλλος, 1 Αμερικανός, 1 Ισπανός), 17 τραυματίες, &gt;1.600 εκκενωθέντες. Χαρακτηρίστηκε θανατηφορότερη πυρκαγιά στην ιστορία Ανδαλουσίας και 3η στην ιστορία Ισπανίας. Αιτία: μάρτυρες ανέφεραν πτώση ηλεκτροφόρου καλωδίου Endesa — η εταιρεία αμφισβητεί ότι το καλώδιο ήταν ενεργό ή δικό της.</t>
  </si>
  <si>
    <t>Trevillach, Pyrénées-Orientales</t>
  </si>
  <si>
    <t>Γαλλία / Occitanie / Pyrénées-Orientales</t>
  </si>
  <si>
    <t>Trevillach</t>
  </si>
  <si>
    <t>https://www.dailymail.com/news/article-15961671/Southern-Europe-flames.html ; https://civil-protection-humanitarian-aid.ec.europa.eu/news-stories/news/eu-deploys-wildfire-support-face-multiple-fires-across-portugal-and-france-2026-07-06_en ; https://www.connexionfrance.com/news/france-wildfire-update-blazes-continue-across-south-as-red-alerts-raised/800611 ; https://www.pyrenees-orientales.gouv.fr/Actualites/Communique-de-presse/Annee-2026/Juillet-2026/Incendie-de-Trevillach-Point-de-situation-n-18-le-11.07.26-a-18h30</t>
  </si>
  <si>
    <t>Εκκένωση ~10.000 ατόμων. 2 τραυματίες. Ώρα ανακοίνωσης: 10:00 τοπική / 11:00 EEST. Μεγαλύτερη πυρκαγιά της ΕΕ στο πλαίσιο κύματος θερμότητας Νότιας Ευρώπης. | Ώρα 10:00 τοπική (11:00 EEST). Εκκένωση 10.000 ατόμων. 2 τραυματίες. Δεν είχε πλήρως περιοριστεί στις 8/7. | Εκκένωση ~10.000 ατόμων. 2 τραυματίες. Ώρα ενημέρωσης 10:00 τοπική (11:00 EEST) 8 Ιουλίου 2026. Μέρος ευρύτερης κρίσης νότιας Ευρώπης: &gt;20.000 ha καμένα συνολικά. | Επίσημα οριοθετήθηκε (fixée) 11/07/2026 18:30 — Point de situation n°18. Πυρκαγιά ξεκίνησε 04/07/2026 19:31 (Tarerach/Trévillach). Τελικό προσωπικό 860 πυροσβέστες (29 διαμερίσματα + ευρωπαϊκές μονάδες). Τελική έκταση ~4.900 ha. Εκκένωση ~12.000 κατοίκων 26 κοινοτήτων.</t>
  </si>
  <si>
    <t>El Alamillo Wildfire</t>
  </si>
  <si>
    <t>Sierra de Grazalema, Cádiz, Ισπανία</t>
  </si>
  <si>
    <t>El Alamillo</t>
  </si>
  <si>
    <t>https://www.dailymail.com/news/article-15958515/Tourists-flee-hotels-villas-wildfire-bears-Spanish-holiday-hotspot-unstoppable-blaze-rages-France-Europe-roasts-new-heatwave.html ; https://www.dailymail.com/news/article-15961671/Southern-Europe-flames.html</t>
  </si>
  <si>
    <t>Κοντά στο Φυσικό Πάρκο La Brena. Εκκενώσεις. Κλειστοί δρόμοι A-372 και CA-9123. | Sierra de Grazalema, κοντά στο Φυσικό Πάρκο La Brena. Εκκενώσεις. Κλειστοί δρόμοι A-372 και CA-9123. | Κοντά στο Φυσικό Πάρκο La Brena. Εκκενώσεις περιοχής. Κλειστοί δρόμοι A-372 και CA-9123. | Κοντά στο Φυσικό Πάρκο La Breña. Εκκενώσεις. Δρόμοι A-372 και CA-9123 κλειστοί. 50 πυροσβέστες, 10 αεροσκάφη.</t>
  </si>
  <si>
    <t>El Alamillo, Sierra de Grazalema</t>
  </si>
  <si>
    <t>Ισπανία / Ανδαλουσία / Cádiz</t>
  </si>
  <si>
    <t>Grazalema</t>
  </si>
  <si>
    <t>https://www.dailymail.com/news/article-15958515/Tourists-flee-hotels-villas-wildfire-bears-Spanish-holiday-hotspot-unstoppable-blaze-rages-France-Europe-roasts-new-heatwave.html</t>
  </si>
  <si>
    <t>Κοντά στο Φυσικό Πάρκο La Brena. Εκκενώσεις. Κλειστοί δρόμοι A-372 και CA-9123. | Κοντά στο Φυσικό Πάρκο La Brena. Εκκενώσεις τουριστών. Οδοί A-372 και CA-9123 κλειστές. | Κοντά στο Φυσικό Πάρκο La Brena. Εκκενώσεις. Κλειστές οδοί A-372 και CA-9123. Ώρα πληροφορίας 8 Ιουλίου 2026.</t>
  </si>
  <si>
    <t>2026-07-11</t>
  </si>
  <si>
    <t>Πυρκαγιά Drôme</t>
  </si>
  <si>
    <t>Drôme, Γαλλία</t>
  </si>
  <si>
    <t>https://www.dailymail.com/news/article-15958515/Tourists-flee-hotels-villas-wildfire-bears-Spanish-holiday-hotspot-unstoppable-blaze-rages-France-Europe-roasts-new-heatwave.html ; https://www.rcf.fr/articles/actualite/incendie-a-die-un-impact-de-foudre-a-lorigine-du-plus-important-incendie-du ; https://universal-languages.fr/incendies-juillet-2026-feux-fixes-pyrenees-orientales-drome/ ; https://www.atmo-auvergnerhonealpes.fr/actualite/incendie-dans-le-diois-26-mobilisation-pour-suivre-limpact-des-fumees ; https://www.rcf.fr/articles/actualite/en-direct-2-500-hectares-deja-ravages-par-les-flammes-a-die ; https://france3-regions.franceinfo.fr/auvergne-rhone-alpes/drome/incendie-a-die-apres-quinze-jours-de-lutte-le-feu-est-fixe-mais-pas-maitrise-3387391.html ; https://feuxdeforet.fr/drome-26/die-02-07-2026-1192/</t>
  </si>
  <si>
    <t>Πάνω από 2.000 εκτάρια. Εκκένωση δύο κατασκηνώσεων. Φωτιά διαδιδόταν κατά την αναφορά. | Εκκένωση δύο κατασκηνώσεων. &gt;2.000 ha καμένα. Πυρκαγιά ενεργή και διαδιδόμενη. | Εκκένωση 2 κατασκηνώσεων. Ελάχιστη καμένη έκταση &gt;2.000 εκτάρια, εξαπλωνόταν κατά 08/07. | Εκκένωση 2 κατασκηνώσεων. Καμένη έκταση &gt;2.000 εκτάρια. | &gt;2.000 εκτάρια. Εκκένωση 2 κατασκηνώσεων. Πυρκαγιά ενεργή και εξαπλωνόταν ως 8/7 απόγευμα. | Έκταση &gt;2.000 ha (ελάχιστο). Εκκενώθηκαν 2 κατασκηνώσεις. Φωτιά σε εξέλιξη και εξαπλωνόταν ενεργά. | &gt;2.000 εκτάρια, εκκένωση 2 κατασκηνώσεων. Συνεχιζόταν εξάπλωση στις 8/7. burned_area_ha = ελάχιστο τεκμηριωμένο. | Εκκένωση 2 κατασκηνώσεων. &gt;2.000 εκτάρια κατά τη στιγμή αναφοράς 8 Ιουλίου 2026. Ώρα ενημέρωσης: δεν αναφέρεται. | Φωτιά ξεκίνησε νύχτα 2-3 Ιουλίου στο μάζα Justin, ύψη Die. Μεγαλύτερη πυρκαγιά Drôme εδώ και 30 χρόνια. Τελική έκταση &gt;4.000 ha (ενδιάμεσο 9/7: &gt;3.000 ha). Feux fixés (οριοθετημένα). | Τελική έκταση: 4.400 ha parcourus (εκ των οποίων ~2.700 ha πλήρως καμένα). Η πυρκαγιά εκδηλώθηκε ~2-3 Ιουλίου 2026 (feuxdeforet.fr: die-02-07-2026) και «fixé» (οριοθετήθηκε) μετά από περίπου 15 ημέρες μάχης (~17-18 Ιουλίου). Μεγαλύτερη πυρκαγιά στη Drôme εδώ και 30 χρόνια.</t>
  </si>
  <si>
    <t>Πυρκαγιά La Bisbal d'Empordà</t>
  </si>
  <si>
    <t>Catalonia, Ισπανία</t>
  </si>
  <si>
    <t>La Bisbal d'Empordà</t>
  </si>
  <si>
    <t>https://thekabultribune.com/en/0009964</t>
  </si>
  <si>
    <t>Μέρος ευρύτερης κρίσης πυρκαγιών Καταλωνίας-Castellón 6/7/2026. Περιοχή Costa Brava. | Πυρκαγιά στην Costa Brava (La Bisbal d'Empordà). Ταυτόχρονα ενεργές φωτιές σε Castellón. Trevillach blaze Γαλλίας επηρέασε ισπανικό έδαφος.</t>
  </si>
  <si>
    <t>Πυρκαγιά Trevillach</t>
  </si>
  <si>
    <t>Pyrénées-Orientales, Γαλλία</t>
  </si>
  <si>
    <t>https://www.nypost.com/2026/07/06/world-news/thousands-evacuated-from-homes-in-southwest-france-as-wildfire-burns/ ; https://civil-protection-humanitarian-aid.ec.europa.eu/news-stories/news/eu-deploys-wildfire-support-face-multiple-fires-across-portugal-and-france-2026-07-06_en ; https://anewz.tv/world/world-news/21535/france-battles-wildfires-as-eu-sends-aircraft/news ; https://www.dailymail.com/news/article-15961671/Southern-Europe-flames.html ; https://www.dailymail.com/news/article-15958515/Tourists-flee-hotels-villas-wildfire-bears-Spanish-holiday-hotspot-unstoppable-blaze-rages-France-Europe-roasts-new-heatwave.html ; https://www.pyrenees-orientales.gouv.fr/Actualites/Communique-de-presse/Annee-2026/Juillet-2026/Incendie-de-Trevillach-Point-de-situation-n-18-le-11.07.26-a-18h30</t>
  </si>
  <si>
    <t>Εκκένωση 10.000 ατόμων. 2 τραυματίες. Αεροσκάφη rescEU από Κύπρο και Σουηδία. Στοιχεία έως 8/7 10:00 τοπική. Επηρέασε ισπανικό έδαφος κοντά στα σύνορα. | Εκκένωση &gt;10.000 ατόμων. 2 τραυματίες. Αεροσκάφη rescEU από Κύπρο και Σουηδία. Κοντά στα ισπανικά σύνορα. Ενεργή στις 08/07 (10:00 τοπ./11:00 EEST). | Εκκένωση ~10.000 ατόμων. 2 τραυματίες. ΕΕ ανέπτυξε αεροσκάφη rescEU από Κύπρο και Σουηδία. Επηρέασε ισπανικό έδαφος. Στοιχεία ενημερωμένα ως 08/07 (4.900 ha, 750 πυροσβέστες). | Εκκένωση &gt;10.000 ατόμων. 2 τραυματίες. Επηρεάζει ισπανική επικράτεια. rescEU αεροσκάφη ΕΕ από Κύπρο και Σουηδία. Στοιχεία 4.900 ha από ενημέρωση 8/7. | 10.000+ εκκενώσεις. 2 τραυματίες. rescEU αεροσκάφη από Κύπρο και Σουηδία. 4.900 ha καμένα ως 8/7 10:00 τοπική. Επηρεάζει ισπανικό έδαφος (La Junquera). Δεν έχει πλήρως περιοριστεί ως 8/7 11:00 EEST. | Η πυρκαγιά ξεκίνησε 04/07/2026 19:31 (Tarerach/Trévillach). Επίσημα οριοθετήθηκε (fixée) 11/07/2026 18:30 — Point de situation n°18. Τελικό προσωπικό: 860. Εκκένωση ~12.000 κατοίκων από 26 κοινότητες. Τελική έκταση ~4.900 ha.</t>
  </si>
  <si>
    <t>La Bisbal d'Empordà — Costa Brava</t>
  </si>
  <si>
    <t>Girona, Καταλονία, Ισπανία</t>
  </si>
  <si>
    <t>https://www.euronews.com/2026/07/05/forest-fire-figures-in-spain-in-2026 ; https://thekabultribune.com/en/0009964</t>
  </si>
  <si>
    <t>&gt;2.200 εκτάρια. Σταθεροποίηση 05/07/2026. Ισπανία: ~50.000 εκτάρια συνολικά το 2026, 14 μεγάλες πυρκαγιές &gt;500 ha. | Σταθεροποίηση 5/7. Μέρος ευρύτερης κρίσης Ισπανίας 2026: 14 μεγάλες πυρκαγιές (&gt;500 εκτ.), ~50.000 εκτ. συνολικά.</t>
  </si>
  <si>
    <t>Γαλλία / Pyrénées-Orientales</t>
  </si>
  <si>
    <t>https://www.lemonde.fr/en/international/article/2026/07/05/heatwave-fires-devastate-forests-across-europe_6755166_4.html ; https://www.dw.com/en/wildfires-rage-in-portugal-greece-france-and-spain/a-77839526 ; https://www.theguardian.com/world/2026/jul/06/wildfires-southern-europe-evacuations-tour-de-france-portugal-spain-greece-heatwave ; https://www.nypost.com/2026/07/06/world-news/thousands-evacuated-from-homes-in-southwest-france-as-wildfire-burns/ ; https://civil-protection-humanitarian-aid.ec.europa.eu/news-stories/news/eu-deploys-wildfire-support-face-multiple-fires-across-portugal-and-france-2026-07-06_en ; https://anewz.tv/world/world-news/21535/france-battles-wildfires-as-eu-sends-aircraft/news ; https://selectra.info/energie/actualites/marche/incendie-trevillach-plus-gros-feu-pyrenees-orientales-50-ans-fixe ; https://www.pyrenees-orientales.gouv.fr/Actualites/Communique-de-presse/Annee-2026/Juillet-2026/Incendie-de-Trevillach-Point-de-situation-n-12 ; https://www.pyrenees-orientales.gouv.fr/Actualites/Communique-de-presse/Annee-2026/Juillet-2026/Incendie-de-Trevillach-Point-de-situation-n-15-le-08.07.26-a-21h00</t>
  </si>
  <si>
    <t>Άνοιγμα καταφυγίων. Επιβεβαίωση πρόωρης έναρξης εποχής πυρκαγιών. Ώρα εκδήλωσης ~22:30 EEST. Ταυτόχρονα με τη φωτιά Drôme (~300 πυρ.). | &gt;1.000 εκτάρια. ~600 πυροσβέστες. Επιβεβαίωση πρόωρης έναρξης πυρκαγικής περιόδου. Άνοιγμα καταφυγίων. | &gt;1.000 εκτάρια. Άνοιγμα καταφυγίων. Επιβεβαίωση πρόωρης έναρξης αντιπυρικής περιόδου 2026. Ενεργοποίηση Ευρωπαϊκού Μηχανισμού Πολιτικής Προστασίας. | &gt;1.000 εκτάρια (ελάχιστο). &gt;10.000 εκκενωθέντες. ΕΕ ανέπτυξε 4 υδροβόμβες (Κύπρος + Σουηδία) μέσω ERCC. Πλήττει και ισπανικό έδαφος. Ώρα έναρξης κατά προσέγγιση. | Έναρξη ~22:30 EEST 4/7. Εκκένωση &gt;10.000 κατοίκων. ΕΕ ανέπτυξε 4 waterbombers (Κύπρος &amp; Σουηδία). Επέδρασε και σε ισπανικό έδαφος. | Μεγαλύτερη πυρκαγιά Pyrénées-Orientales τα τελευταία 50 χρόνια. Κορύφωση: 860 πυροσβέστες, 7 Canadair + 6 air-tractors + 4 ελικόπτερα. Ενισχύσεις από 29 γαλλικά τμήματα + Κύπρος, Σουηδία, Ισπανία. Εκκενώθηκαν έως 26 κοινότητες. Έναρξη: 04/07 19:31.</t>
  </si>
  <si>
    <t>Cantabria</t>
  </si>
  <si>
    <t>Ισπανία / Cantabria</t>
  </si>
  <si>
    <t>https://www.euronews.com/2026/07/05/forest-fire-figures-in-spain-in-2026</t>
  </si>
  <si>
    <t>Ενεργή Ιούνιος-Ιούλιος 2026. Μεγαλύτερη εστία στην Ισπανία. Σύνολο Ισπανίας 2026: ~50.000 εκτ., 14 πυρκαγιές &gt;500 εκτ. | Μεγαλύτερη πυρκαγιά Ισπανίας 2026 (~15.500 ha). Ενεργή από Ιούνιο–Ιούλιο 2026.</t>
  </si>
  <si>
    <t>Drôme</t>
  </si>
  <si>
    <t>Γαλλία / Drôme</t>
  </si>
  <si>
    <t>https://www.lemonde.fr/en/international/article/2026/07/05/heatwave-fires-devastate-forests-across-europe_6755166_4.html ; https://feuxdeforet.fr/drome/incendie-dans-la-drome-plus-de-3-000-hectares-parcourus-480-pompiers-mobilises-09-07-2026-7151/ ; https://www.ici.fr/auvergne-rhone-alpes/drome-26/die/die-un-incendie-en-cours-dans-une-zone-difficile-d-acces-60-hectares-ont-deja-brule-9323471 ; https://www.atmo-auvergnerhonealpes.fr/actualite/incendie-dans-le-diois-26-mobilisation-pour-suivre-limpact-des-fumees ; https://www.auvergne-rhone-alpes.ars.sante.fr/incendie-en-cours-dans-la-drome-point-de-situation-et-recommandations-sanitaires</t>
  </si>
  <si>
    <t>Δεύτερο μεγάλο μέτωπο στη Γαλλία. Ταυτόχρονα με Trevillach. | Δεύτερη ταυτόχρονη μεγάλη πυρκαγιά στο τμήμα Drôme. ~300 πυροσβέστες. | Δεύτερη ενεργή εστία Γαλλίας. ~300 πυροσβέστες. Ταυτόχρονη ανάπτυξη με Trevillach. | Δεύτερη μεγάλη εστία Γαλλίας — ~300 πυροσβέστες. Δεν αναφέρεται ακριβής τοποθεσία εντός Drôme. | Δεύτερη μεγάλη γαλλική πυρκαγιά (παράλληλη με Trevillach). Άνοιγμα καταφυγίων. | Πυρκαγιά εκδηλώθηκε νύχτα 2-3 Ιουλίου κοντά στη Die (Diois, Drôme) από κεραυνό. Μεγαλύτερη πυρκαγιά Drôme σε 30 χρόνια. Στις 9/7: &gt;3.000 ha και 480 πυροσβέστες/στρατιωτικοί. Τελική εκτίμηση &gt;4.000 ha καμένης δασικής έκτασης.</t>
  </si>
  <si>
    <t>Ισπανία / Catalunya (Costa Brava)</t>
  </si>
  <si>
    <t>https://www.euronews.com/2026/07/05/forest-fire-figures-in-spain-in-2026 ; https://thekabultribune.com/en/0009964 ; https://www.theguardian.com/world/2026/jul/06/wildfires-southern-europe-evacuations-tour-de-france-portugal-spain-greece-heatwave</t>
  </si>
  <si>
    <t>Σταθεροποίηση 5/7. Μία από τις 14 μεγάλες πυρκαγιές (&gt;500 εκτ.) στην Ισπανία το 2026 (σύνολο ~50.000 εκτ.). | Σταθεροποίηση 5/7. Μία από τις 14 μεγάλες πυρκαγιές (&gt;500 ha) του 2026 στην Ισπανία. Συνολικά ~50.000 ha καμένα στην Ισπανία το 2026. | &gt;2.200 εκτάρια. Σταθεροποίηση 5/7. Costa Brava, Girona. Στις 6/7 αναφέρονται και άλλες ενεργές εστίες στην Catalonia και Castellón.</t>
  </si>
  <si>
    <t>Despeñaperros Natural Park</t>
  </si>
  <si>
    <t>Andalucía – Jaén, Ισπανία</t>
  </si>
  <si>
    <t>Despeñaperros (Santa Elena)</t>
  </si>
  <si>
    <t>https://www.euronews.com/2026/07/02/spain-enters-peak-fire-season-with-blazes-active-and-50000-hectares-burned</t>
  </si>
  <si>
    <t>Φυσικό πάρκο Despeñaperros, Jaén, Ισπανία. | Εντός προστατευόμενης φυσικής περιοχής (Parque Natural Despeñaperros). Μέρος κύματος πυρκαγιών Ισπανίας 2 Ιουλίου 2026. | Ενεργή πυρκαγιά στο Φυσικό Πάρκο Despeñaperros. | Ισπανία — αιχμή εποχής πυρκαγιών 2026. | Πυρκαγιά εντός Φυσικού Πάρκου Despeñaperros. Ισπανία εισήλθε στην αιχμή της πυρκαγιάς περιόδου 2026.</t>
  </si>
  <si>
    <t>Leciñena</t>
  </si>
  <si>
    <t>Aragón, Ισπανία</t>
  </si>
  <si>
    <t>Εκκενώσεις σε Morillo de Monclús και Tamarite de Litera–Alcampell. Ισπανία συνολικά: ~50.000 ha καμένα το 2026. | Εκκενώσεις στα Morillo de Monclús και Tamarite de Litera-Alcampell (επίσης Αραγών). Η Ισπανία εισήλθε στην αιχμή της πυρκαγιάς με ~50.000 ha καμένα σωρευτικά για το 2026. | Ισπανία – αιχμή περιόδου. Εκκενώσεις σε Morillo de Monclús &amp; Tamarite de Litera–Alcampell (Huesca/Aragón). ~50.000 ha καμένα συνολικά Ισπανία έως 2/7/2026. | Εκκενώσεις σε Morillo de Monclús και Tamarite de Litera–Alcampell (Aragón). Μία από τις πολλαπλές ενεργές εστίες στην Ισπανία. Σωρευτικά ~50.000 ha καμένα σε Ισπανία έως 02/07/2026. | Ισπανία: είσοδος στην αιχμή εποχής πυρκαγιών. Εκκενώσεις σε Morillo de Monclús (Huesca) και Tamarite de Litera–Alcampell (Huesca). ~50.000 ha καμένα στην Ισπανία συνολικά το 2026. | Εκκενώσεις σε Morillo de Monclús και Tamarite de Litera–Alcampell. Ισπανία ~50.000 εκτάρια καμένα συνολικά έως 2/7/2026.</t>
  </si>
  <si>
    <t>Parque Natural Despeñaperros</t>
  </si>
  <si>
    <t>Ισπανία / Andalucía - Jaén</t>
  </si>
  <si>
    <t>Εντός Φυσικού Πάρκου Despeñaperros. Μέρος πολλαπλών εστιών Ισπανίας κατά είσοδο στην αιχμή περιόδου.</t>
  </si>
  <si>
    <t>Pouzols-Minervois / Mailhac</t>
  </si>
  <si>
    <t>Aude, Οξιτανία, Νότια Γαλλία</t>
  </si>
  <si>
    <t>Pouzols-Minervois, Mailhac</t>
  </si>
  <si>
    <t>Ρουμάνοι πυροσβέστες (αποστολή ευρωπαϊκής πολιτικής προστασίας)</t>
  </si>
  <si>
    <t>Ρουμάνοι πυροσβέστες (αποστολή ΕΕ πολιτικής προστασίας)</t>
  </si>
  <si>
    <t>https://www.romania-insider.com/romanian-firefighters-first-mission-france-july-2026 ; https://www.thelocal.fr/20260702/big-wildfires-hit-southern-france ; https://www.connexionfrance.com/news/thousands-more-evacuated-as-wildfires-spread-across-southern-france/800278 ; https://france3-regions.franceinfo.fr/occitanie/aude/narbonne/panache-de-fumee-impressionnant-vent-violent-evacuations-ce-que-l-on-sait-du-tres-gros-incendie-en-cours-entre-aude-et-herault-3379525.html ; https://www.aa.com.tr/en/europe/wildfires-burn-hundreds-of-hectares-in-southern-france/3983805</t>
  </si>
  <si>
    <t>Ευρωπαϊκή αποστολή πολιτικής προστασίας (ERCC). Ρουμάνοι πυροσβέστες ολοκλήρωσαν αποστολή 2/7/2026. Περίπου 200 κάτοικοι Pouzols-Minervois και Mailhac εκκενώθηκαν ή τέθηκαν σε κατ'οίκον περιορισμό. Ισχυροί άνεμοι, δύσβατο έδαφος, πυκνή βλάστηση. | ~200 εκκενωθέντες ή σε κατ' οίκον περιορισμό. Δύσβατο έδαφος, ισχυροί άνεμοι, πυκνή βλάστηση. Ρουμανία: πρώτη αποστολή σε Γαλλία στο πλαίσιο EU Civil Protection. Αποστολή ολοκληρώθηκε 02/07/2026. | Ρουμάνοι πυροσβέστες ολοκλήρωσαν 1η αποστολή στη Γαλλία στο πλαίσιο ευρωπαϊκής συνδρομής. ~200 κάτοικοι εκκενώθηκαν ή τέθηκαν σε κατ' οίκον περιορισμό. Ισχυροί άνεμοι, δύσβατο έδαφος, πυκνή βλάστηση. Ημερομηνία αποστολής 2/7 — ακριβής ημερομηνία έναρξης πυρκαγιάς άγνωστη. | Ρουμανική αποστολή πολιτικής προστασίας ΕΕ (UCPM) ολοκλήρωσε πρώτη της αποστολή κατάσβεσης. Περίπου 200 κάτοικοι εκκενώθηκαν ή σε κατ'οίκον περιορισμό. Δύσκολες συνθήκες: ισχυροί άνεμοι, δύσβατο έδαφος, πυκνή βλάστηση. | Ρουμάνοι πυροσβέστες ανεπτύχθησαν ευρωπαϊκής συνδρομής (πρώτη αποστολή τους στη Γαλλία). ~200 κάτοικοι εκκενώθηκαν ή σε κατ' οίκον περιορισμό. Ισχυροί άνεμοι, δύσβατο έδαφος, πυκνή βλάστηση. Αποστολή ολοκληρώθηκε 2/7/2026. | ~200 κάτοικοι εκκενώθηκαν/περιορίστηκαν (Pouzols-Minervois &amp; Mailhac). Αποστολή Ρουμάνων πυροσβεστών ολοκληρώθηκε 2/7 (πρώτη τους αποστολή σε Γαλλία μέσω Μηχανισμού ΠΠ ΕΕ). Ισχυροί άνεμοι, δύσβατο έδαφος, πυκνή βλάστηση. | Ολοκλήρωση αποστολής ρουμανικών δυνάμεων (1η τους αποστολή στη Γαλλία) στο πλαίσιο ΕΕ Μηχανισμού Πολιτικής Προστασίας. ~200 κάτοικοι εκκενώθηκαν ή τέθηκαν σε κατ' οίκον περιορισμό. Δύσκολες συνθήκες: ισχυροί άνεμοι, δύσβατο έδαφος, πυκνή βλάστηση. | ~900 ha σε Aude + ~100 ha σε Hérault · πυρκαγιά ξεκίνησε 01/07 κοντά στα όρια Aude–Hérault · εκκενώθηκαν ~200 κάτοικοι Pouzols-Minervois και Mailhac · μήνυση κατ' αγνώστων από τοπικό οινοποιείο · 4 Canadair + 1 ελικόπτερο</t>
  </si>
  <si>
    <t>San Bartolomé de la Torre</t>
  </si>
  <si>
    <t>Andalucía – Huelva, Ισπανία</t>
  </si>
  <si>
    <t>Huelva, Ισπανία. | Κοντά στα ισπανο-πορτογαλικά σύνορα. Μέρος κύματος πυρκαγιών Ισπανίας 2 Ιουλίου 2026. | Ενεργή πυρκαγιά στην Huelva Ισπανίας. | Μέρος πολλαπλών εστιών Ισπανίας κατά είσοδο στην αιχμή περιόδου. | Ισπανία — αιχμή εποχής πυρκαγιών 2026. | Ισπανία ~50.000 εκτάρια καμένα συνολικά έως 2/7/2026.</t>
  </si>
  <si>
    <t>Vouzela</t>
  </si>
  <si>
    <t>Πορτογαλία / Viseu</t>
  </si>
  <si>
    <t>118 πυροσβέστες Ισπανίας + 45 οχήματα Ισπανίας + υποστήριξη Μαρόκου</t>
  </si>
  <si>
    <t>Υπό διερεύνηση – πιθανός εμπρησμός (δήλωση Υπουργού Εσωτερικών Πορτογαλίας)</t>
  </si>
  <si>
    <t>https://www.indexbox.io/blog/wildfires-in-portugal-international-aid-arrives-as-vouzela-blaze-spreads/ ; https://civil-protection-humanitarian-aid.ec.europa.eu/news-stories/news/eu-deploys-wildfire-support-face-multiple-fires-across-portugal-and-france-2026-07-06_en ; https://www.atalayar.com/en/articulo/society/portugal-requests-support-from-morocco-spain-and-the-eu-due-to-the-high-risk-of-forest-fires/20260706154324227523.html ; https://brusselssignal.eu/2026/07/vouzela-wildfire-comes-under-control-as-portugal-endures-record-fire-spell/ ; https://theportugalpost.com/posts/vouzela-wildfire-crosses-four-municipalities-what-residents-in-central-portugal-need-to-know ; https://www.euronews.com/2026/07/03/portugal-over-1000-firefighters-battle-wildfires-on-the-ground ; https://www.theportugalnews.com/news/2026-07-04/wildfires-in-portugal-affect-villages-with-inhabitants/1050782</t>
  </si>
  <si>
    <t>11.000 εκτ. στις 4/7, 80% περιορισμένη στις 5/7. Διεθνής βοήθεια: Ιταλία (2 Canadair), Ισπανία (118 πυρ. + 45 οχ.), Μαρόκο. Μηχανισμός Πολιτικής Προστασίας ΕΕ. | 11.000 εκτάρια (04/07). 80% περιορισμένη (05/07). Διεθνής βοήθεια μέσω ΕΕ Μηχανισμού: Ιταλία (2 Canadair), Ισπανία (118 πυροσβέστες + 45 οχήματα), Μαρόκο υποστήριξη. | 11.000 εκτάρια (4/7). 80% περιορισμένη 5/7. Διεθνής βοήθεια: Ιταλία 2 Canadair, Ισπανία 118 πυροσβέστες+45 οχήματα, Μαρόκο. Ενεργοποίηση Ευρωπαϊκού Μηχανισμού Πολιτικής Προστασίας. | 11.000 εκτάρια στις 4/7. 80% περιορισμένη 5/7. 2 Canadair από Ιταλία (aircraft=2 = ιταλική υποστήριξη). Αίτημα διεθνούς βοήθειας 6/7 μέσω EU Civil Protection Mechanism. | 11.000 εκτάρια έως 4/7. 80% περιορισμένη έως 5/7. Βοήθεια: Ιταλία (2 Canadair), Ισπανία (118 πυροσβέστες + 45 οχήματα), Μαρόκο. | Μεγαλύτερη πυρκαγιά Πορτογαλίας για το 2026. Επεκτάθηκε σε Oliveira de Frades, Tondela, Águeda. Ενεργοποίηση ERCC/EU Civil Protection Mechanism 3/7. ~120 Ισπανοί πυροσβέστες + ιταλικά Canadair. Χωρίς ενεργά μέτωπα από 6/7.</t>
  </si>
  <si>
    <t>Colomars / Haute-Saône</t>
  </si>
  <si>
    <t>Alpes-Maritimes, Γαλλία</t>
  </si>
  <si>
    <t>Κύμα καύσωνα / ακραία θερμοκρασία</t>
  </si>
  <si>
    <t>https://www.aa.com.tr/en/environment/heat-wave-fuels-wildfires-across-france-greece-spain-as-firefighters-battle-blazes/3979987</t>
  </si>
  <si>
    <t>2 εκτάρια. «Δεν παρέμεναν ορατές φλόγες» μετά κατάσβεση. Αναφέρθηκε μαζί με πυρκαγιές Haute-Saône (αγροτικές/μη δασικές, εξαιρούνται). | Δύο ξεχωριστές εστίες στη Γαλλία (νότος και ανατολή) — στο ίδιο κύμα καύσωνα. | Ανατολική Γαλλία, Bourgogne-Franche-Comté. Καύσωνας. | Κοντά στη Νίκαια, ΝΑ Γαλλία. Κύμα καύσωνα. | ΒΑ Γαλλία. Κύμα καύσωνα. | Πυρκαγιές σε Νότια Γαλλία λόγω κύματος καύσωνα. Τμήμα ευρύτερης ΕΕ κρίσης καλοκαιριού 2026. | Δύο ξεχωριστές εστίες στη Γαλλία. Ενεργές 27/06/2026.</t>
  </si>
  <si>
    <t>Πυρκαγιά Colomars Alpes-Maritimes Γαλλία</t>
  </si>
  <si>
    <t>Γαλλία / Provence-Alpes-Côte d'Azur</t>
  </si>
  <si>
    <t>Colomars</t>
  </si>
  <si>
    <t>ακραία θερμοκρασία / θερμικός θόλος</t>
  </si>
  <si>
    <t>Μέρος κύματος πυρκαγιών θερμικού θόλου στη Ν. Ευρώπη 27/6/2026. | Πυρκαγιά κοντά στη Νίκαια (Côte d'Azur) στο πλαίσιο ευρωπαϊκού καύσωνα.</t>
  </si>
  <si>
    <t>Πυρκαγιά Haute-Saône Γαλλία</t>
  </si>
  <si>
    <t>Γαλλία / Bourgogne-Franche-Comté</t>
  </si>
  <si>
    <t>Haute-Saône</t>
  </si>
  <si>
    <t>Μέρος κύματος πυρκαγιών θερμικού θόλου στη Ν. Ευρώπη 27/6/2026.</t>
  </si>
  <si>
    <t>Πυρκαγιά Tamarite de Litera – Alcampell Huesca Ισπανία</t>
  </si>
  <si>
    <t>Huesca, Αραγωνία, Ισπανία</t>
  </si>
  <si>
    <t>Tamarite de Litera</t>
  </si>
  <si>
    <t>Έναρξη 25/6, ενεργή έως 27/6. &gt;4.000 εκτάρια. 240 κάτοικοι εκκενώθηκαν από 3 χωριά. Κόκκινος συναγερμός για το Σ/Κ. Κηρύχθηκε «υπό έλεγχο» (contained). | Εκκίνηση 25/6, ακόμη ενεργή στις 27/6. Βόρεια Ισπανία. | Ισπανία. Ξεκίνησε 25/06/2026 μεταξύ Tamarite de Litera και Alcampell. Ενεργή στις 27/06/2026. | Έναρξη 25/6/2026, ενεργή έως τουλάχιστον 27/6/2026. Περιοχή Huesca, Aragón. Κύμα καύσωνα Ν. Ευρώπης. | Έναρξη 25/06/2026, ενεργή στις 27/06/2026 (εντός παραθύρου 3 ημερών). Αραγονία, βορειοανατολική Ισπανία. | Ενεργή στις 27/6/2026. Έναρξη 25/6/2026 (εκτός 3ήμερου, αλλά ενεργή εντός παραθύρου). ΒΑ Ισπανία. | Ενεργή πυρκαγιά στις 27/06/2026. Ξεκίνησε 25/06, μεταξύ Tamarite de Litera και Alcampell, επαρχία Huesca, Αραγωνία. | Ενεργή έως 27/06/2026 τουλάχιστον.</t>
  </si>
  <si>
    <t>Καταλονία, Κάστιλλη-Λα Μάντσα, Κοινότητα Βαλεντίας, Γαλικία</t>
  </si>
  <si>
    <t>Ισπανία</t>
  </si>
  <si>
    <t>ακραίες θερμοκρασίες/καύσωνας</t>
  </si>
  <si>
    <t>https://gr.euronews.com/2026/06/23/the-peak-of-the-heatwave-forces-the-cancellation-of-the-san-juan-bonfires-in-half-of-spain</t>
  </si>
  <si>
    <t>Κατάσταση υψηλής προειδοποίησης πυρκαγιών σε Καταλονία, Κάστιλλη-Λα Μάντσα, Κοινότητα Βαλεντίας, Γαλικία λόγω κορύφωσης καύσωνα. Ακυρώθηκαν φωτιές Αγίου Ιωάννη σε μισή Ισπανία.</t>
  </si>
  <si>
    <t>2026-06-26</t>
  </si>
  <si>
    <t>Υψηλή προειδοποίηση πυρκαγιών (Ισπανία)</t>
  </si>
  <si>
    <t>Καταλονία, Κάστιλλη-Λα Μάντσα, Βαλένθια, Γαλικία</t>
  </si>
  <si>
    <t>υψηλή προειδοποίηση</t>
  </si>
  <si>
    <t>ακραίες θερμοκρασίες / καύσωνας</t>
  </si>
  <si>
    <t>https://gr.euronews.com/2026/06/23/the-peak-of-the-heatwave-forces-the-cancellation-of-the-san-juan-bonfires-in-half-of-spain ; https://www.claimsjournal.com/news/national/2026/06/24/338390.htm ; https://www.euronews.com/2026/07/04/forest-fire-figures-in-spain-in-2026</t>
  </si>
  <si>
    <t>Ισπανία σε κατάσταση υψηλής προειδοποίησης λόγω καύσωνα. Συνολικά 9 μεγάλες δασικές πυρκαγιές στη χώρα για το έτος έως 24/6/2026 (Claims Journal). | Κορύφωση καύσωνα περιόδου San Juan· ακύρωση φωτιών San Juan σε πολλές περιοχές. Ο Ιούνιος 2026 υπήρξε ο χειρότερος μήνας με ~15.900 ha καμμένα σε όλη την Ισπανία κατά EFFIS/Euronews (σωρευτικό σύνολο ~50.000 ha μέχρι τέλη Ιουνίου). Δεν εντοπίστηκαν επιχειρησιακά στοιχεία (δυνάμεις/καμένη έκταση) για αυτό το προληπτικό/ειδοποιητικό συμβάν.</t>
  </si>
  <si>
    <t>Ουέλβα (Copernicus EMSR881)</t>
  </si>
  <si>
    <t>Ουέλβα, Ισπανία</t>
  </si>
  <si>
    <t>https://mapping.emergency.copernicus.eu/</t>
  </si>
  <si>
    <t>Ενεργή πυρκαγιά υπό παρακολούθηση (Copernicus EMS, EMSR881), Ουέλβα Ισπανίας.</t>
  </si>
  <si>
    <t>Blackstairs Mountains (Raheendarragh, Mount Leinster)</t>
  </si>
  <si>
    <t>County Wexford</t>
  </si>
  <si>
    <t>Ιρλανδία</t>
  </si>
  <si>
    <t>https://www.irishtimes.com/ireland/2026/04/25/extensive-gorse-fires-took-hold-on-blackstairs-mountains-overnight/</t>
  </si>
  <si>
    <t>Εκτεταμένες πυρκαγιές τύρφης/gorse τη νύχτα 24–25 Απριλίου 2026 στα Blackstairs Mountains, Ιρλανδία· τρίτο περιστατικό μέσα σε μία εβδομάδα.</t>
  </si>
  <si>
    <t>Ισπανία / Zaragoza (Αραγονία)</t>
  </si>
  <si>
    <t>https://www.euractiv.com/news/wildfires-sweep-across-thousands-of-hectares-in-spain/</t>
  </si>
  <si>
    <t>Ενεργή στις 19/07/2026· μέρος της ίδιας περιφερειακής έκτακτης ανάγκης Αραγονίας με Guadalajara· ημερομηνία έναρξης άγνωστη | ~15.400 εκτάρια. Ενεργή στις 19/7/2026. Μέρος της ίδιας περιφερειακής έκτακτης ανάγκης Αραγωνίας. Ημερομηνία έναρξης άγνωστη. | Ενεργή στις 19/7· μέρος της ίδιας περιφερειακής έκτακτης ανάγκης με Guadalajara</t>
  </si>
  <si>
    <t>ΣΤΑΤΙΣΤΙΚΑ ΠΥΡΚΑΓΙΩΝ — ΕΛΛΑΔΑ</t>
  </si>
  <si>
    <t>Επιλέξτε περίοδο (μήνες) και νομούς· τα αποτελέσματα ενημερώνονται αυτόματα.</t>
  </si>
  <si>
    <t>Από μήνα:</t>
  </si>
  <si>
    <t>Έως μήνα:</t>
  </si>
  <si>
    <t>Όλοι οι νομοί:</t>
  </si>
  <si>
    <t>(ξετσεκάρετε για επιλογή συγκεκριμένων νομών παρακάτω)</t>
  </si>
  <si>
    <t>Πλήθος πυρκαγιών:</t>
  </si>
  <si>
    <t>Καμμένη έκταση (ha):</t>
  </si>
  <si>
    <t>Πυρκαγιές με έκταση:</t>
  </si>
  <si>
    <t>Επιλογή</t>
  </si>
  <si>
    <t>Πλήθος</t>
  </si>
  <si>
    <t>Καμμένη (ha)</t>
  </si>
  <si>
    <t>Μήνας</t>
  </si>
  <si>
    <t>Ιανουάριος</t>
  </si>
  <si>
    <t>Φεβρουάριος</t>
  </si>
  <si>
    <t>Μάρτιος</t>
  </si>
  <si>
    <t>Απρίλιος</t>
  </si>
  <si>
    <t>Μάιος</t>
  </si>
  <si>
    <t>Ιούνιος</t>
  </si>
  <si>
    <t>Ιούλιος</t>
  </si>
  <si>
    <t>Αύγουστος</t>
  </si>
  <si>
    <t>Σεπτέμβριος</t>
  </si>
  <si>
    <t>Οκτώβριος</t>
  </si>
  <si>
    <t>Νοέμβριος</t>
  </si>
  <si>
    <t>Δεκέμβριος</t>
  </si>
  <si>
    <t>Σύνολο περιστατικών Ευρώπης:</t>
  </si>
  <si>
    <t xml:space="preserve">Έκταση &amp;gt;3.000 στρ. (&amp;gt;300 ha) κατά CyprusNews/protothema· μία πηγή (rua.gr) αναφέρει 300 στρ. (30 ha). Λόγω κλίμακας επιχείρησης (στρατιωτικά Chinook, 80 πυρ., 12 αεροσκ.) αξιόπιστη η μεγαλύτερη εκτίμηση. 2 συλλήψεις. Εκκίνηση από μηχανήμα καθαρισμού φωτοβολταϊκού. | Τα 8 ελικόπτερα περιλαμβάνουν 2 Chinook του ΓΕΣ. Δύο μέτωπα που ενώθηκαν κοντά στον Ελαιώνα. Εικόνα βελτιωμένη ~17:54 — δάσος Μοσφοδίου δεν απειλήθηκε. | Ελάχιστα στοιχεία — εντοπίστηκε σε 24ωρη σύνοψη πυρκαγιών Πυροσβεστικής. Ημερομηνία κατ' εκτίμηση. | Ίδιο συμβάν με εγγραφή 'Μύτικας Θήβας'. Καμένη έκταση &amp;gt;3.000 στρέμματα (≥300 ha). Τελικά οριοθετήθηκε βάσει μεταγενέστερων αναφορών. Δύο συλλήψεις εργαζομένων σε φωτοβολταϊκό πάρκο. | ⚠ pyr_postfix 2026-09-23: η τιμή 300.0 ήταν στρέμματα, όχι εκτάρια, κατά την ίδια τη σημείωση. Διορθώθηκε σε 30.0 ha.</t>
  </si>
  <si>
    <t xml:space="preserve">~4 στρέμματα (~0,4 ha) αγροτοδασικής έκτασης. Σε εξέλιξη κατά τη στιγμή δημοσίευσης. | ~4 ha καμένη αγροτοδασική έκταση (βελανιδιές και καλλιέργειες) | ΝΕΑΕΓΓΡΑΦΗ. Αγροτοδασική έκταση ανάμεσα σε Κόμαρα και Πεντάλοφο Διδυμοτείχου. Εκτιμώμενη καμένη έκταση ~4 ha κατά προσέγγιση (δεν επαληθεύτηκε από άρθρο). | Αναφέρεται ως «χωρίς ενεργό μέτωπο» (topontiki.gr). 1 ομάδα πεζοπόρων 7ης ΕΜΟΔΕ. Ώρα κατάσβεσης δεν εντοπίστηκε σε πηγές. | ΔΙΟΡΘΩΣΗ: 4 στρέμματα = 0.4 ha (αρχική καταγραφή 4 ha ήταν λανθασμένη — δεν έγινε μετατροπή). Χωρίς ενεργό μέτωπο βραχύ χρόνο μετά την εκδήλωση. | ⚠ pyr_postfix 2026-09-23: η τιμή 4.0 ήταν στρέμματα, όχι εκτάρια, κατά την ίδια τη σημείωση. Διορθώθηκε σε 0.4 ha.</t>
  </si>
  <si>
    <t xml:space="preserve">Έναρξη 31 Ιουλίου 2026 στη Βοιωτία - ενεργή/περιορισμένη στις 8 Αυγ. Ειδική ανφαορά in.gr 8/8: 51 εναέρια μέσα δεν μπόρεσαν να πραγματοποιήσουν ρίψεις νερού λόγω ακραίων ανέμων· οι επίγειες δυνάμεις περιόρισαν. 120+ κατοικίες κατεστράφησαν. Καμένη έκταση ~80.800 ha κατά Copernicus/ΕΑΑ (εκτίμηση ως 3 Αυγ 2026). Εκκένωση 1.150+ ατόμων (άλλοτε ημέρες). | 2026-08-08: 51 εναέρια μέσα αδυνατούσαν να πραγματοποιήσουν ρίψεις λόγω ισχυρών ανέμων (δήλωση αρχηγού Τούρνα). Βάσει Sentinel-2 (έως 2 Αυγ.): η Αττική πλευρά είχε καεί ~80.800 στρέμματα = 8.080 ha — το υφιστάμενο burned_area_ha=80800 πιθανότατα αντιστοιχεί σε στρέμματα (όχι ha). Φωτιά ξεκίνησε 31 Ιουλίου 2026 Β. Άγιος Βασίλειος Βοιωτίας. Τελική έκταση ολόκληρης Αττικοβοιωτίας: ~18.000 ha (WWF: &amp;gt;180.000 στρ.). | Έκτακτη φάση έληξε πριν 2026-08-10 (αποζημιώσεις θυμάτων άνοιξαν 10/08)· &amp;gt;100 κατοικίες ολοσχερώς κατεστραμμένες· 5 νεκροί συνολικά για το ευρύτερο συμβάν (2 μέλη πληρώματος πυροσβεστικού ελικοπτέρου). | Πυρκαγιά ξεκίνησε 31/07/2026 στη Βοιωτία (Δόμβραινα) και επεκτάθηκε στη Δυτική Αττική/Πόρτο Γερμενό. Κατά την αιχμή (08/08) επιχειρούσαν 51 εναέρια αλλά αδυνατούσαν ρίψεις λόγω ισχυρών ανέμων. Κτίσματα: &amp;gt;100 καμένα + 84 «κόκκινα» (08/08). Εργασίες αποκατάστασης (απομάκρυνση υπολειμμάτων) ξεκίνησαν 17/08 — επιβεβαιώνει οριοθέτηση πριν 17/08. 2 ύποπτοι κατηγορούνται για εμπρησμό. | ⚠ pyr_postfix 2026-09-23: η τιμή 80800.0 ήταν στρέμματα, όχι εκτάρια, κατά την ίδια τη σημείωση. Διορθώθηκε σε 8080.0 ha.</t>
  </si>
  <si>
    <t xml:space="preserve">Πυρκαγιά σε δασική έκταση στο χωριό Μακρυκάπα. Καταγράφηκε πτώση κεραυνού ως πιθανή αιτία. Άμεση αντιμετώπιση με εθελοντές ΣΕΔΔΔ Ψαχνών, Πυροσβεστική και ΕΜΟΔΕ. Έκταση ~1 εκτάριο δάσους. | Δασική πυρκαγιά από κεραυνό κοντά στον οικισμό Μακρυκάπα. ~1 στρέμμα (~0.1 ha) καμένο. Χάρτης ΓΓΠΠ 09/07 μη διαθέσιμος. | Δασική έκταση Μακρυκαπιάς, Δ. Διρφύων-Μεσσαπίων. Άμεση κατάσβεση (~1 στρέμμα/0.1 ha). Χάρτης ΓΓΠΠ 09/07 σημειώνει αυξημένο κίνδυνο σε περιοχές με πτώση κεραυνών σε δάση. | Δύο πεζοπόρα τμήματα, εθελοντές ΣΕΔΔΔ Ψαχνών και ΠΥ Χαλκίδας. Άμεση αντίδραση πριν εξαπλωθεί η φωτιά. | ⚠ pyr_postfix 2026-09-23: η τιμή 1.0 ήταν στρέμματα, όχι εκτάρια, κατά την ίδια τη σημείωση. Διορθώθηκε σε 0.1 ha.</t>
  </si>
  <si>
    <t xml:space="preserve"> | ⚠ pyr_postfix 2026-09-23: η καταγεγραμμένη έκταση ξεπερνούσε την τελική αποτυπωμένη έκταση του συμβάντος «porto_germeno_2026» (14424.3 ha), κάτι αδύνατο για σωρευτική ημερήσια καταγραφή. Εναρμονίστηκε.</t>
  </si>
  <si>
    <t xml:space="preserve">3.636 στρέμματα (363,6 ha) πυκνού πευκοδάσους κατά Copernicus· ολονύχτια μάχη 15-16/8· ενισχύσεις από Αττική, Εύβοια, Θεσσαλία· μέτωπο κινείτο νότια προς Πεύκο· σκόρπιες εστίες υπό παρακολούθηση 17/8 | 3.636 στρέμματα (364 ha) πυκνού πευκοδάσους. Επιχειρήσεις για 2η ημέρα στις 16/8. Σκόρπιες εστίες υπό παρακολούθηση στις 17/8. | Copernicus: 3.636 στρέμματα επιβεβαιωμένη έκταση (≈364 ha)· Ανακριτικό Κλιμάκιο Εμπρησμού Εύβοιας κινητοποιήθηκε· φλόγες υποχωρούσαν έως 17/8 | Copernicus (16/08 10:42): 3.636 στρέμματα = 363,6 ha. Ισχυροί άνεμοι &amp;gt;7 Bf. Πυκνό πευκοδάσος αναγεννημένο μετά πυρκαγιά 2008 στο ίδιο σημείο. | Μεγάλη πυρκαγιά σε πευκοδάσος με τρία κύρια μέτωπα. Ενισχύσεις από Αττική, Εύβοια, Θεσσαλία· στο ζενίθ 16 εναέρια μέσα. Copernicus (16/8, 10:42): 3.636 στρέμματα = 363,6 ha καμένα. Μετά την καταγραφή παρέμεναν διάσπαρτες εστίες. | ⚠ pyr_postfix 2026-09-23: η καταγεγραμμένη έκταση ξεπερνούσε την τελική αποτυπωμένη έκταση του συμβάντος «atsitsa_skyrou_2026» (363.6 ha), κάτι αδύνατο για σωρευτική ημερήσια καταγραφή. Εναρμονίστηκε.</t>
  </si>
  <si>
    <t xml:space="preserve">Μέτωπο ~3χλμ. Καίγονται σπίτια. Έκλεισε επαρχιακός Σιβήρη–Φούρκα. Ορατός καπνός από ΠΑΘΕ Θεσσαλονίκη–Ν.Μουδανιά. Εκκενώθηκε ξενοδοχείο με παιδιά. | Πύρινο μέτωπο ~3 km. 2 κατοικίες κατεστραμμένες. 1 τραυματίας πυροσβέστης (κάτω άκρο). Αναζωπυρώσεις τη νύχτα. Δρόμος Φούρκας κλειστός. Ημέρα peak: 142 πυροσβ., 51 οχ., 9 αεροσκ., 7 ελικ. Νύχτα: 227 πυροσβ., 57 οχ., 13 ομάδες, 6 αεροσκ., 1 ελικ. | Μέτωπο ~3 χλμ· άνεμοι Beaufort 11-12· ζημιές σε σπίτια και ΙΧ· δάσος και σπίτια κάηκαν· τη νύχτα σε επιφυλακή 227 πυροσβέστες για αναζωπυρώσεις· απεγκλωβισμός δια θαλάσσης 481 ατόμων. | Έναρξη μεσημέρι 13/08. Μέτωπο ~3 χλμ. Ζημιές σε σπίτια/αυτοκίνητα. 481 απεγκλωβισθέντες δια θαλάσσης. 14/08 πρωί: χωρίς ενεργό μέτωπο αλλά διάσπαρτες εστίες (upsert 14/08). Χαλκιδική σε πορτοκαλί (κατ. 4) 13/08 per ertnews· κίτρινο (κατ. 3) 14/08. Κατά Al Jazeera: μέρος εξάρσεως 40+ πυρκαγιών στην Ελλάδα. | Χωρίς ενεργό μέτωπο από 14/8 πρωί· εναέρια μέσα αποδεσμεύτηκαν, διάσπαρτες εστίες υπό επίγεια επιτήρηση. Αντιπεριφερειάρχης: «καταφέραμε να οριοθετήσουμε παρά τους ισχυρούς ανέμους της νύχτας». Ζημιές σε 7-8 κατοικίες (μη ολοσχερής καταστροφή) και οχήματα. Μονάδα βιολογικής επεξεργασίας ολοσχερώς κατεστραμμένη. Πυροσβέστες τραυματίστηκαν κατά τη διάρκεια. Εκκένωση οικισμών και δια θαλάσσης. Δρόμος προς Φούρκα παρέμεινε κλειστός. | 3.500–4.000 καμένα στρέμματα (=350–400 ha). Ζημιές σε 8 σπίτια και αυτοκίνητα. 300+ τουριστές εκκενώθηκαν δια θαλάσσης (14/8). Φόβοι αναζωπύρωσης λόγω ανέμων 14/8 μεσημέρι. Email 14/8 (thread 1a000f856806d6fe) αναφέρει 140+ πυροσβέστες/9 αεροσκάφη/7 ελικόπτερα. | πυρκαγιά σε δασική &amp;amp; δομημένη περιοχή· ~8 κατοικίες &amp;amp; αυτοκίνητα κατεστράφηκαν· 16 εναέρια σύνολο· ύφεση 14/8 πρωί· ~4.000 στρ. κατ. άλλες πηγές· update από email 1a000f856806d6fe (14/8) | Copernicus (δορυφ. εικόνα 2026-08-14T18:56): 248 ha / 2.480 στρ. ως τελική καμένη έκταση. Πρωί 14/8 σε ύφεση – δεν υφίσταται ενιαίο ενεργό μέτωπο, διαβροχές και διάσπαρτες εστίες. Αρχικές εκτιμήσεις τύπου ανέφεραν 3.500 στρ. (350 ha) – ελεύθερος τύπος. Δεν εντοπίστηκε ακριβής ώρα ελέγχου/κατάσβεσης. | 300+ τουρίστες εκκενώθηκαν δια θαλάσσης. Copernicus EMSR ενεργοποιήθηκε· δεδομένα 14/8 18:00 δείχνουν 248 ha (1.388 ha δάσος). 110 πυροσβέστες/50 οχήματα σε επιφυλακή για καπνογόνα σημεία. | Copernicus 14/8: 2.480 στρ.=248 ha καμένα (1.388 στρ. δάσος). ~481 άτομα εκκενώθηκαν δια θαλάσσης. Κορύφωση 140+ πυρ. Οριοθετήθηκε 14/8 απόγευμα· 110 πυρ.+50 οχ. έμειναν επιτήρηση (15/8). | 2 πυροσβέστες τραυματίστηκαν ελαφρά· 227 Έλληνες + 12 Μολδαβοί πυροσβέστες (σύνολο 239), 57+3 οχήματα (60)· Copernicus (14/8 18:00): 2.480 στρ. = 248 ha (εκ των οποίων 1.388 στρ. δασική έκταση)· Tanea: 3.500 στρ. (350 ha)· χάρτης ΓΓΠΠ 13/8: Χαλκιδικής ΥΨΗΛΗ (3) | Copernicus EMS (15/08/2026): 2.480 στρέμματα = 248 ha περίμετρος καμένης έκτασης (αναθεώρηση από 350 ha). Χωρίς ενεργό μέτωπο από 15/08. Παρέμειναν 110 πυροσβέστες / 50 οχήματα για φύλαξη έναντι αναζωπυρώσεων. | Εκκένωση 300+ τουριστών δια θαλάσσης + 481 κατοίκοι. Ζημιές σε σπίτια/αυτοκίνητα. Newsit: 3.500 στρ. (350 ha)· tanea δορυφορικό 14/8 18:56: 2.480 στρ. (248 ha). in.gr 13/8: 122 πυροσβέστες 12 εναέρια (αρχική κινητοποίηση). | Χερσόνησος Κασσάνδρας. Εκκένωση Σίβηρης και Φούρκας μέσω 112. 481 άτομα διασώθηκαν δια θαλάσσης. Copernicus (δορυφορική εικόνα 14/8): 2.480 στρ. συνολικά, εκ των οποίων 1.388 στρ. δασική έκταση (= 248 ha συνολικά, 138,8 ha δάσος). Ζημιές σε κατοικίες, οχήματα, βιολογικό, υπαίθριο θέατρο Σίβηρης. Δύο πυροσβέστες τραυματίστηκαν. | Χωρίς ενεργό μέτωπο από πρωί 14/8 (Zougla.gr, Pontosnews.gr). Copernicus δορυφ. εικ. 14/8-18:56: 2.480 στρ. (248 ha)· τελική εκτίμηση ΜΜΕ: 3.500 στρ. (350 ha). Απεγκλωβισμοί δια θαλάσσης, ζημιές σε οχήματα ΙΧ και τμήματα κατοικιών. Δεν αναφέρεται θύμα. | Ίδια πυρκαγιά με Σίβηρη (record αρχικής καταγραφής). Copernicus (14/8/2026): 2.480 στρέμματα = 248 ha οριστική έκταση (προηγούμενη εκτίμηση 350 ha διορθώνεται). | Εκ των 2.480 στρεμμάτων, τα 1.388 ήταν δασική έκταση (138,8 ha). Αρχική εκτίμηση 350 ha διορθώθηκε βάσει επίσημης αποτύπωσης. | Τελική καμένη έκταση 2.480 στρέμματα (248 ha) — διόρθωση αρχικής εκτίμησης 350 ha — επιβεβαιωμένη από Copernicus. Απεγκλωβισμός 481 ατόμων δια θαλάσσης. 2 πυροσβέστες τραυματίστηκαν ελαφρά. Ζημιές σε κατοικίες στον οικισμό Ναυτίλος. | ⚠ pyr_postfix 2026-09-23: η καταγεγραμμένη έκταση ξεπερνούσε την τελική αποτυπωμένη έκταση του συμβάντος «siviri_kassandras_2026» (248.0 ha), κάτι αδύνατο για σωρευτική ημερήσια καταγραφή. Εναρμονίστηκε.</t>
  </si>
  <si>
    <t xml:space="preserve">Follow-up upsert: ανάλυση ζημιών δημοσιεύτηκε 10-11/8/2026. 2 νεκροί. Κτιριακές ζημιές: 118 ερυθρές, 119 κίτρινες, 88 πράσινες. Καμένη έκταση &amp;gt;11.200 ha. Ανακοίνωση οικονομικής ενίσχυσης και προσωρινής στέγασης πυρόπληκτων 10-11/8. | UPSERT — Ανάλυση ζημιών δημοσιεύτηκε 10/8/2026. Καμένη έκταση &amp;gt;11.200 εκτ. σε ~91 ώρες (31 Ιουλ.–4 Αυγ.). 2 νεκροί. Ζημιές κτιρίων: 118 κόκκινα, 119 κίτρινα, 88 πράσινα. 55% της καμένης έκτασης κάηκε σε μία νύχτα· απελευθερώθηκε ενέργεια ≥380 TJ. Αέρια υπεροχή υπήρχε, αλλά ο αγώνας στο έδαφος ήταν καθοριστικός. | UPSERT — ανάλυση ζημιών δημοσιεύθηκε 10/8. &amp;gt;11.200 ha, 2 νεκροί, κτίρια: Κόκκινα 118, Κίτρινα 119, Πράσινα 88. Εστίες: Άγ. Νεκτάριος, Κανδήλι, Δυτ. Αττική. Διάρκεια ~4 ημέρες. | UPSERT νέα ανάλυση 10-11/08. 2 νεκροί (σύγκρουση 2 ελικοπτέρων Ψάθα). Κτίρια: Κόκκινα 118 / Κίτρινα 119 / Πράσινα 88. 55% έκτασης κάηκε σε 1 νύχτα. Ενέργεια ≥380 TJ. | UPSERT — νέα στοιχεία ζημιών από ανάλυση 10/8/2026: &amp;gt;11.200 ha καμένα, 2 νεκροί, 118 κτίρια κόκκινα, 119 κίτρινα, 88 πράσινα. Στεγαστική βοήθεια ανακοινώθηκε 10–11/8. | UPSERT — ανάλυση ζημιών δημοσιεύτηκε 10/8/2026. 2 νεκροί. Κτίρια: 118 κόκκινα, 119 κίτρινα, 88 πράσινα. Κάηκε ~55% της έκτασης σε 2 νύχτες. 254 άτομα διασώθηκαν από θάλασσα (Άγ. Βασίλειος Βοιωτίας). Yutori email 11/8 επικαιροποιεί τα στοιχεία. | Follow-up 10-11 Αυγ 2026. 2 νεκροί. Κτίρια: 118 κόκκινα, 119 κίτρινα, 88 πράσινα. Οικονομική ενίσχυση και προσωρινή στέγαση ανακοινώθηκαν 10-11 Αυγ. Αέρια υπεροχή υπήρχε αλλά η επίθεση εδάφους υπέστη ήττα. | ⚠ pyr_postfix 2026-09-23: φέρουσα εγγραφή του πολυήμερου συμβάντος «porto_germeno_2026». Πολυήμερο συμβάν 31/07-08/08/2026. Καταγράφεται μία φορά ανά ημέρα με σωρευτική έκταση, οπότε χωρίς αυτόν τον κανόνα προσμετράται 6 φορές. Η τιμή προέρχεται από Copernicus/CEMS, 144.243 στρ., αποτύπωση 4 Αυγ 2026. Οι γραμμές 323, 324, 325, 326, 318, 311, 307, 299, 295 είναι ημερήσιες καταστάσεις του ίδιου συμβάντος και δεν προσμετρώνται.</t>
  </si>
  <si>
    <t xml:space="preserve">Πύρινο μέτωπο &amp;gt;15 χλμ σε 3 μέτωπα. Ριπαίοι άνεμοι έως 11 μποφόρ ακινητοποίησαν εναέρια προσωρινά. Δύο πυροσβέστες (26 &amp;amp; 28 ετών) εγκλωβίστηκαν στο όχημά τους και βρήκαν το θάνατο. 17 άτομα διασώθηκαν δια θαλάσσης από Λιμενικό κοντά στον Αγ. Παύλο. Ενισχύσεις από Καλαμάτα &amp;amp; Ρόδο. | 2 πυροσβέστες νεκροί (58 και 25 ετών, εντοπίστηκαν απανθρακωμένοι εκτός οχήματος). Άνεμοι 11-13 μποφόρ (ριπές 90-100 χλμ/ώρα). Μέτωπο ~20 χλμ. 31 άτομα απεγκλωβίστηκαν διά θαλάσσης. ~2.000 τουρίστες εκκενώθηκαν από Αγία Γαλήνη. | ~45.000 στρέμματα (≈4.500 ha) καμένα από αυτήν την πρώτη εστία Ρεθύμνου ως 30/07· αριθμός εξαιρεί τη δεύτερη φωτιά στο Κουρταλιώτικο. Μέτωπο επεκτάθηκε προς Πρέβελη. | 2 πυροσβέστες νεκροί (ηλικίας 58 και 25 ετών)· μέτωπο &amp;gt;15 χλμ· εκκένωση 6 χωριών | ⚠ pyr_postfix 2026-09-23: φέρουσα εγγραφή του πολυήμερου συμβάντος «rethymno_kria_vrysi_2026». Πυρκαγιά νοτίου Ρεθύμνου με 2 νεκρούς πυροσβέστες, καταγεγραμμένη δύο φορές με διαφορετική ημερομηνία έναρξης (29/07 και 01/08) αλλά ίδια έκταση 45.000 στρ. και ίδια θύματα. Εξαιρείται ρητά η δεύτερη, διακριτή πυρκαγιά στο Κουρταλιώτικο Φαράγγι / Ασώματα. Οι γραμμές 316 είναι ημερήσιες καταστάσεις του ίδιου συμβάντος και δεν προσμετρώνται.</t>
  </si>
  <si>
    <t xml:space="preserve">Έναρξη λίγο πριν μεσάνυχτα 1/8· χωρίς ενεργό μέτωπο 3/8 11:23 EEST | Καμένη έκταση &amp;gt;6.000 στρέμματα (≥600 ha) — ενδεχομένως μεγαλύτερη. 112 για εκκένωση Κρεμμυδίου, Μαρκόπουλου, Κατελειού, Κάτω Κατελειού, Χιονάτας, Θηράμονα, Μαυράτων. Μηχανήματα έργου για αντιπυρικές ζώνες. | ⚠ pyr_postfix 2026-09-23: φέρουσα εγγραφή του πολυήμερου συμβάντος «pastra_kefalonias_2026». Έναρξη 23:21 της 01/08/2026, ενεργή όλη τη 2/8, χωρίς ενεργό μέτωπο 3/8. Καταγράφεται και τις δύο ημέρες με την ίδια έκταση 6.000 στρ. Οι γραμμές 314 είναι ημερήσιες καταστάσεις του ίδιου συμβάντος και δεν προσμετρώνται.</t>
  </si>
  <si>
    <t xml:space="preserve">Ισχυροί άνεμοι 7-8 μποφόρ. Αεροπυρόσβεση ανεσταλμένη τμηματικά τη νύχτα. Ενισχύσεις δια πλοίου από Κύμη (Αττική, Εύβοια, Θεσσαλία). Copernicus ενεργοποιήθηκε. Εκτός ελέγχου 16/8 πρωί. | 2 μέτωπα: νότιο→Αγ. Φωκάς, ανατολικό→Πεύκος· άνεμοι 7–8 μποφόρ· Copernicus ενεργοποιήθηκε για καταγραφή καμένων εκτάσεων· 22 πυροσβέστες αρχικά (12+10 από Κύμη)· βελτιωμένη εικόνα 16/8 πρωί· χάρτης ΓΓΠΠ 15/8: Εύβοιας ΠΟΛΥ ΥΨΗΛΗ (4) | Copernicus (16/8 10:42): 3.636 στρ. = 363,6 ha. Πυκνό δάσος πεύκων που είχε αναγεννηθεί μετά πυρκαγιά 2008. Ενισχύσεις: 20 πυρ. + 5 οχ. Αττική, 6 πυρ. + 3 οχ. Εύβοια, 4 πυρ. + 2 οχ. Θεσσαλία (via Κύμη). Διάσπαρτες εστίες 16/8. | Πυκνό πευκοδάσος· ισχυροί άνεμοι 7-8 Bf σε α΄ φάση· 3.636 στρέμματα (364 ha) σύμφωνα με Copernicus 16/8· ολονύκτια μάχη· υπό έλεγχο 17/8 με παραμονή δυνάμεων για σκόρπιες εστίες | Πευκοδάσος 3.636 στρ. (363,6 ha) κατά Copernicus 16/8 10:42. Δύο ταυτόχρονα μέτωπα. Ισχυροί άνεμοι. 10 επιπλέον πυροσβέστες με 5 οχήματα από Κύμι Εύβοιας δια θαλάσσης. Σκόρπιες εστίες υπό παρακολούθηση 17/8. | Έναρξη 15/8· ενεργή 2η ημέρα 16/8· υπό έλεγχο 17/8, διάσπαρτες εστίες· 3.636 στρέμματα (363,6 ha) πυκνού πευκοδάσους κατεγράφησαν από Copernicus (δορυφορική λήψη 16/8, 10:42) | 3.636 στρέμματα πυκνού πευκοδάσους· σκόρπιες εστίες υπό παρακολούθηση 17/8· danger_level αφορά 16/8 | 3.636 στρέμ. (363,6 ha) πυκνού πευκοδάσους· άνεμοι 7–8 Bf· ενισχύσεις διά θαλάσσης από Αττική, Εύβοια, Θεσσαλία | ⚠ pyr_postfix 2026-09-23: φέρουσα εγγραφή του πολυήμερου συμβάντος «atsitsa_skyrou_2026». Ίδια πυρκαγιά, δύο εγγραφές της 15/08/2026 με ταυτόσημες δυνάμεις (89 πυροσβέστες) που δεν συγχωνεύθηκαν επειδή ο νομός γράφτηκε διαφορετικά (Ευβοίας / Σκύρου). Η τιμή είναι η δορυφορική αποτύπωση Copernicus: 3.636 στρέμματα = 363,6 ha· η άλλη εγγραφή έφερε στρογγυλοποίηση 364 ha. Οι γραμμές 232, 233 είναι ημερήσιες καταστάσεις του ίδιου συμβάντος και δεν προσμετρώνται.</t>
  </si>
  <si>
    <t xml:space="preserve">Έναρξη 13/8 (εκτός 3ήμερου παραθύρου)· Copernicus δορυφ. εικόνα 14/8 18:56: 2.480 στρ. (248 ha) εκ των οποίων 1.388 στρ. δασική έκταση· οριοθετήθηκε 14/8 μεσημέρι· κρατική αρωγή για πληγείσες επιχειρήσεις (αίτ. έως 12/10/2026) | Αρχική κινητοποίηση: 142 πυρ/στες, 51 οχήματα, 9 εναέρια. Μέγιστη ανάπτυξη (κορύφωση): 227 πυρ/στες, 57 οχήματα, 13 πεζοπόρα τμήματα, 6 Α/Φ, 1 Ε/Π. Απεγκλωβισμοί κατοίκων δια θαλάσσης. Ζημιές σε σπίτια, κάηκαν ΙΧ. Αιτία μη επιβεβαιωμένη. | Εκκενώθηκαν Σίβηρη και Φούρκα· 2-3 σπίτια ολοκληρωτικά κατεστραμμένα, 6-7 με εξωτερικές ζημιές. | Μεγαλύτερη πυρκαγιά Χαλκιδικής 2026. Καμένη έκταση 2.480 στρέμματα (248 εκτ.) κατά Copernicus — εκ των οποίων 138,8 εκτ. δασική έκταση, υπόλοιπο χορτολιβαδικές/θαμνώδεις. Η περιοχή είχε καεί και το 2008. Οριοθετήθηκε μεσημέρι 14/8. Παρέμεναν διάσπαρτες εστίες και καπνογόνα (11 ενεργές περιπολίες). | ΝΕΑΣ ΑΝΑΚΑΛΥΨΗ. Έναρξη 13/8/2026 ~14:00. Copernicus (δορυφόρος 14/8): 2.480 στρέμματα = 248 ha. Απεγκλωβισμοί δια θαλάσσης. Ζημιές σε σπίτια. Δεν υπήρχε ενεργό μέτωπο ως 15/8 (διάσπαρτες εστίες). | Χωρίς ενεργό μέτωπο από πρωί 14 Αυγούστου 2026. Σκόρπια εστία/καπνογόνα σημεία αντιμετωπίστηκαν με αέριες και εδαφικές δυνάμεις. Άνω των 250 τουριστών εκκενώθηκαν δια θαλάσσης με 15 σκάφη. | [ΝΕΟ — ΑΝΑΚΑΛΥΨΗ] διάσπαρτες εστίες 14/8· κλειστός δρόμος προς Φούρκα· σημαντικές ζημιές (στάχτη, αποκαΐδια)· επιφυλακή αναζωπυρώσεων | Χωρίς ενεργό μέτωπο από το πρωί 14/08/2026 · παρέμειναν 110 πυροσβέστες &amp;amp; 50 οχήματα για διάσπαρτες εστίες και καπνογόνα σημεία · ειδικός χρόνος ελέγχου δεν ανακοινώθηκε | ⚠ pyr_postfix 2026-09-23: φέρουσα εγγραφή του πολυήμερου συμβάντος «siviri_kassandras_2026». Τρεις εγγραφές της 13/08/2026 για την ίδια πυρκαγιά στη Σίβηρη Κασσάνδρας (Σίβηρη / Σιβήρη-Φούρκα / Σίβηρη-Κασσάνδρα), με τον νομό γραμμένο άλλοτε «Χαλκιδικής» και άλλοτε «Χαλκιδική». Κρατείται η δορυφορική αποτύπωση Copernicus της 14/08: 2.480 στρέμματα = 248 ha. Το 350 ha ήταν πρώιμη δημοσιογραφική εκτίμηση μετώπου. Οι γραμμές 253, 258, 245 είναι ημερήσιες καταστάσεις του ίδιου συμβάντος και δεν προσμετρώνται.</t>
  </si>
  <si>
    <t xml:space="preserve">Εκδηλώθηκε λίγο μετά τα μεσάνυχτα 21→22/9· δασική περιοχή πάνω από Γυαλό περιοχής Αθανίου· κάτοικοι επιχείρησαν αρχικά με κλαδιά· πυρ/στές από Κοντάραινα και πόλη Λευκάδας· δυνατοί άνεμοι στην περιοχή | ⚠ pyr_postfix 2026-09-23: διπλοεγγραφή του ίδιου συμβάντος· η έκταση δεν προσμετράται (_έκταση0=0). Φέρουσα εγγραφή: γραμμή 4.</t>
  </si>
  <si>
    <t xml:space="preserve">Πρωινό περιστατικό, υπό έλεγχο λίγο μετά τις 11:00. Περιοχή «Προφήτης Ηλίας». | ⚠ pyr_postfix 2026-09-23: διπλοεγγραφή του ίδιου συμβάντος· η έκταση δεν προσμετράται (_έκταση0=0). Φέρουσα εγγραφή: γραμμή 28.</t>
  </si>
  <si>
    <t xml:space="preserve">Αγροτοδασική έκταση. 10 εναέρια συνολικά (Yutori). Drone επιτήρηση θερμικής κάμερας. Αρχικά 38 πυρ./9 οχ./6 εναέρια, ενισχύθηκε σε 45/16/10. Αργότερα οριοθετήθηκε (newsit). ΓΓΠΠ 06/09 Ηλείας: κίτρινο (3). | Πυρκαγιά μεγάλων διαστάσεων. Αριθμοί δυνάμεων αφορούν ενισχυμένη σύνθεση. «Χωρίς ενεργό μέτωπο» βάσει lawandorder.gr. Danger_level βάσει χάρτη ΓΓΠΠ 06/09/2026 (Ηλεία=κίτρινο). | 10 εναέρια συνολικά (split αεροσκαφών/ελικοπτέρων άγνωστος). Ταυτόχρονη πυρκαγιά Πηνείας Ηλείας (δεύτερο μέτωπο). Κίνδυνος (06/09 χάρτης ΓΓΠΠ): Ηλείας κίτρινο=3. | Αναζωπύρωση στην παλιά Σκιλλούντα στα όρια Ανδρίτσαινας-Κρέστενας με ισχυρή ενίσχυση (ανακτήθηκε 38 πυροσβέστες + 19 οχ + 10 αεροσκ κατά τη φάση αναζωπύρωσης). ΔΑΕΕ ερεύνησε αιτία. | 10 εναέρια μέσα συνολικά (χωρίς ανάλυση). Κίνδυνος σε πευκοδάσος. | ⚠ pyr_postfix 2026-09-23: διπλοεγγραφή του ίδιου συμβάντος· η έκταση δεν προσμετράται (_έκταση0=0). Φέρουσα εγγραφή: γραμμή 34.</t>
  </si>
  <si>
    <t xml:space="preserve">Εξαπλώθηκε σε ξηρό γρασίδι και καλάμια. Ταχεία περιορισμός (~15 λεπτά αρχικά). Yutori (06/09): «περιεχόμενη/ελεγχόμενη». Κίνδυνος (05/09 χάρτης ΓΓΠΠ): Χαλκιδικής κίτρινο=3. | ⚠ pyr_postfix 2026-09-23: διπλοεγγραφή του ίδιου συμβάντος· η έκταση δεν προσμετράται (_έκταση0=0). Φέρουσα εγγραφή: γραμμή 45.</t>
  </si>
  <si>
    <t xml:space="preserve">Δυσπρόσιτη/δύσβατη θέση — δυσχέρεια επίγειων επιχειρήσεων. Ολονύχτια μάχη. Εκκενώθηκε ο οικισμός Κρυσταλλοπηγής. Πυρκαγιά συνεχίστηκε έως τουλάχιστον 03/09. Δυνάμεις ενισχύθηκαν κατά τη διάρκεια της νύχτας. | Αρχικά 2/9 απόγευμα: 20 πυροσβέστες, 6 οχήματα, 2 αεροσκάφη (διακόπηκαν στο ηλιοβασίλεμα). Ενίσχυση 3/9: 42 πυροσβέστες, 13 οχήματα, 1 ελικόπτερο (ρίψεις νερού από χαραυγή). Νυχτερινή εκκένωση 3/9 πρωί. | Δύσβατο/δυσπρόσιτο σημείο· γρήγορη επέκταση. Φλόγες απείλησαν σπίτια. Αρχικά 20 π/6 οχήματα· ενισχύθηκε. Εναέρια διακόπηκαν στο ηλιοβασίλεμα 2/9, 1 ελικόπτερο από αυγή 3/9. danger_level=2 αφορά 2/9· στις 3/9 Φλώρινα ήταν κατ. 3 (ΥΨΗΛΗ). | ⚠ pyr_postfix 2026-09-23: διπλοεγγραφή του ίδιου συμβάντος· η έκταση δεν προσμετράται (_έκταση0=0). Φέρουσα εγγραφή: γραμμή 72.</t>
  </si>
  <si>
    <t xml:space="preserve"> | ⚠ pyr_postfix 2026-09-23: διπλοεγγραφή του ίδιου συμβάντος· η έκταση δεν προσμετράται (_έκταση0=0). Φέρουσα εγγραφή: γραμμή 75.</t>
  </si>
  <si>
    <t xml:space="preserve">Πυρκαγιά σε δάσος, ξεκίνησε βράδυ 30/8. Δεν αναφέρθηκε χρήση εναέριων μέσων (νύχτα). Αρχικά 17 πυροσβέστες, ανέβηκαν σε 32 κατά το 24ωρο δελτίο. Συνεχίζεται 31/8. | Πεζοπόρα τμήματα: 2ης και 5ης ΕΜΟΔΕ. | ⚠ pyr_postfix 2026-09-23: διπλοεγγραφή του ίδιου συμβάντος· η έκταση δεν προσμετράται (_έκταση0=0). Φέρουσα εγγραφή: γραμμή 85.</t>
  </si>
  <si>
    <t xml:space="preserve">Ανακριτικό Κλιμάκιο Αντιμετώπισης Εγκλημάτων Εμπρησμού Χαλκιδικής κινητοποιήθηκε. Παρακολούθηση μέσω drone (θερμική + οπτική κάμερα) από ΕΣΚΕΔΙΚ. | ⚠ pyr_postfix 2026-09-23: διπλοεγγραφή του ίδιου συμβάντος· η έκταση δεν προσμετράται (_έκταση0=0). Φέρουσα εγγραφή: γραμμή 90.</t>
  </si>
  <si>
    <t xml:space="preserve">Κατά protothema.gr 28 Αυγ: «μερικώς υπό έλεγχο». | Δασική έκταση. Οριοθετήθηκε εντός ~15 λεπτών (zougla.gr). Αιτία υπό διερεύνηση (Ανακριτικό Κλιμάκιο Εμπρησμού Καβάλας). | Πολλαπλές πηγές αναφέρουν Πέμπτη 27/08/2026 ως ημερομηνία εκδήλωσης – πιθανή λανθασμένη καταχώρηση στο αρχείο (η 28/08 ήταν Παρασκευή). Οριοθετήθηκε εντός ~15 λεπτών από έναρξη. | ⚠ pyr_postfix 2026-09-23: διπλοεγγραφή του ίδιου συμβάντος· η έκταση δεν προσμετράται (_έκταση0=0). Φέρουσα εγγραφή: γραμμή 107.</t>
  </si>
  <si>
    <t xml:space="preserve">Κίνδυνος κατηγορία 3 από χάρτη ΓΓΠΠ 28/8. Φωτιά σε δασική έκταση. Άγνωστη τελική κατάσταση κατά την ώρα έκδοσης. | Ίδιο περιστατικό με «Ανοιξιάτικα Δήμου Αριστοτέλη». Χωρίς ενεργό μέτωπο. Δύο ομάδες ΕΜΟΔΕ, συνδρομή Δήμου Αριστοτέλη (υδροφόρες). | ⚠ pyr_postfix 2026-09-23: διπλοεγγραφή του ίδιου συμβάντος· η έκταση δεν προσμετράται (_έκταση0=0). Φέρουσα εγγραφή: γραμμή 101.</t>
  </si>
  <si>
    <t xml:space="preserve">Αγροτοδασική έκταση μεταξύ τριών χωριών (Πλουτοχώρι, Νέο Χωριό, Καλλιθέα)· ενισχύθηκαν δυνάμεις κατά τη διάρκεια της επιχείρησης | Πυρκαγιά μεταξύ τριών χωριών ΠΕ Ηλείας. Κίνδυνος κατηγορία 3 από χάρτη ΓΓΠΠ 28/8. | 2 πεζοπόρα τμήματα 18ης ΕΜΟΔΕ | ⚠ pyr_postfix 2026-09-23: διπλοεγγραφή του ίδιου συμβάντος· η έκταση δεν προσμετράται (_έκταση0=0). Φέρουσα εγγραφή: γραμμή 105.</t>
  </si>
  <si>
    <t xml:space="preserve">Email 26 Αυγ. (eKathimerini): «δεύτερη ενεργή πυρκαγιά θάμνων στην Πρέβεζα». Κίνδυνος ΓΓΠΠ 26/8 για Π.Ε. Πρεβέζης: κατηγορία 3 (ΥΨΗΛΗ). | Χαμηλή βλάστηση. Κινητοποιήθηκε Ανακριτικό Κλιμάκιο Εμπρησμών Πρέβεζας. | ⚠ pyr_postfix 2026-09-23: διπλοεγγραφή του ίδιου συμβάντος· η έκταση δεν προσμετράται (_έκταση0=0). Φέρουσα εγγραφή: γραμμή 117.</t>
  </si>
  <si>
    <t xml:space="preserve">Αναφέρθηκε ως δεύτερη ενεργή πυρκαγιά θάμνων στην Πρέβεζα (26/08) στο email Yutori | «Δεύτερη ενεργή πυρκαγιά θάμνων στην Πρέβεζα» κατά eKathimerini/Yutori. Ελάχιστες λεπτομέρειες. | Φωτιά σε χαμηλή βλάστηση· αναφέρεται στο Yutori email ως «δεύτερη ενεργή πυρκαγιά θάμνων στην Πρέβεζα»· οριοθετήθηκε χάρη σε γρήγορη επέμβαση | 112 ηχήθηκε για ετοιμότητα κατοίκων. Καμένη έκταση και ώρα ελέγχου δεν εντοπίστηκαν. | ⚠ pyr_postfix 2026-09-23: διπλοεγγραφή του ίδιου συμβάντος· η έκταση δεν προσμετράται (_έκταση0=0). Φέρουσα εγγραφή: γραμμή 117.</t>
  </si>
  <si>
    <t xml:space="preserve">Εκρήξεις από μπαταρίες/απόβλητα· Πυροσβεστική επιβεβαίωσε ότι δεν προέρχονται από στρατιωτικό υλικό | Κινητοποιήθηκε Ανακριτικό Κλιμάκιο Εμπρησμών Πειραιά. Πολύ πιθανώς ίδιο συμβάν με «Ελληνικό (Άνω Βασιλικά)» — ίδια ώρα έναρξης, ίδιες δυνάμεις, παρακείμενη περιοχή. | Πυρκαγιά σε χαμηλή βλάστηση και απορρίμματα κοντά στον Ναύσταθμο· οριοθετήθηκε· αναφέρονται εκρήξεις από πυρομαχικά πεδίου βολής· ανακοινώθηκε ως κατασβεσμένη από Yutori email 26/8. | Φωτιά σε παλαιό πεδίο βολής με απορρίμματα· εκρήξεις ακούστηκαν· δεν απειλήθηκαν εγκαταστάσεις Πολεμικού Ναυτικού. Οριοθετήθηκε βάσει Yutori 26/08. | ⚠ pyr_postfix 2026-09-23: διπλοεγγραφή του ίδιου συμβάντος· η έκταση δεν προσμετράται (_έκταση0=0). Φέρουσα εγγραφή: γραμμή 127.</t>
  </si>
  <si>
    <t xml:space="preserve">Απορρίμματα ηλεκτρικών συσκευών και μπαταριών προκάλεσαν εκρήξεις. Πυκνός μαύρος καπνός ορατός από Πέραμα. Κοντά στον Ναύσταθμο. Διακοπή κυκλοφορίας οδού Μπιζανίου. | Πυρκαγιά σε χαμηλή βλάστηση και απορρίμματα. Εκρήξεις από μπαταρίες/δοχεία. ΓΕΝ: εγκαταστάσεις Ναυστάθμου και πλοία δεν απειλήθηκαν. Χωρίς τραυματισμούς. | Χαμηλή βλάστηση &amp;amp; απορρίμματα σε παλιό νταμάρι. Αναφορές εκρήξεων. Email 26 Αυγ. επιβεβαιώνει «πυρκαγιά Σαλαμίνας σβήστηκε». | Ακούγονταν εκρήξεις. Μεγάλο σύννεφο μαύρου καπνού. Αποκλεισμός οδού Μπιζανίου. | Καίει χαμηλή βλάστηση και απορρίμματα κοντά στον ναύσταθμο. Ελεγχθείσα έως 26 Αυγ. | Παλαιό πεδίο βολής με αποθηκευμένα απόβλητα (μπαταρίες) — ακούστηκαν εκρήξεις. Κοντά στο Ναύσταθμο. | Το ΓΕΝ επιβεβαίωσε ότι δεν απειλήθηκαν εγκαταστάσεις ή πλοία Ναυστάθμου. Πηγές αναφέρουν 2 ελικόπτερα + 3 αεροσκάφη (πιθανή διαφορά ελικοπτέρων έναντι αρχικής καταγραφής). | ⚠ pyr_postfix 2026-09-23: διπλοεγγραφή του ίδιου συμβάντος· η έκταση δεν προσμετράται (_έκταση0=0). Φέρουσα εγγραφή: γραμμή 127.</t>
  </si>
  <si>
    <t xml:space="preserve">Yutori/hellasjournal αναφέρει αργότερα 4 ελικόπτερα και 5 αεροσκάφη (ενίσχυση). Καίει κοντά σε κατοικίες. ΕΣΚΕΔΙΚ παρακολουθεί με drone θερμικής/οπτικής κάμερας. | Κατά ΣΚΑΪ η συνδυαστική καμένη έκταση Αττικής (Καλοπήγαδο) και Βοιωτίας (Στεφάνη) υπερέβη τα 100.000 στρέμματα (&amp;gt;10.000 ha) — διαχωρισμός ανά πυρκαγιά δεν παρέχεται στο δημοσίευμα. | Φλόγες σταμάτησαν λίγα μέτρα πριν τα σπίτια κατά Δήμαρχο Λαυρεωτικής. Yutori email αναφέρει 4 ελικόπτερα+5 αεροσκάφη (πιθανώς μεταγενέστερη ενίσχυση). | Χαμηλή βλάστηση, ~20μ από κατοικίες. Βελτίωση ~17:15, χωρίς ενεργό μέτωπο από πρωί 26/8. | Yutori email (25 Αυγ.): 4 ελικ. + 5 αεροσκ. Χάρτης ΓΓΠΠ 25/8: Αττική κίτρινο (ΥΨΗΛΗ 3). | Drone θερμικής απεικόνισης· κλιμάκιο εμπρησμού ενεργοποιήθηκε | Κοντά σε κατοικημένες περιοχές. Εναέρια κινητοποίηση 4 ελικοπτέρων + 5 αεροσκαφών. | Ενεργή κοντά σε κατοικημένες περιοχές. Τελικό αποτέλεσμα αδιευκρίνιστο. | Η φωτιά σταμάτησε ακριβώς έξω από τα σπίτια. Μήνυμα 112 εκδόθηκε 16:09–16:15 για Αγία Μαρίνα και Τσονιμά. | ⚠ pyr_postfix 2026-09-23: διπλοεγγραφή του ίδιου συμβάντος· η έκταση δεν προσμετράται (_έκταση0=0). Φέρουσα εγγραφή: γραμμή 130.</t>
  </si>
  <si>
    <t xml:space="preserve">Δασική έκταση. Ισχυρές βροχοπτώσεις και κεραυνική δραστηριότητα την προηγούμενη ημέρα ενδέχεται να σχετίζονται. | Πυρκαγιά σε δασική έκταση. Ισχυρές βροχές και κεραυνοί στην ευρύτερη περιοχή την προηγούμενη ημέρα. | Δασική έκταση. Χάρτης ΓΓΠΠ 25/8: Ημαθία κίτρινο (ΥΨΗΛΗ 3). | Δασική έκταση. Αναφορά ως ενεργή 25 Αυγ. 17:53 EEST. | Αναφέρεται σε λίστα εκκενώσεων 25 Αυγ. Εκδόθηκε εντολή εκκένωσης. | Δασική έκταση· χωρίς ενεργό μέτωπο σύντομα μετά την αρχική επέμβαση. | Κεραυνική δραστηριότητα 24/8 πιθανή αιτία ανάφλεξης. Χάρτης 25/8: ΠΕ Ημαθίας κίτρινο (Κατ.3). | ⚠ pyr_postfix 2026-09-23: διπλοεγγραφή του ίδιου συμβάντος· η έκταση δεν προσμετράται (_έκταση0=0). Φέρουσα εγγραφή: γραμμή 149.</t>
  </si>
  <si>
    <t xml:space="preserve">Δεύτερη πυρκαγιά ίδιας ημέρας στον Δήμο Παιονίας Κιλκίς (η πρώτη στον Άσπρο). Εκδηλώθηκε μεταξύ Πλατανιάς και Ποντοχρακλιάς, Δημοτική Ενότητα Πολυκάστρου. Κατηγορία πυρκινδυνότητας 3. | Άρθρο ihunt.gr αναφέρει σύλληψη για αμέλεια και ότι η αιτία συνδέεται με καύση ξερών χόρτων ή σπινθήρες οχήματος — ενδέχεται να αφορά αυτή την πυρκαγιά. | Πιθανή ταύτιση με την εγγραφή «Πλατάνια - Ποντοηράκλεια, Δήμος Παιονίας Κιλκίς» (ίδια ώρα έναρξης, ίδιες δυνάμεις). Να επαληθευτεί αν πρόκειται για διπλή καταγραφή. | ⚠ pyr_postfix 2026-09-23: διπλοεγγραφή του ίδιου συμβάντος· η έκταση δεν προσμετράται (_έκταση0=0). Φέρουσα εγγραφή: γραμμή 142.</t>
  </si>
  <si>
    <t xml:space="preserve">Δασική, όρος Κέρκης. Χωρίς ενεργό μέτωπο. Ημέρα με κατηγορία κινδύνου 4 (ΠΟΛΥ ΥΨΗΛΗ) για Σάμο. | Χωρίς ενεργό μέτωπο έως ~16:07 της 24/8· Ανακριτικό Κλιμάκιο Εγκλημάτων Εμπρησμού Λέσβου για αιτία | ⚠ pyr_postfix 2026-09-23: διπλοεγγραφή του ίδιου συμβάντος· η έκταση δεν προσμετράται (_έκταση0=0). Φέρουσα εγγραφή: γραμμή 147.</t>
  </si>
  <si>
    <t xml:space="preserve">Follow-up (ενημ. ~27/8): χωρίς ενεργό μέτωπο. danger_level=4 από άρθρο ενημέρωσης 27/8 («Σάμος Κατηγορία 4»). Επίγειες περιπολίες. | ⚠ pyr_postfix 2026-09-23: διπλοεγγραφή του ίδιου συμβάντος· η έκταση δεν προσμετράται (_έκταση0=0). Φέρουσα εγγραφή: γραμμή 147.</t>
  </si>
  <si>
    <t xml:space="preserve">Δεν απειλεί κατοικίες. Αρχική ανταπόκριση: 36 πυρ./2 α/φ/2 ελ./10 οχ. (ertnews)· ενισχύθηκε σε 52 πυρ./6 α/φ/1 ελ./17 οχ. (protothema). Κατάσταση βελτιωμένη σε λίγες ώρες. | Δασική έκταση. Δεν απειλούσε κατοικίες. Αρχικά 4 εναέρια → αυξήθηκαν σε 7 με ενισχύσεις. Υπό μερικό έλεγχο επίσης από ανακοίνωση Πυροσβεστικής (σύνολο 37 πυρκαγιών 24ώρου). Χάρτης ΓΓΠΠ 23/8 → Λακωνία επίπεδο 3 (ΥΨΗΛΗ). | ⚠ pyr_postfix 2026-09-23: διπλοεγγραφή του ίδιου συμβάντος· η έκταση δεν προσμετράται (_έκταση0=0). Φέρουσα εγγραφή: γραμμή 157.</t>
  </si>
  <si>
    <t xml:space="preserve">Δασική πυρκαγιά κοντά στο καταφύγιο Πρώτης, Παγγαίο Όρος. Χωρίς ενεργό μέτωπο – καπνίζοντα σημεία σε δυσπρόσιτη έκταση. Ανακριτικό κλιμάκιο για αίτια. | Εκδηλώθηκε ~23:00 (22/08) κοντά σε καταφύγιο Παγγαίου σε δύσβατο/υψηλό υψόμετρο. Ολονύχτια μάχη· μετά την ανατολή αεροπυρόσβεση. Χωρίς ενεργό μέτωπο από 23/08. Δεν απειλήθηκαν κατοικημένες περιοχές. | ⚠ pyr_postfix 2026-09-23: διπλοεγγραφή του ίδιου συμβάντος· η έκταση δεν προσμετράται (_έκταση0=0). Φέρουσα εγγραφή: γραμμή 163.</t>
  </si>
  <si>
    <t xml:space="preserve">Δασική έκταση. Ηλεκτρικές εκκενώσεις και βροχόπτωση πριν την έναρξη. | Δασική έκταση. Πτώση κεραυνών στην περιοχή. Ενίσχυση σε 28 πυροσβέστες, 2 ομάδες, 7 οχήματα. Αισθητή βελτίωση → οριοθέτηση. | 2 πεζοπόρα τμήματα: 2η ΕΜΟΔΕ και 21η ΕΜΟΔΕ. Αιτία: κεραυνική δραστηριότητα υπό διερεύνηση από Πυροσβεστική. | Πιθανόν ίδιο περιστατικό με «Πυρκαγιά Λευκόγια Δράμας» — ταυτόσημη ώρα έναρξης, δυνάμεις, δήμος. Ενδείκνυται συγχώνευση εγγραφών. | Πιθανή διπλοεγγραφή με 'Πυρκαγιά Λευκόγια Δράμας' — ίδια ημερομηνία, ώρα έναρξης (16:30), δυνάμεις (28 πυρ./7 οχ./1 ελικ.) και τοποθεσία. Συνιστάται συγχώνευση. | ⚠ pyr_postfix 2026-09-23: διπλοεγγραφή του ίδιου συμβάντος· η έκταση δεν προσμετράται (_έκταση0=0). Φέρουσα εγγραφή: γραμμή 165.</t>
  </si>
  <si>
    <t xml:space="preserve">Χαμηλή βλάστηση μεταξύ Ζωνιανών και Λιβαδίων. Γρήγορη οριοθέτηση. | ⚠ pyr_postfix 2026-09-23: διπλοεγγραφή του ίδιου συμβάντος· η έκταση δεν προσμετράται (_έκταση0=0). Φέρουσα εγγραφή: γραμμή 178.</t>
  </si>
  <si>
    <t xml:space="preserve">Ελάχιστα διαθέσιμα στοιχεία· ελέγχθηκε το μεσημέρι της Πέμπτης 20/8. | Δασική έκταση με πεύκα σε βραχώδες έδαφος και χορτολιβαδική έκταση. Ελικόπτερο κινητοποιήθηκε αλλά δεν χρησιμοποιήθηκε τελικά. | ⚠ pyr_postfix 2026-09-23: διπλοεγγραφή του ίδιου συμβάντος· η έκταση δεν προσμετράται (_έκταση0=0). Φέρουσα εγγραφή: γραμμή 183.</t>
  </si>
  <si>
    <t xml:space="preserve">Δύσβατη δασική περιοχή, ΔΕ Βυνιανής. Δεν απειλούνται κατοικίες. Πιθανή αιτία κεραυνός (ο χάρτης ΓΓΠΠ 19/8 προειδοποιεί για αυξημένο κίνδυνο λόγω κεραυνών σε δάση). | ⚠ pyr_postfix 2026-09-23: διπλοεγγραφή του ίδιου συμβάντος· η έκταση δεν προσμετράται (_έκταση0=0). Φέρουσα εγγραφή: γραμμή 187.</t>
  </si>
  <si>
    <t xml:space="preserve">Χαμηλή βλάστηση κοντά στο νεκροταφείο Γέρακα, δίπλα στην Αττική Οδό. Οριοθετήθηκε εντός ~15 λεπτών. Παρακολούθηση με θερμικό/οπτικό drone. Χάρτης ΓΓΠΠ 19/8: ολόκληρη χώρα κατηγορία 2 (ΜΕΣΗ) με σημείωση αυξημένου κινδύνου σε περιοχές κεραυνικής δραστηριότητας. | 3 ομάδες πεζοπόρων 1ης ΕΜΟΔΕ. Καμένη έκταση ~1 στρέμμα (ertnews.gr). | ⚠ pyr_postfix 2026-09-23: διπλοεγγραφή του ίδιου συμβάντος· η έκταση δεν προσμετράται (_έκταση0=0). Φέρουσα εγγραφή: γραμμή 189.</t>
  </si>
  <si>
    <t xml:space="preserve">Θέση Αυτιά, Δ.Ε. Βωβούσας· κεραυνική δραστηριότητα προηγούμενης ημέρας | ⚠ pyr_postfix 2026-09-23: διπλοεγγραφή του ίδιου συμβάντος· η έκταση δεν προσμετράται (_έκταση0=0). Φέρουσα εγγραφή: γραμμή 192.</t>
  </si>
  <si>
    <t xml:space="preserve">Αγροτοδασική έκταση. Δήλωση επικεφαλής πυροσβεστικής Κέρκυρας Ν. Θεοδωράκη: «Περιορίσαμε τη φωτιά με εναέρια μέσα». | 7 εναέρια μέσα συνολικά (5 αεροσκάφη + 2 ελικόπτερα). Χαρακτηρίστηκε «υπό έλεγχο» πυρόσβεσης ~17:50. | 7 εναέρια μέσα (breakdown α/φ vs ε/π άγνωστο)· δασική έκταση | 15 στρέμματα αγροτοδασικής έκτασης· κοντά σε εγκατάσταση διαχείρισης αποβλήτων | 7 εναέρια μέσα συνολικά· οριοθέτηση επιβεβαιώθηκε στις 17:50 | ⚠ pyr_postfix 2026-09-23: διπλοεγγραφή του ίδιου συμβάντος· η έκταση δεν προσμετράται (_έκταση0=0). Φέρουσα εγγραφή: γραμμή 202.</t>
  </si>
  <si>
    <t xml:space="preserve">Αγροτοδασική έκταση. Δεν απειλεί κατοικημένη περιοχή. Ερευνητική ομάδα για αίτιο. | Αγροτοδασική (όχι αμιγώς δασική) έκταση. Συμμετείχαν εθελοντές και υδροφόρες Δήμου Αριστοτέλη. Ανακριτικό Κλιμάκιο Εμπρησμού Χαλκιδικής. | ⚠ pyr_postfix 2026-09-23: διπλοεγγραφή του ίδιου συμβάντος· η έκταση δεν προσμετράται (_έκταση0=0). Φέρουσα εγγραφή: γραμμή 219.</t>
  </si>
  <si>
    <t xml:space="preserve">Πυκνό πευκοδάσος, άνεμοι &amp;gt;7 μποφόρ. Δύο μέτωπα: Άγιος Φωκάς και Πεύκος. Εκκένωση και των δύο οικισμών μέσω 112. 20 πυροσβέστες με 6 οχήματα μεταφέρθηκαν δια θαλάσσης από Κύμη Εύβοιας. Copernicus (δορυφορική εικόνα 16/8): 3.636 στρ. = 363,6 ha. Διάσπαρτες εστίες. | ⚠ pyr_postfix 2026-09-23: διπλοεγγραφή του ίδιου συμβάντος· η έκταση δεν προσμετράται (_έκταση0=0). Φέρουσα εγγραφή: γραμμή 231.</t>
  </si>
  <si>
    <t xml:space="preserve"> | ⚠ pyr_postfix 2026-09-23: διπλοεγγραφή του ίδιου συμβάντος· η έκταση δεν προσμετράται (_έκταση0=0). Φέρουσα εγγραφή: γραμμή 231.</t>
  </si>
  <si>
    <t xml:space="preserve">Χαμηλή βλάστηση· χάρτης ΓΓΠΠ 14/8: Θεσσαλονίκης ΥΨΗΛΗ (3) | ⚠ pyr_postfix 2026-09-23: διπλοεγγραφή του ίδιου συμβάντος· η έκταση δεν προσμετράται (_έκταση0=0). Φέρουσα εγγραφή: γραμμή 238.</t>
  </si>
  <si>
    <t xml:space="preserve">αγροτοδασική έκταση κοντά στην Πελασγία· ισχυροί άνεμοι | ⚠ pyr_postfix 2026-09-23: διπλοεγγραφή του ίδιου συμβάντος· η έκταση δεν προσμετράται (_έκταση0=0). Φέρουσα εγγραφή: γραμμή 242.</t>
  </si>
  <si>
    <t xml:space="preserve">Copernicus 14/8 18:56: 2.480 στρ. συνολικά (248 ha), εκ των οποίων 1.388 στρ. (138,8 ha) δασική έκταση. Εκκένωση 300+ τουριστών δια θαλάσσης. Χωρίς ενεργό μέτωπο από μεσημέρι Παρασκευής 14/8. Μέρος έξαρσης 40+ πυρκαγιών 14/8. Ο ΥΠΕΝ χαρακτήρισε «υποδειγματική» την παρέμβαση ΠΣ. Χάρτης κινδύνου 14/8 μη διαθέσιμος — danger_level κενό. | Χωρίς ενεργό μέτωπο από το πρωί 14/8· διάσπαρτες εστίες σε δυσπρόσιτα ρεματιές. 1.388 από τα 2.480 καμένα στρέμματα ήταν δασική έκταση (Copernicus/SKAI). | 16 εναέρια μέσα συνολικά (αεροσκάφη+ελικόπτερα, χωρίς διαχωρισμό). 481 εκκενώσεις δια θαλάσσης. Ανακοίνωση Αρχηγού Β. Βαθρακογιάννη 14/8: βελτιωμένη εικόνα. [DISCOVERY — δεν ήταν στη λίστα του batch] | Χωρίς ενεργό μέτωπο από το μεσημέρι της Παρασκευής 15/8 (κατά προσέγγιση ~12:00). Διάσπαρτες εστίες-καπνογόνα σημεία παρακολουθούνταν από πυροσβεστικές δυνάμεις που παρέμειναν στην περιοχή. | Χωρίς ενεργό μέτωπο από το πρωί της 14/8/2026 — επιχειρήσεις συνεχίστηκαν σε διάσπαρτες εστίες. | ⚠ pyr_postfix 2026-09-23: διπλοεγγραφή του ίδιου συμβάντος· η έκταση δεν προσμετράται (_έκταση0=0). Φέρουσα εγγραφή: γραμμή 252.</t>
  </si>
  <si>
    <t xml:space="preserve"> | ⚠ pyr_postfix 2026-09-23: διπλοεγγραφή του ίδιου συμβάντος· η έκταση δεν προσμετράται (_έκταση0=0). Φέρουσα εγγραφή: γραμμή 252.</t>
  </si>
  <si>
    <t xml:space="preserve">ΝΕΑ ΕΓΓΡΑΦΗ. Απεγκλωβισμός &amp;gt;250 τουριστών δια θαλάσσης (15 σκάφη). Ζημιές στον οικισμό Nautilus. Copernicus (14/8/2026): 248 ha (2.480 στρέμματα). Εκκένωση Σίβηρης μέσω 112. | Στις 21:05 τέθηκε υπό μερικό έλεγχο. Εκκενώθηκαν 481 άτομα δια θαλάσσης. Τελικά χωρίς ενεργό μέτωπο (ekirikas.com). Ζημιές σε σπίτια. | Copernicus (14/8/2026): 2.480 στρέμματα (248 ha) οριστική καμένη έκταση. Δύο εργολάβοι ΔΕΔΔΗΕ παραπέμφθηκαν στον εισαγγελέα. | Απεγκλωβισμός 481 ατόμων δια θαλάσσης. 2 πυροσβέστες τραυματίστηκαν ελαφρά. Ζημιές σε κατοικίες στον οικισμό Ναυτίλος. Καμένη έκταση 2.480 στρέμματα (248 ha) επιβεβαιωμένη από Copernicus (δορυφορική εικόνα 14/08/2026 18:56). | ⚠ pyr_postfix 2026-09-23: διπλοεγγραφή του ίδιου συμβάντος· η έκταση δεν προσμετράται (_έκταση0=0). Φέρουσα εγγραφή: γραμμή 252.</t>
  </si>
  <si>
    <t xml:space="preserve">Αγροτοδασική έκταση στη χαράδρα Μικρής Πάου. Έρευνα αιτιών από Υπηρεσία Εγκληματολογικής Έρευνας Εμπρησμών Μαγνησίας. | Αγροτοδασική έκταση, χαράδρα Μικρής Παου, κοντά Αργαλαστής. | Φωτιά στη χαράδρα Μικρής Πάου, ~400μ. κάτω από Ιερά Μονή Πάου. Κάηκαν &amp;lt;5 στρέμματα αγροτοδασικής έκτασης. Μήνυμα 112 στις 20:07. Δύο ομάδες πεζοπόρων 10ης ΕΜΟΔΕ και εθελοντές Νοτίου Πηλίου. Ρεύμα αποκαταστάθηκε 12/8 στις 10:00. | ⚠ pyr_postfix 2026-09-23: διπλοεγγραφή του ίδιου συμβάντος· η έκταση δεν προσμετράται (_έκταση0=0). Φέρουσα εγγραφή: γραμμή 264.</t>
  </si>
  <si>
    <t xml:space="preserve">Δασική έκταση. Βελτιωμένη εικόνα — οριοθετήθηκε. Δεύτερη πυρκαγιά Ζακύνθου 11/8 (η πρώτη: Μαραθιάς πρωί). | Πιθανή επικάλυψη εγγραφής με 'Βολίμες Ζακύνθου' — ίδια ημερομηνία, τοποθεσία, start_time, personnel, vehicles. Newsit.gr επιβεβαιώνει aircraft=4, helicopters=2 (ταυτίζεται με τα καταγεγραμμένα). | ⚠ pyr_postfix 2026-09-23: διπλοεγγραφή του ίδιου συμβάντος· η έκταση δεν προσμετράται (_έκταση0=0). Φέρουσα εγγραφή: γραμμή 271.</t>
  </si>
  <si>
    <t xml:space="preserve">Yutori email ανέφερε ώρα 14:12 EEST ως timestamp πηγής (Hürriyet) – η πυρκαγιά ξεκίνησε 08:00 (ertnews). 197 Έλληνες + 23 Γάλλοι (4 οχ.) + 24 Ρουμάνοι (5 οχ.) = 244 συνολικά· 42+9=51 οχήματα. Καταστράφηκε πτηνοτροφείο στον Άγιο Στυλιανό. Άνεμοι 7 Bf, συνεχείς εναλλαγές κατεύθυνσης. Παραμένουν καπνογόνα σημεία. | Πτηνοτροφική μονάδα κατεστράφη· ζημιές σε 2 επιχειρήσεις Αγ. Στυλιανού· άνεμοι 7 Bft | Ζημιές: πτηνοτροφική μονάδα ολοσχερώς + 2 κτηνοτροφικές επιχειρήσεις. Άνεμοι 7+ Bf. Yutori ανέφερε 14:12 EEST (αναφορά, όχι έναρξη). | Ζημιές σε πτηνοτροφική μονάδα και επιχειρήσεις κοντά Άγιο Στυλιανό. Διεθνής συνδρομή: δυνάμεις Γαλλίας και Ρουμανίας. Καπνογόνα σημεία και ισχυροί άνεμοι προβλημάτισαν μετά τον έλεγχο. | ⚠ pyr_postfix 2026-09-23: διπλοεγγραφή του ίδιου συμβάντος· η έκταση δεν προσμετράται (_έκταση0=0). Φέρουσα εγγραφή: γραμμή 276.</t>
  </si>
  <si>
    <t xml:space="preserve">Πυρκαγιά σε χαμηλή βλάστηση. Γρήγορη οριοθέτηση με εναέρια υποστήριξη. Ώρα 19:35 = έναρξη/πρώτη αναφορά, 19:52 = ανανέωση με επιβεβαίωση οριοθέτησης. | Αιτία υπό έρευνα (ενεργοποιήθηκε επιχείρημα ΥΠΕΑ Φθιώτιδας). Υδροφόρα υποστήριξη από Δήμο Δομοκού. | Καμένη έκταση ~10 στρέμματα (1 ha) χαμηλής βλάστησης και πεύκων. Δεύτερη πηγή αναφέρει έως 15 στρέμματα (1,5 ha). | ⚠ pyr_postfix 2026-09-23: διπλοεγγραφή του ίδιου συμβάντος· η έκταση δεν προσμετράται (_έκταση0=0). Φέρουσα εγγραφή: γραμμή 283.</t>
  </si>
  <si>
    <t xml:space="preserve"> | ⚠ pyr_postfix 2026-09-23: διπλοεγγραφή του ίδιου συμβάντος· η έκταση δεν προσμετράται (_έκταση0=0). Φέρουσα εγγραφή: γραμμή 322.</t>
  </si>
  <si>
    <t xml:space="preserve">Follow-up μέγα-πυρκαγιάς Αττικοβοιωτίας· &amp;gt;120 κατοικίες κατεστράφηκαν· 126.000 στρ. ≈ 12.600 ha συνολικά καμένα· χαρακτηρίστηκε «megafire» από πυρομετεωρολόγο Γιάνναρο | Την 8/8/2026 τα 51 εναέρια μέσα δεν μπορούσαν να πραγματοποιήσουν ρίψεις λόγω ισχυρών ανέμων (δήλωση Τούρνα). | Έκτακτη φάση ολοκληρώθηκε πριν 2026-08-10 (αποζημιώσεις άνοιξαν 10/08)· &amp;gt;100 κατοικίες κατεστραμμένες· 5 νεκροί για το ευρύτερο συμβάν· 2 συλλήψεις για εμπρησμό. | Wikipedia τεκμηριώνει έναρξη 31/7/2026 (Πόρτο Γερμενό) με οριοθέτηση ~4/8 και κατάσβεση 5/8· αιτία Wikipedia: σπινθηρισμός ιδιωτικού δικτύου ηλεκτροδότησης αιολικού πάρκου &amp;amp; υποχώρηση κολώνας ΔΕΗ. Η εγγραφή 7/8 πιθανώς αφορά αναζωπύρωση που τεκμηριώνεται από in.gr/skai (8/8) με 51 εναέρια μέσα &amp;amp; ~500 πυροσβέστες εν ενεργεία. Αιτία «εμπρησμός, 2 συλλήψεις» από πρωτογενείς πηγές διατηρείται ως κύρια τιμή. Τελική εκτίμηση Wikipedia: &amp;gt;130.000 στρέμματα (&amp;gt;13.000 ha). | ⚠ pyr_postfix 2026-09-23: διπλοεγγραφή του ίδιου συμβάντος· η έκταση δεν προσμετράται (_έκταση0=0). Φέρουσα εγγραφή: γραμμή 322.</t>
  </si>
  <si>
    <t xml:space="preserve">Ξεκίνησε 31/7/2026 από Ξηρονόμη Βοιωτίας / Πόρτο Γερμενό. Copernicus (εικόνα 4 Αυγ): 144.243 στρ. = 14.424,3 ha (30.966 στρ. Βοιωτία + 113.277 στρ. Αττική). Κυβ. εκτίμηση: ~111.000 στρ. (11.100 ha). 100+ σπίτια κατεστραμμένα Πόρτο Γερμενό. Ενεργά μέτωπα 5/8: Ψάθα-Λούμπα, Κανδήλι Μεγάρων, Αγία Παρασκευή-Άγιος Νεκτάριος. 4 ελικόπτερα από χαράματα. Σώθηκε βοσκός και γιος του στη Λούμπα. | Χωρίς ενεργό μέτωπο στην Ψάθα από ~6/8/2026· συνεχιζόμενες αναζωπυρώσεις σε 144.243 καμένα στρέμματα (14.424,3 ha). | Χωρίς ενεργό μέτωπο στην Ψάθα μετά την 6η ημέρα μάχης· 144.243 στρέμματα (14.424 ha) επιβεβαιωμένα καμένα· μάχη με αναζωπυρώσεις πριν οριοθέτηση· Περιφέρεια Αττικής άσκησε ποινική αγωγή (εμπρησμός). | ⚠ pyr_postfix 2026-09-23: διπλοεγγραφή του ίδιου συμβάντος· η έκταση δεν προσμετράται (_έκταση0=0). Φέρουσα εγγραφή: γραμμή 322.</t>
  </si>
  <si>
    <t xml:space="preserve">Φλόγες εισήλθαν στο χωριό Πηγή. Ζημιές σε κατοικίες, οχήματα, στάβλους, ελαιώνες. ΕΣΚΕΔΙΚ drone θερμικής &amp;amp; οπτικής. Δυνάμεις 6ης ΕΜΟΔΕ. Αρχικά 28 πυρ/στες+7 α/φη+2 ελ/ρα, ενισχύθηκαν σε 64+8+3. | ⚠ pyr_postfix 2026-09-23: διπλοεγγραφή του ίδιου συμβάντος· η έκταση δεν προσμετράται (_έκταση0=0). Φέρουσα εγγραφή: γραμμή 320.</t>
  </si>
  <si>
    <t xml:space="preserve">Ξεκίνησε 31/7 από αιολικό πάρκο Βοιωτίας. Copernicus: 134.585 στρ (103.619 Αττική/Βοιωτία/ΠΓ + 30.966 Χειρονόμη Βοιωτίας). Συλλήψεις 4/8: Δήμαρχος Στυλίδας Γ. Αποστόλου + εργολάβος κατασκευάστριας εταιρείας ηλεκτρ. δικτύου (4 κακουργ. + 1 πλημμ.). Τρίτος (ιδιοκτ. αιολικού) κρατείται έως 7/8. Σύγκρουση 2 ελικοπτέρων Ψάθα 2/8: 2 νεκροί. Πυρ. Σώμα Γεν. Επιφυλακή 4/8. Επίπεδο κινδύνου 4 (ΠΟΛΥ ΥΨΗΛΗ) για Αττική, Εύβοια, Χίο (ΔΤ 6242, 13:34 4/8). Τελική κατάσβεση περί 7/8 (≥7 ημέρες). Ειδικά αριθμητικά στοιχεία δυνάμεων 4/8 δεν επαληθεύτηκαν από πρωτογενείς πηγές. | Ανάλυση δορυφορικών εικόνων (δορ. Λεγεών, μεσημέρι 3/8/2026, Εθνικό Αστεροσκοπείο/meteo.gr): ~102.000 στρ. στο Πόρτο Γερμενό + ~30.900 στρ. στη Ξηρονομή Βοιωτίας = ~132.900 στρ. συνολικά (~13.290 ha) — συνεπές με fireservice.gr τιμή 13.458,5 ha. Αναζωπύρωση εντοπίστηκε απόγευμα 3/8 προς Ψάθα. Κατεστράφησαν 100+ οικίες, ζώα και οχήματα· αναφέρθηκε ολοκαύτωμα πυροσβεστικού οχήματος. Πυρκαγιά εκκίνησε από Καλαμαράκι Βοιωτίας (31/7). | ⚠ pyr_postfix 2026-09-23: διπλοεγγραφή του ίδιου συμβάντος· η έκταση δεν προσμετράται (_έκταση0=0). Φέρουσα εγγραφή: γραμμή 322.</t>
  </si>
  <si>
    <t xml:space="preserve">Εκδηλώθηκε 23:21/1-8 στην Παστρά. Ενεργή καθ' όλη τη 2/8. Απειλή κατοικιών και ξενοδοχείων Κάτω Κατελειό. Σύλληψη 44χρονου για εμπρησμό (είχε καταδικαστεί για παρόμοια υπόθεση). Στις 11:23/3-8 χωρίς ενεργό μέτωπο (Ναυτεμπορική). &amp;gt;6.000 στρέμματα (600 ha) καμένα. | Χωρίς ενεργό μέτωπο από 3/8· διαβροχές σε καπνίζοντα σημεία συνεχίζονταν. ~300 κάτοικοι εκκενώθηκαν. 18 στύλοι ΔΕΗ κάηκαν (εκτεταμένες διακοπές ρεύματος). | ⚠ pyr_postfix 2026-09-23: διπλοεγγραφή του ίδιου συμβάντος· η έκταση δεν προσμετράται (_έκταση0=0). Φέρουσα εγγραφή: γραμμή 319.</t>
  </si>
  <si>
    <t xml:space="preserve">Εκδηλώθηκε 12:40/1-8 στο νότιο Ρέθυμνο. Κάηκαν ~45.000 στρ. (4.500 ha) εκτός φοινικοδάσους Πρέβελι. 2 πυροσβέστες νεκροί στη Κρυά Βρύση. Άνεμοι 7–8 Μποφόρ – αεροπορικές επιχειρήσεις ανεστάλησαν. Εισαγγελική έρευνα Ρεθύμνου κατά υπαλλήλου ΔΕΔΔΗΕ. Σε ύφεση 2/8 πρωί, εστίες Πρέβελι ενεργές 3/8 (Scout). | Κύριο μέτωπο 29/7–1/8. Εναπομείνασες εστίες Πρέβελι/Ασώματα κατεσβέσθησαν εντός 3/8. Κατεστράφησαν κυρίως ελαιώνες και χαμηλή βλάστηση. Η κατεγραφείσα έκταση 4.500 ha επιβεβαιώνεται από πηγές (45.000 στρέμματα). | ⚠ pyr_postfix 2026-09-23: διπλοεγγραφή του ίδιου συμβάντος· η έκταση δεν προσμετράται (_έκταση0=0). Φέρουσα εγγραφή: γραμμή 332.</t>
  </si>
  <si>
    <t xml:space="preserve">Ξεκίνησε 31/7 στη Νότια Βοιωτία (Αγ. Βασίλειος/Καλαμάκι), εξαπλώθηκε στη Δυτική Αττική. Στις 2/8 έκαψε ~30.900 στρ. (3.090 ha) στη Βοιωτία και ~80.800 στρ. (8.080 ha) στο Πόρτο Γερμενό, σύνολο ~111.000 στρ. Σύγκρουση 2 Bell ελικοπτέρων ~340 μ. ύψος κοντά στην Ψάθα: 2 νεκροί (Έλληνας &amp;amp; Δανός), 2 τραυματίες (Βρετανός &amp;amp; Έλληνας). &amp;gt;100 σπίτια κάηκαν. Αεροπορικά: 8 Erickson + 2 Chinook ελικόπτερα, 2 Canadair CL-415. Ενεργή και 3/8 με εξασθένιση ανέμων. Επίσης active στρατιωτικό πεδίο βολής με ανεκπυρσοκρότητα. Επίσημο δελτίο Π.Σ.: 38 αγροτοδασικές το 24ωρο 1-2/8 (ΔΤ 6240c). | Κορύφωση πυρκαγιάς 1-3/8. Ισχυροί ριπαίοι άνεμοι ανάκοψαν εναέρια επεμβάση κατά τη διάρκεια. &amp;gt;200 κατοικίες καταστράφηκαν. ~1.500 κάτοικοι εκκενώθηκαν. Ακριβής ώρα ελέγχου δεν εντοπίστηκε σε διαθέσιμες πηγές. | ⚠ pyr_postfix 2026-09-23: διπλοεγγραφή του ίδιου συμβάντος· η έκταση δεν προσμετράται (_έκταση0=0). Φέρουσα εγγραφή: γραμμή 322.</t>
  </si>
  <si>
    <t xml:space="preserve">2 νεκροί. Κτίρια: Κόκκινα 118, Κίτρινα 119, Πράσινα 88. Απελευθερώθηκε ενέργεια ≥380 TJ· 55% έκαψε τη νύχτα. Κύριες εστίες: Άγιος Νεκτάριος, Κανδήλι. Ανακοινώσεις 10-11/8 για οικονομική ενίσχυση &amp;amp; προσωρινή στέγαση πυρόπληκτων (upsert: ανάλυση 10/8). | ⚠ pyr_postfix 2026-09-23: διπλοεγγραφή του ίδιου συμβάντος· η έκταση δεν προσμετράται (_έκταση0=0). Φέρουσα εγγραφή: γραμμή 322.</t>
  </si>
  <si>
    <t xml:space="preserve">144.000 στρέμματα (14.400 ha)· peak 51 εναέρια μέσα (8/8)· &amp;gt;120 σπίτια κατεστραμμένα Πόρτο Γερμενό· 2 Bell ελικ. συγκρούστηκαν 2/8· βοήθεια Γαλλία/Ρουμανία | ⚠ pyr_postfix 2026-09-23: διπλοεγγραφή του ίδιου συμβάντος· η έκταση δεν προσμετράται (_έκταση0=0). Φέρουσα εγγραφή: γραμμή 322.</t>
  </si>
  <si>
    <t xml:space="preserve">Έναρξη 31/7 από Ξηρονόμι/Άγ. Βασίλη Βοιωτίας· επέκταση Δυτ. Αττική 2/8· ≈80.800 στρ. Αττική + ≈30.900 στρ. Βοιωτία = 11.170 ha συνολικά· 120+ κατοικίες κατεστράφησαν· 51 εναέρια δεν μπόρεσαν ρίψεις λόγω ακραίων ανέμων· ενεργά μέτωπα Αγ. Νεκτάριος &amp;amp; Κανδήλι· Meteo: ενέργεια ≈6 ατομικές βόμβες Χιροσίμα· κατάσταση 8/8: περιορισμένη (Yutori). Χάρτης ΓΓΠΠ 31/7 μη διαθέσιμος στο παρόν παράθυρο. | ⚠ pyr_postfix 2026-09-23: διπλοεγγραφή του ίδιου συμβάντος· η έκταση δεν προσμετράται (_έκταση0=0). Φέρουσα εγγραφή: γραμμή 322.</t>
  </si>
  <si>
    <t xml:space="preserve">Μεγαπυρκαγιά: ξεκίνησε 31/7 στη νότια Βοιωτία, εξαπλώθηκε σε Δ. Αττική. 144.243 στρέμματα ≈ 14.424 ha (εκτίμηση 4/8). 55% καμένης έκτασης τη νύχτα, ενέργεια ≥380 TJ (NOA/FLAME). Δύο χειριστές ελικοπτέρου νεκροί σε σύγκρουση (2/8). Πάνω από 120 κατοικίες κατεστραμμένες. 51 εναέρια αδύνατη ρίψη λόγω ακραίων ανέμων (Τούρνας, 8/8). Yutori email 8/8 ανέφερε status «Περιορισμένη» για δραστηριότητα 7–8/8. | ⚠ pyr_postfix 2026-09-23: διπλοεγγραφή του ίδιου συμβάντος· η έκταση δεν προσμετράται (_έκταση0=0). Φέρουσα εγγραφή: γραμμή 322.</t>
  </si>
  <si>
    <t xml:space="preserve">Πλησίον τουρκικών συνόρων | ⚠ pyr_postfix 2026-09-23: διπλοεγγραφή του ίδιου συμβάντος· η έκταση δεν προσμετράται (_έκταση0=0). Φέρουσα εγγραφή: γραμμή 354.</t>
  </si>
  <si>
    <t xml:space="preserve">Αγροτοδασική έκταση κοντά στα ελληνοτουρκικά σύνορα, πεδίο βολής Ψηλός Στάλος. Yutori 14:25 EEST. | Κτηνοτροφική μονάδα στις φλόγες — απομακρύνθηκαν εγκαίρως ~200 ζώα. Πυρκαγιά κοντά στο πεδίο βολής «Ψηλός Στάλος». | Αγροτοδασική έκταση κοντά στα ελληνοτουρκικά σύνορα (πεδίο βολής Ψηλός Στάλος). Οριοθετήθηκε. | Γεωργικές εκτάσεις κοντά στα ελληνοτουρκικά σύνορα. Ενεργοποιήθηκε Υπηρεσία Εγκληματολογίας Εμπρησμών Έβρου. | Αγροτική έκταση κοντά στα ελληνοτουρκικά σύνορα. Πληροφορία 14:25 EEST. | Κοντά στα ελληνοτουρκικά σύνορα. Δασική έκταση. Κίνδυνος εκτιμήθηκε ΜΕΣΗ βάσει χάρτη 29/7 για Έβρο (μπλε ζώνη). | ⚠ pyr_postfix 2026-09-23: διπλοεγγραφή του ίδιου συμβάντος· η έκταση δεν προσμετράται (_έκταση0=0). Φέρουσα εγγραφή: γραμμή 354.</t>
  </si>
  <si>
    <t xml:space="preserve">Δασική έκταση. | Δύσβατο σημείο, δεν απειλήθηκαν κατοικίες. Πηγές αναφέρουν έναρξη 12:30 26/07 — ενδεχόμενη απόκλιση ημερομηνίας batch. | ⚠ pyr_postfix 2026-09-23: διπλοεγγραφή του ίδιου συμβάντος· η έκταση δεν προσμετράται (_έκταση0=0). Φέρουσα εγγραφή: γραμμή 362.</t>
  </si>
  <si>
    <t xml:space="preserve">Ενεργοποιήθηκε Ανακριτικό Κλιμάκιο Εμπρησμών για διερεύνηση αιτιών. | Αγροτοδασική. ΕΣΚΕΔΙΚ drone (οπτική+θερμική). Ενεργοποιήθηκε κλιμάκιο εμπρησμών. | Πανομοιότυπο περιστατικό με 'Σταυρός Διρφύων-Μεσσαπίων' (ίδια ημ/νία, ώρα, δυνάμεις) — πιθανή διπλοεγγραφή. Newsbeast: «Έσβησε η φωτιά στον Σταυρό». | ⚠ pyr_postfix 2026-09-23: διπλοεγγραφή του ίδιου συμβάντος· η έκταση δεν προσμετράται (_έκταση0=0). Φέρουσα εγγραφή: γραμμή 351.</t>
  </si>
  <si>
    <t xml:space="preserve">Δύσβατο σημείο· χωρίς κοντινές κατοικίες/υποδομές. ΕΣΚΕΔΙΚ παρακολουθεί με drone (οπτική+θερμική). ΑΚΑΕ Φθιώτιδας ενεργοποιήθηκε. Αρχικές δυνάμεις: 43 πυρ., 12 οχ., 3 αεροσκ., 1 ελικ. Οι τελικές δυνάμεις (55/19/6/1) ενδέχεται να αντιπροσωπεύουν το σύνολο και με την πυρκαγιά Βασιλικών. | Ιδιαίτερα δύσβατη τοποθεσία· ενεργοποίηση Ανακριτικού Κλιμακίου Φθιώτιδας· χωρίς κίνδυνο για κατοικίες | Δασική έκταση σε ιδιαίτερα δύσβατο σημείο όρους Καλλίδρομο. Δεν απειλήθηκαν κατοικίες ή υποδομές. | ⚠ pyr_postfix 2026-09-23: διπλοεγγραφή του ίδιου συμβάντος· η έκταση δεν προσμετράται (_έκταση0=0). Φέρουσα εγγραφή: γραμμή 362.</t>
  </si>
  <si>
    <t xml:space="preserve">Δυσπρόσιτη περιοχή, μακριά από κατοικίες. Παρακολούθηση με drone (οπτική &amp;amp; θερμική κάμερα) ΕΣΚΕΔΙΚ. Κατάσταση: Υπό μερικό έλεγχο. | Δασική πυρκαγιά σε δυσπρόσιτη δασική περιοχή, μακριά από κατοικίες. ΕΣΚΕΙΔΙΚ παρακολουθούσε με drone. Ομάδα ερευνών εμπρησμού από Λέσβο ενεργοποιήθηκε. | ⚠ pyr_postfix 2026-09-23: διπλοεγγραφή του ίδιου συμβάντος· η έκταση δεν προσμετράται (_έκταση0=0). Φέρουσα εγγραφή: γραμμή 373.</t>
  </si>
  <si>
    <t xml:space="preserve">Σύλληψη για εμπρησμό από αμέλεια. | Συνελήφθη 19χρονος Καναδός υπήκοος: αντρέτσα οχήματος αποσυμπιέστηκε και υπερθερμάνθηκε, ανάφλεξη χόρτων. Κατάσβεση με βοήθεια ελαφράς βροχόπτωσης και άπνοιας το απόγευμα/βράδυ. Τροφοδοσία εναέριων από φράγματα Πεσάνης και Δέλτα Έβρου. | 19χρονος αλλοδαπός (Καναδός υπήκοος) συνελήφθη αυθημερόν: απώλεια πίεσης τροχού/υπερθέρμανση οχήματος ανέφλεξε ξηρά χόρτα. Γρήγορη κατάσβεση. | ⚠ pyr_postfix 2026-09-23: διπλοεγγραφή του ίδιου συμβάντος· η έκταση δεν προσμετράται (_έκταση0=0). Φέρουσα εγγραφή: γραμμή 382.</t>
  </si>
  <si>
    <t xml:space="preserve">Δύσβατη δασική περιοχή, μακριά από κατοικίες. Συνέχιζε να καίει παρά τη βροχόπτωση. Έσβησε αμέσως μετά τη μεγάλη κινητοποίηση. | ⚠ pyr_postfix 2026-09-23: διπλοεγγραφή του ίδιου συμβάντος· η έκταση δεν προσμετράται (_έκταση0=0). Φέρουσα εγγραφή: γραμμή 374.</t>
  </si>
  <si>
    <t xml:space="preserve">Emakedonia.gr (μεταγενέστερο άρθρο): τελικές δυνάμεις 88 πυροσβέστες + 4 πεζοπόρα τμήματα, 19 οχήματα, 8 αεροσκάφη, 4 ελικόπτερα· έναρξη ~12:30 σε ελαιώνες και δασική έκταση, δυσπρόσιτο ανεπίδοτο έδαφος. | ⚠ pyr_postfix 2026-09-23: διπλοεγγραφή του ίδιου συμβάντος· η έκταση δεν προσμετράται (_έκταση0=0). Φέρουσα εγγραφή: γραμμή 411.</t>
  </si>
  <si>
    <t xml:space="preserve">Χαμηλή βλάστηση· σχεδόν χωρίς ενεργό μέτωπο εντός ~1 ώρας· κατηγορία 3 επιβεβαιωμένη από πηγές | Διακοπή κυκλοφορίας τρένων Σίνδος–Θεσσαλονίκη κατά τη διάρκεια της κατάσβεσης. Κλιμάκιο αντιμετώπισης εγκλημάτων εμπρησμού Θεσσαλονίκης μεταβαίνει στο σημείο. | Φωτιά σε χαμηλή βλάστηση. Χωρίς ενεργό μέτωπο εντός ~1 ώρας από εκδήλωση (18:00). Ανακριτικό Κλιμάκιο Εγκλημάτων Εμπρησμού Θεσσαλονίκης μεταβαίνει για διερεύνηση αιτίας (δεν προσδιορίστηκε). Drone με οπτικές/θερμικές κάμερες σε εποπτεία. Περιοχή υψηλού κινδύνου κατηγορία 3. | ⚠ pyr_postfix 2026-09-23: διπλοεγγραφή του ίδιου συμβάντος· η έκταση δεν προσμετράται (_έκταση0=0). Φέρουσα εγγραφή: γραμμή 416.</t>
  </si>
  <si>
    <t xml:space="preserve">Δασική πυρκαγιά σε δύσβατη περιοχή — δυσχεραίνει την πρόσβαση επίγειων οχημάτων. Εναέρια μέσα στο σημείο. | Πολύ δύσβατο σημείο — δυσχεραίνει πρόσβαση οχημάτων. Επιχείρησαν ελικόπτερο και αεροσκάφος. ΔΑΕΕ Καβάλας για αιτία. | ⚠ pyr_postfix 2026-09-23: διπλοεγγραφή του ίδιου συμβάντος· η έκταση δεν προσμετράται (_έκταση0=0). Φέρουσα εγγραφή: γραμμή 418.</t>
  </si>
  <si>
    <t xml:space="preserve">Δύσβατη δασική τοποθεσία που δυσχέραινε προσέγγιση οχημάτων· Ανακριτικό Κλιμάκιο Καβάλας στο σημείο | Δύσβατη δασική έκταση· επίγειες δυνάμεις πολύ λίγες λόγω δυσπρόσιτου εδάφους | Αναφορά ενεργής εστίας 20/7 από Anadolu Agency. Χωρίς πρόσθετες λεπτομέρειες στις διαθέσιμες πηγές. | ⚠ pyr_postfix 2026-09-23: διπλοεγγραφή του ίδιου συμβάντος· η έκταση δεν προσμετράται (_έκταση0=0). Φέρουσα εγγραφή: γραμμή 418.</t>
  </si>
  <si>
    <t xml:space="preserve">Αναφορά μόνο από AA/Yutori· ελλιπή στοιχεία | Αναφέρεται μόνο στο email Yutori/AA — χωρίς πρόσθετες λεπτομέρειες από ελληνικά ΜΜΕ | Δασική πυρκαγιά. Υπό μερικό έλεγχο στην τελευταία ενημέρωση. Ανακριτικό Κλιμάκιο Λάρισας στο σημείο. | Αναφορά ενεργής εστίας 20/7 (Λάρισα, Θεσσαλία) από AA. Χωρίς πρόσθετες λεπτομέρειες. | ⚠ pyr_postfix 2026-09-23: διπλοεγγραφή του ίδιου συμβάντος· η έκταση δεν προσμετράται (_έκταση0=0). Φέρουσα εγγραφή: γραμμή 422.</t>
  </si>
  <si>
    <t xml:space="preserve">Χαμηλή βλάστηση· Ανακριτικό Κλιμάκιο Φθιώτιδας στο σημείο | Αναφέρεται μόνο στο email Yutori/AA — χωρίς πρόσθετες λεπτομέρειες από ελληνικά ΜΜΕ | ⚠ pyr_postfix 2026-09-23: διπλοεγγραφή του ίδιου συμβάντος· η έκταση δεν προσμετράται (_έκταση0=0). Φέρουσα εγγραφή: γραμμή 424.</t>
  </si>
  <si>
    <t xml:space="preserve">Δυτικά Αθήνας· αναφέρεται μόνο στο email Yutori/AA — χωρίς πρόσθετες λεπτομέρειες | Αναφορά αποκλειστικά από Yutori email 21/07 (AA/anadolu, «δυτικά της Αθήνας»). Δεν επαληθεύτηκε με ανεξάρτητη web πηγή. | 4 εναέρια μέσα συνολικά (2 αεροσκάφη + 2 ελικόπτερα). Αστυνομία για ρύθμιση κυκλοφορίας οδού Σχιστού–Περάματος. | ⚠ pyr_postfix 2026-09-23: διπλοεγγραφή του ίδιου συμβάντος· η έκταση δεν προσμετράται (_έκταση0=0). Φέρουσα εγγραφή: γραμμή 426.</t>
  </si>
  <si>
    <t xml:space="preserve">Αγροτοδασική έκταση. Υπό διερεύνηση η αιτία από τη Διεύθυνση Εγκληματολογικών Ερευνών Εμπρησμών Ροδόπης. | ⚠ pyr_postfix 2026-09-23: διπλοεγγραφή του ίδιου συμβάντος· η έκταση δεν προσμετράται (_έκταση0=0). Φέρουσα εγγραφή: γραμμή 436.</t>
  </si>
  <si>
    <t xml:space="preserve">Ισχυροί άνεμοι έσπρωχναν τη φωτιά προς το χωριό. Δυνάμεις από Κύμη, Αλιβέρι και Χαλκίδα. Αποστάλθηκε ανακριτική ομάδα για τη διερεύνηση της αιτίας. | ⚠ pyr_postfix 2026-09-23: διπλοεγγραφή του ίδιου συμβάντος· η έκταση δεν προσμετράται (_έκταση0=0). Φέρουσα εγγραφή: γραμμή 438.</t>
  </si>
  <si>
    <t xml:space="preserve">Χαμηλή βλάστηση. Ισχυρές δυνάμεις επιχείρησαν. | Χαμηλή βλάστηση, απόγευμα Παρασκευής 17/07. | Χαμηλή βλάστηση. Αιτία και τελική κατάσταση δεν επαληθεύτηκαν από μεταγενέστερες πηγές. | Πυρκαγιά στον κάμπο Μπαμπίνης (χαμηλή βλάστηση). Δυνάμεις παρέμειναν για προληπτικούς λόγους αναζωπύρωσης — δήλωση προέδρου Κοινότητας Δ. Μπένεκου. | ⚠ pyr_postfix 2026-09-23: διπλοεγγραφή του ίδιου συμβάντος· η έκταση δεν προσμετράται (_έκταση0=0). Φέρουσα εγγραφή: γραμμή 443.</t>
  </si>
  <si>
    <t xml:space="preserve">Χαμηλή βλάστηση, ενημέρωση στις 18:30. Άνεμοι 4 Μπ. Τελική κατάσταση αγνώστη — δεν εντοπίστηκε follow-up ανακοίνωση. | Χαμηλή βλάστηση. Αιτία και τελική κατάσταση δεν επαληθεύτηκαν. Πιθανό duplicate με 'Μπαμπίνη Αστακού'. | Πυρκαγιά στον κάμπο Μπαμπίνης (χαμηλή βλάστηση). Δυνάμεις παρέμειναν για προληπτικούς λόγους αναζωπύρωσης — δήλωση προέδρου Κοινότητας Δ. Μπένεκου. | ⚠ pyr_postfix 2026-09-23: διπλοεγγραφή του ίδιου συμβάντος· η έκταση δεν προσμετράται (_έκταση0=0). Φέρουσα εγγραφή: γραμμή 443.</t>
  </si>
  <si>
    <t xml:space="preserve">Χαμηλή βλάστηση, διάσπαρτες κατοικίες κοντά στο μέτωπο. Χωρίς ενεργό μέτωπο μετά κατάσβεση. | Αγροτοδασική έκταση με διάσπαρτες κατοικίες κοντά. Άνεμοι 4 Μπ. Υπό έλεγχο μετά από κινητοποίηση 55 πυροσβεστών. | Καύσιμη ύλη: ξερά χόρτα/καλάμια/χαμηλή βλάστηση. Αιτία υπό διερεύνηση. Πιθανό duplicate με 'Κολιρέικες Παράγκες Πύργου'. | ⚠ pyr_postfix 2026-09-23: διπλοεγγραφή του ίδιου συμβάντος· η έκταση δεν προσμετράται (_έκταση0=0). Φέρουσα εγγραφή: γραμμή 446.</t>
  </si>
  <si>
    <t xml:space="preserve">Πυρκαγιά στο 520ο χλμ ΠΑΘΕ, θέση Άσπρος Δήμου Παιονίας. Πηγή: Yutori Scout email 17/07/2026 15:51 EEST, βασίζεται σε άρθρο Τα Νέα 16/07 21:28 EEST. | Στο 520ο χλμ. της ΠΑΘΕ, Δήμος Παιονίας. Αναφέρθηκε 16/7/2026 21:28 EEST στην tanea.gr. | ⚠ pyr_postfix 2026-09-23: διπλοεγγραφή του ίδιου συμβάντος· η έκταση δεν προσμετράται (_έκταση0=0). Φέρουσα εγγραφή: γραμμή 454.</t>
  </si>
  <si>
    <t xml:space="preserve">Φωτιά σε ορεινή αγροτοδασική έκταση. Τέθηκε σε ύφεση σε ~40 λεπτά. Δεν απείλησε κατοικημένες περιοχές. | Αγροτοδασική έκταση Βλαχόπουλο. Κατασβέστηκε εντός ~55 λεπτών από την έναρξη (εκτιμώμενη ώρα κατάσβεσης 17:25). Ανακριτικό κλιμάκιο εμπρησμού Μεσσηνίας στο σημείο. Επίπεδο κινδύνου 3 για Πελοπόννησο από χάρτη ΓΓΠΠ 16/07. | Ορεινή αγροτοδασική έκταση. 6 εναέρια συνολικά (4 αεροσκάφη + 2 ελικόπτερα). Σε ύφεση εντός ~1 ώρας. Δεν κινδύνεψε οικισμός. | Αγροτοδασική έκταση σε ορεινή ζώνη. Κατάσβεση σε ~1 ώρα. Δεν απειλήθηκαν κατοικίες. | Σε ύφεση μετά από ~40 λεπτά επιχείρησης· Ανακριτικό Κλιμάκιο Μεσσηνίας στο σημείο | ⚠ pyr_postfix 2026-09-23: διπλοεγγραφή του ίδιου συμβάντος· η έκταση δεν προσμετράται (_έκταση0=0). Φέρουσα εγγραφή: γραμμή 456.</t>
  </si>
  <si>
    <t xml:space="preserve">Ξεκίνησε σε χαμηλή βλάστηση παρά οδό· εξαπλώθηκε σε πευκοδάσος. Οριοθετήθηκε σε ~40 λεπτά. Κυκλοφοριακές ρυθμίσεις σε 3 επαρχιακές οδούς. Ανακριτικό κλιμάκιο εμπρησμού στο σημείο. Επίπεδο κινδύνου 3 για Αττική από χάρτη ΓΓΠΠ 16/07 και πηγές. | Ξεκίνησε σε χαμηλή βλάστηση δίπλα σε δρόμο, εξαπλώθηκε γρήγορα σε πευκόδασος. Κυκλοφοριακές ρυθμίσεις στην περιοχή Βιλίων. Ανακριτικό Κλιμάκιο Εμπρησμών στο σημείο. | ⚠ pyr_postfix 2026-09-23: διπλοεγγραφή του ίδιου συμβάντος· η έκταση δεν προσμετράται (_έκταση0=0). Φέρουσα εγγραφή: γραμμή 458.</t>
  </si>
  <si>
    <t xml:space="preserve">Ξεκίνησε σε χαμηλή βλάστηση δίπλα σε δρόμο, γρήγορα επεκτάθηκε σε πευκοδάσος. 7 εναέρια (5 αεροσκάφη + 2 ελικόπτερα). Σε εξέλιξη κατά τη στιγμή ενημέρωσης. | Ξεκίνησε από χαμηλή βλάστηση, επεκτάθηκε σε δασική έκταση. Οριοθετήθηκε σε ~40 λεπτά. Κυκλοφοριακές ρυθμίσεις: Οινόη–Πόρτο Γερμενό, Αλεποχώρι–Βίλια, Άγιο Γεώργιο–Πόρτο Γερμενό. | Ξεκίνησε σε χαμηλή βλάστηση παράπλευρα δρόμου, επεκτάθηκε σε πευκοδάσος. 7 εναέρια συνολικά. Κυκλοφοριακές ρυθμίσεις σε τρεις επαρχιακές οδούς. ΔΑΕΕ Δυτικής Αττικής ερευνά αίτια. | Πολλαπλές πηγές επιβεβαιώνουν οριοθέτηση εντός ~40 λεπτών από την έναρξη (14:40)· ώρα ελέγχου κατ' εκτίμηση ~15:20. Αιτία υπό διερεύνηση (ΔΑΕΕ). | ΠΡΟΣΟΧΗ: Πιθανό διπλότυπο με εγγραφή 'Πυρκαγιά Βίλια — Αγία Παρασκευή' (ίδια ημ/νία 16/07, ώρα 14:40–15:20, δυνάμεις 115/35/5+2, θέση). Η μόνη διαφορά είναι η ορθογραφία του name_area. Συνίσταται συγχώνευση. | ⚠ pyr_postfix 2026-09-23: διπλοεγγραφή του ίδιου συμβάντος· η έκταση δεν προσμετράται (_έκταση0=0). Φέρουσα εγγραφή: γραμμή 458.</t>
  </si>
  <si>
    <t xml:space="preserve">Αγροτοδασική έκταση κοντά σε κατοικίες. Χρήση drone με οπτικές και θερμικές κάμερες. Αποστολή ανακριτικού κλιμακίου. | Μία σύλληψη ανακοινώθηκε την 15/7/2026 σύμφωνα με follow-up ρεπορτάζ (tanea.gr). Αιτία: αμέλεια κατά εργασίες. | Σύλληψη 1 ατόμου για εμπρησμό από αμέλεια (15/07/2026). Η πυρκαγιά ξέσπασε από σπινθήρες κατά την κατασκευή περίφραξης σε αγροτοδασική έκταση. Αναφέρονται ζημιές σε ελαιόδεντρα. | ⚠ pyr_postfix 2026-09-23: διπλοεγγραφή του ίδιου συμβάντος· η έκταση δεν προσμετράται (_έκταση0=0). Φέρουσα εγγραφή: γραμμή 472.</t>
  </si>
  <si>
    <t xml:space="preserve">Αγροτοδασική έκταση στη Λατά (Δ.Κ. Ταμυνέων). Φλόγες 300μ. από οικίες. Ισχυροί άνεμοι. Χωρίς ενεργό μέτωπο — οριοθετήθηκε. Αναζωπυρώσεις παρακολουθούνταν. | ⚠ pyr_postfix 2026-09-23: διπλοεγγραφή του ίδιου συμβάντος· η έκταση δεν προσμετράται (_έκταση0=0). Φέρουσα εγγραφή: γραμμή 474.</t>
  </si>
  <si>
    <t xml:space="preserve">Αγροτοδασική έκταση, Ταρσός Λειβαδιάς. Χωρίς ενεργό μέτωπο μετά κατάσβεση. Χάρτης ΓΓΠΠ 13/07: Βοιωτίας ΥΨΗΛΗ (3). | ⚠ pyr_postfix 2026-09-23: διπλοεγγραφή του ίδιου συμβάντος· η έκταση δεν προσμετράται (_έκταση0=0). Φέρουσα εγγραφή: γραμμή 478.</t>
  </si>
  <si>
    <t xml:space="preserve">Χαμηλή βλάστηση και απορρίμματα στον Δήμο Χαλκηδόνας. 112 στις 18:02 για ετοιμότητα. Παρακολούθηση με drone (οπτική + θερμική κάμερα) από Ενιαίο ΚΕΔΧ. Διερεύνηση ΔΑΕΕ. | Χαμηλή βλάστηση και απορρίμματα. Οριοθετήθηκε εντός ~30 λεπτών. Χάρτης ΓΓΠΠ 12/07: Θεσσαλονίκης ΜΕΣΗ (2). | ⚠ pyr_postfix 2026-09-23: διπλοεγγραφή του ίδιου συμβάντος· η έκταση δεν προσμετράται (_έκταση0=0). Φέρουσα εγγραφή: γραμμή 484.</t>
  </si>
  <si>
    <t xml:space="preserve">112 μήνυμα ετοιμότητας (όχι εκκένωσης) | Φωτιά στην περιοχή Κουκναριά-Μπιζάνι Αγιάσου. ΠΡΟΣΟΧΗ: η πηγή meteo24news.gr αναφέρει ημερομηνία 10/07/2026 — πιθανή σφαλμένη καταγραφή αρχικής ημερομηνίας στο σύστημα. | Εξωτερικές πηγές (tovima.gr, lesvosnews.net) αναφέρουν ημ/νία 10/07/2026 (Παρασκευή) αντί 12/07 — ενδεχόμενη ασυμφωνία στην καταγεγραμμένη ημερομηνία. Καμένη έκταση δεν εντοπίστηκε. | ⚠ pyr_postfix 2026-09-23: διπλοεγγραφή του ίδιου συμβάντος· η έκταση δεν προσμετράται (_έκταση0=0). Φέρουσα εγγραφή: γραμμή 506.</t>
  </si>
  <si>
    <t xml:space="preserve">Πυρκαγιά σε χαμηλή βλάστηση και απορρίμματα πλησίον αρδευτικού καναλιού· γρήγορη εξάπλωση προς οικισμό Περιβολακίου· οριοθετήθηκε το πρωί 12/7, συνεχίστηκε επιχείρηση πλήρους κατάσβεσης. | 120 στρέμματα καμένα (10 αγρ. + 110 δασ. = 12 ha). Yutori: «Περιβόλι, Θεσσαλονίκη». Σε ύφεση βάσει tanea.gr (11/07). Χάρτης ΓΓΠΠ 11/07: Θεσσαλονίκης ΜΕΣΗ (2). | Φωτιά σε χόρτα/απορρίμματα κοντά σε αρδευτικό κανάλι και οικισμό. | ⚠ pyr_postfix 2026-09-23: διπλοεγγραφή του ίδιου συμβάντος· η έκταση δεν προσμετράται (_έκταση0=0). Φέρουσα εγγραφή: γραμμή 496.</t>
  </si>
  <si>
    <t xml:space="preserve">Αγροτοδασική έκταση κοντά στο Σανατόριο Αγιάσου και σε οικισμό. Μήνυμα 112 ετοιμότητας στις 14:52. ΕΣΚΕΔΙΚ παρακολούθηση με drone (οπτική+θερμική). danger_level 2 βάσει ΓΓΠΠ χάρτη 10/07/2026 (Λέσβος εκτός 4 κίτρινων περιοχών). | ⚠ pyr_postfix 2026-09-23: διπλοεγγραφή του ίδιου συμβάντος· η έκταση δεν προσμετράται (_έκταση0=0). Φέρουσα εγγραφή: γραμμή 506.</t>
  </si>
  <si>
    <t xml:space="preserve">Χαμηλή βλάστηση ~1 χλμ. βόρεια οικισμού Ξηρόβρυσης. Δεν κινδύνεψαν κατοικίες. | ⚠ pyr_postfix 2026-09-23: διπλοεγγραφή του ίδιου συμβάντος· η έκταση δεν προσμετράται (_έκταση0=0). Φέρουσα εγγραφή: γραμμή 521.</t>
  </si>
  <si>
    <t xml:space="preserve">Δασική έκταση. Άμεση επέμβαση — δεν επεκτάθηκε. Δεν απειλήθηκαν κατοικίες. danger_level 3 βάσει ΓΓΠΠ χάρτη 09/07/2026. | Δασική έκταση. Καύση ~1 στρέμμα (0,1 ha) δάσους. Χάρτης ΓΓΠΠ 9/7: Εύβοια ΜΕΣΗ – αλλά με σημείωση κεραυνών. | ⚠ pyr_postfix 2026-09-23: διπλοεγγραφή του ίδιου συμβάντος· η έκταση δεν προσμετράται (_έκταση0=0). Φέρουσα εγγραφή: γραμμή 514.</t>
  </si>
  <si>
    <t xml:space="preserve"> | ⚠ pyr_postfix 2026-09-23: διπλοεγγραφή του ίδιου συμβάντος· η έκταση δεν προσμετράται (_έκταση0=0). Φέρουσα εγγραφή: γραμμή 514.</t>
  </si>
  <si>
    <t xml:space="preserve">Δύσβατη περιοχή χαμηλής βλάστησης, δυτική Λέσβος. Βελτιωμένη εικόνα. | ⚠ pyr_postfix 2026-09-23: διπλοεγγραφή του ίδιου συμβάντος· η έκταση δεν προσμετράται (_έκταση0=0). Φέρουσα εγγραφή: γραμμή 522.</t>
  </si>
  <si>
    <t xml:space="preserve">Εκκένωση οικισμού Μπραμιανά via 112. Ισχυροί άνεμοι 7 Μποφόρ. Πυρκαγιά σε αγροτική περιοχή κοντά στο φράγμα Μπραμιανά. | ⚠ pyr_postfix 2026-09-23: διπλοεγγραφή του ίδιου συμβάντος· η έκταση δεν προσμετράται (_έκταση0=0). Φέρουσα εγγραφή: γραμμή 529.</t>
  </si>
  <si>
    <t xml:space="preserve">Σύλληψη 40χρονου κατ' επίληψιν. Μέρος των 44 αγροτοδασικών πυρκαγιών 24ώρου 3/7. | Σύλληψη 40χρονου Έλληνα από ΑΚΑΕΕ. Πρόστιμο €2.707,03. Πιθανή ταύτιση με εγγραφή prefecture=Αργολίδας ίδιας ημερομηνίας/τοποθεσίας. | ⚠ pyr_postfix 2026-09-23: διπλοεγγραφή του ίδιου συμβάντος· η έκταση δεν προσμετράται (_έκταση0=0). Φέρουσα εγγραφή: γραμμή 552.</t>
  </si>
  <si>
    <t xml:space="preserve">Δασική έκταση σε δυσπρόσιτη περιοχή· μεγάλη δυσκολία προσέγγισης υδροφόρων. Οριοθετήθηκε τις απογευματινές ώρες. ΓΓΠΠ χάρτης 03/07: Καρδίτσας ΥΨΗΛΗ (3). | ⚠ pyr_postfix 2026-09-23: διπλοεγγραφή του ίδιου συμβάντος· η έκταση δεν προσμετράται (_έκταση0=0). Φέρουσα εγγραφή: γραμμή 554.</t>
  </si>
  <si>
    <t xml:space="preserve">Εκκένωση χωριών Σφάκα και Κατάλυμα. Ισχυροί άνεμοι. Σε ύφεση 2/7/2026. Αναφέρεται στο Yutori Scout email 2/7. | Χαρακτηρίστηκε η μεγαλύτερη αγροτοδασική πυρκαγιά της χρονιάς 2026 έως εκείνη την ημέρα. Πρωί 02/07 παρέμεναν εναέρια μέσα σε ύφεση. Εκκενώθηκαν Σφάκα και Κατάλυμα. | ⚠ pyr_postfix 2026-09-23: διπλοεγγραφή του ίδιου συμβάντος· η έκταση δεν προσμετράται (_έκταση0=0). Φέρουσα εγγραφή: γραμμή 566.</t>
  </si>
  <si>
    <t xml:space="preserve">2 άτομα συνελήφθησαν. 25 στρέμματα (2,5 ha) ξηρής βλάστησης και πουρνάρια. | Δύο συλλήψεις (58χρονος, 24χρονη). Διοικητικό πρόστιμο 3.557,81€. Καύση παλετών και ζωικών υπολειμμάτων σε αγροτεμάχιο Βαλανιδούσας Πάργας. | ⚠ pyr_postfix 2026-09-23: διπλοεγγραφή του ίδιου συμβάντος· η έκταση δεν προσμετράται (_έκταση0=0). Φέρουσα εγγραφή: γραμμή 568.</t>
  </si>
  <si>
    <t xml:space="preserve">Έναρξη λίγο πριν τις 13:00 EEST. 112 εκκένωση Αμόνι. Δασική έκταση. | Ήχησε ειδοποίηση 112. Σε υποχώρηση απόγευμα 28/6. Αρ. εναέριων (9) επιβεβαιώθηκε από in.gr. | Εκκένωση Αμμονής προς Σοφικό μέσω 112. Ύφεση περίπου 45 λεπτά μετά την εκδήλωση. Εξαιρετικά αντίξοες συνθήκες: δείκτης κινδύνου αναφλεξιμότητας, δύσκολο ανάγλυφο, άνεμοι Μποφόρ 7. Χάρτης ΓΓΠΠ 28/6: Κορινθία ΠΟΛΥ ΥΨΗΛΗ (πορτοκαλί). | ⚠ pyr_postfix 2026-09-23: διπλοεγγραφή του ίδιου συμβάντος· η έκταση δεν προσμετράται (_έκταση0=0). Φέρουσα εγγραφή: γραμμή 586.</t>
  </si>
  <si>
    <t xml:space="preserve">5 στρέμματα ξερής χλόης = 0,5 ha. Ζημιά σε 60 ελαιόδεντρα. Σύλληψη. | ⚠ pyr_postfix 2026-09-23: διπλοεγγραφή του ίδιου συμβάντος· η έκταση δεν προσμετράται (_έκταση0=0). Φέρουσα εγγραφή: γραμμή 588.</t>
  </si>
  <si>
    <t xml:space="preserve">Αλλοδαπός συνελήφθη επ' αυτοφώρω με γυμνή φλόγα. 5 στρέμματα (0.5 ha) ξερά χόρτα + 60 ελαιόδεντρα πληγέντα. Παραπέμφθηκε στον εισαγγελέα. | Σύλληψη για εμπρησμό. Μία από τις 43 πυρκαγιές 24ωρου έως 29/06. | Σύλληψη για εμπρησμό. Αναφέρθηκε στο πλαίσιο 43 πυρκαγιών 24ωρου 29/06. | Επιπλέον ζημιά σε 60 ελαιόδεντρα. Αλλοδαπός συνελήφθη επ' αυτοφώρω. | ⚠ pyr_postfix 2026-09-23: διπλοεγγραφή του ίδιου συμβάντος· η έκταση δεν προσμετράται (_έκταση0=0). Φέρουσα εγγραφή: γραμμή 588.</t>
  </si>
  <si>
    <t xml:space="preserve">Δ.Ε. Σταματών, οδός Μιλτιάδου. Δυνάμεις στο σημείο, δεν αναφέρεται τελικό αποτέλεσμα. | Πυρκαγιά οδός Μιλτιάδου, Δ.Ε. Σταματών, Δήμος Διονύσου. Πυροσβεστικές δυνάμεις κινητοποιήθηκαν. | Περιοχή Σταματών, Δ.Ε. Διονύσου, οδός Μιλτιάδου. Τελική κατάσταση αδιευκρίνιστη από πηγές. | Ξερή βλάστηση, Οδός Μιλτιάδου, Δ.Ε. Σταματών. Κατάσταση σε εξέλιξη κατά τη δημοσίευση. | Κατασβέστηκε σε ~15 λεπτά. Αιτία υπό διερεύνηση ΚΕΕΕ. Δεν απειλήθηκαν κατοικίες ή υποδομές. Έκκαυλο υλικό: χαμηλή ξηρά βλάστηση. | ⚠ pyr_postfix 2026-09-23: διπλοεγγραφή του ίδιου συμβάντος· η έκταση δεν προσμετράται (_έκταση0=0). Φέρουσα εγγραφή: γραμμή 584.</t>
  </si>
  <si>
    <t xml:space="preserve">Χαμηλή βλάστηση, οδός Μιλτιάδου, Δ.Ε. Σταματών. Μικρής έκτασης αστικό/περιαστικό συμβάν. | ⚠ pyr_postfix 2026-09-23: διπλοεγγραφή του ίδιου συμβάντος· η έκταση δεν προσμετράται (_έκταση0=0). Φέρουσα εγγραφή: γραμμή 584.</t>
  </si>
  <si>
    <t xml:space="preserve">Δασική έκταση. Ειδοποιήσεις 112 για Λιβαδειά. Δεν απειλήθηκαν κατοικίες/υποδομές. Εστία σε ύφεση κατά την τελευταία αναφορά. | ⚠ pyr_postfix 2026-09-23: διπλοεγγραφή του ίδιου συμβάντος· η έκταση δεν προσμετράται (_έκταση0=0). Φέρουσα εγγραφή: γραμμή 600.</t>
  </si>
  <si>
    <t xml:space="preserve">&lt;10 ha</t>
  </si>
  <si>
    <t xml:space="preserve">Ξεχωριστό περιστατικό από τη φωτιά Βασιλίτσας (22/9) — διαφορετική τοποθεσία, διαφορετική ημέρα. Δύσβατο/δυσπρόσιτο σημείο, αδυναμία πρόσβασης οχημάτων. Μαρτυρίες κατοίκων: κεραυνός (ασταθής ατμόσφαιρα Πίνδου).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</si>
  <si>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</si>
  <si>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Δύσβατη-απρόσιτη έκταση· αδύνατη πρόσβαση πυροσβεστικών οχημάτων· αιτία πτώση κεραυνού (στο πλαίσιο καταιγίδας 22/9)· ξεχωριστή φωτιά από Τραπεζίτσα αν και ίδιος Δήμος | Δύσβατο/δυσπρόσιτο σημείο. Αέρια μέσα: tanea αναφέρει ελικόπτερο, CNN.gr αναφέρει αεροσκάφος — πιθανώς το ίδιο μέσο, ασαφής ορολογία. Αίτιο κεραυνός (συμφραζόμενα ίδιας ημέρας με κεραυνική δραστηριότητα).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</si>
  <si>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</si>
  <si>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Δυσπρόσιτη/δύσβατη δασική περιοχή — αδύνατη πρόσβαση πυροσβεστικών οχημάτων. Αποκλειστικά ελικόπτερα για αεροπυρόσβεση. Αιτία: έντονη κεραυνική δραστηριότητα 20/09.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</si>
  <si>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</si>
  <si>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Φωτιά σε ξερά χόρτα κοντά σε ΤΙΤΑΝ. Γρήγορη οριοθέτηση. Υλικές ζημιές σε όχημα. 112 δεν επιβεβαιώθηκε για αυτό το συγκεκριμένο συμβάν 08-09.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</si>
  <si>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</si>
  <si>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Αγροτοδασική έκταση. Πρωινή εκδήλωση. Κατηγορία κινδύνου 4 (ΠΟΛΥ ΥΨΗΛΗ) για Πελοπόννησο / Μεσσηνία 08-09.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</si>
  <si>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</si>
  <si>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Ξέσπασε βράδυ Δευτέρας 7/9, ~21:15. Κινητοποίηση μόνο επίγειων δυνάμεων. Αεροπλάνα δεν αναφέρθηκαν (νυκτερινή επιχείρηση). | Ξέσπασε βράδυ 7/9. Στις 8/9 επιχειρούσαν ακόμα 20 πυρ. με 7 οχήματα.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</si>
  <si>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</si>
  <si>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ίδιος δήμος με Μακρυκάπα αλλά διαφορετική τοποθεσία και ώρα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</si>
  <si>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</si>
  <si>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Δασική έκταση. 3 εναέρια = 2 αεροσκάφη + 1 ελικόπτερο. Άρθρο ertnews.gr: 10:32 07/09. Κίνδυνος (07/09 χάρτης ΓΓΠΠ): Καβάλας κίτρινο=3. | Δασική έκταση· newsit ανέφερε «χωρίς ενεργό μέτωπο»· Θάσος σε κατ. 4 ενώ Καβάλα σε κατ. 3 | Πυρκαγιά στην περιοχή «Προφήτης Ηλίας». Αναγκαστική προσγείωση πυροσβεστικού ελικοπτέρου κατά τη διάρκεια κατάσβεσης (χωρίς αναφορά τραυματισμών). Υπό έλεγχο ~11:00.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</si>
  <si>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</si>
  <si>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Οριοθετήθηκε μέχρι τις 12:48 της 7/9.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</si>
  <si>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</si>
  <si>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Αγροτοδασική έκταση. Δεν υπάρχουν στοιχεία δυνάμεων στη διαθέσιμη πηγή. | Αγροτοδασική έκταση. Λεπτομέρειες δυνάμεων μη διαθέσιμες από διαθέσιμες πηγές.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</si>
  <si>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</si>
  <si>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Αγροτοδασική έκταση, αρχικά ξερά χόρτα. Ξεχωριστό συμβάν από τα Διάσελλα (ίδιος Δήμος).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</si>
  <si>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</si>
  <si>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Drone θερμικής κάμερας ΕΣΚΕΔΙΚ. Διάσπαρτες κατοικίες κοντά στην εστία. | Αγροτοδασική έκταση κοντά σε κατοικίες. | Ανακριτικό Κλιμάκιο Αντιμετώπισης Εγκλημάτων Εμπρησμού Θεσσαλονίκης κινητοποιήθηκε. 112 εστάλη στις 17:50 για ετοιμότητα κατοίκων.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</si>
  <si>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</si>
  <si>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 Πυρκαγιά σε χαμηλή βλάστηση, απογευματινές ώρες. | Φωτιά σε χαμηλή βλάστηση, απόγευμα Παρασκευής. Ανακριτικό Κλιμάκιο Εμπρησμού Φθιώτιδας κινητοποιήθηκε.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</si>
  <si>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</si>
  <si>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Δυσπρόσιτη δασική έκταση. | Δύσβατη δασική έκταση. Οριοθέτηση ~18:00. Συνδρομή Δήμου Αριστοτέλη (υδροφόρες). | Δασική έκταση. Ελλιπή επιχειρησιακά στοιχεία. | Ανακριτικό Κλιμάκιο Εμπρησμού Χαλκιδικής ενεργοποιήθηκε για διερεύνηση αιτίων. | Δασική έκταση, νωρίς απόγευμα. | Δασική έκταση. Νωρίς απόγευμα Παρασκευής. Λεπτομέρειες δυνάμεων μη διαθέσιμες (πηγή 403).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</si>
  <si>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</si>
  <si>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Δασική πυρκαγιά απογευματινές ώρες 04/09. Εκκίνηση έρευνας ΔΑΕΕ Φθιώτιδας. ΓΓΠΠ 04/09 Φωκίδος: κίτρινο (3).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</si>
  <si>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</si>
  <si>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Αγροτοδασική έκταση. 2 αεροσκάφη ενισχύθηκαν σε μεταγενέστερη φάση.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</si>
  <si>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</si>
  <si>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Δασική έκταση, μεσημέρι 4/9.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</si>
  <si>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</si>
  <si>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Danger level 4 βάσει χάρτη ΓΓΠΠ 3/9 (Κυκλάδες-Αιγαίο πορτοκαλί) και ΜΜΕ (Red Code Αιγαίο). | Χαμηλή βλάστηση, ελαιώνες ανατολικά Συνετίου. Γρήγορος έλεγχος. | χαμηλή βλάστηση – ελαιώνες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</si>
  <si>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</si>
  <si>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</si>
  <si>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</si>
  <si>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Ώρα εκτιμώμενη ~16:30 βάσει περιγραφής. Περιορισμένες πληροφορίες. | Τοποθεσία: περιοχή Θεοδώρειο. Χαμηλή βλάστηση. Ολονύχτια επιχείρηση σε δύσβατη περιοχή. Ανακριτικό Κλιμάκιο Εμπρησμού Σερρών ερευνά αιτία.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</si>
  <si>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</si>
  <si>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Δασική έκταση. Επίγειες και εναέριες δυνάμεις σε εξέλιξη. Μία από τις 4 ενεργές πυρκαγιές του 24ωρου 29/8–30/8. | Χαμηλή βλάστηση. Οριοθετήθηκε γρήγορα (λίγο πριν τις 14:00). Χάρτης ΓΓΠΠ 30/8: ΠΕ Θεσπρωτίας μπλε (2). | Δασική και χαμηλή βλάστηση. 1 αεροσκάφος εκτελεί ρίψεις νερού. Μία από τις 4 ενεργές πυρκαγιές στο 24ωρο δελτίο Πυροσβεστικής 29-30/8. | Κινητοποιήθηκε ερευνητική ομάδα αρσονολόγων Θεσπρωτίας. Χαμηλή βλάστηση — δασική έκταση. Περιεχόμενη λίγο πριν τις 14:00. | Δασική έκταση· επιχείρησαν επίγειες (6 οχήματα, 1 ομάδα πεζοπόρων 5ης ΕΜΟΔΕ) και εναέριες (1 αεροσκάφος) δυνάμεις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</si>
  <si>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</si>
  <si>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ΕΣΚΕΔΙΚ παρακολούθηση με drone (θερμική+οπτική κάμερα). Χωρίς ενεργό μέτωπο από 14:40. Danger_level 2 βάσει ΓΓΠΠ χάρτη 30/8 (Χαλκιδική εμπίπτει σε μπλε ζώνη). | Χαμηλή βλάστηση, Δήμος Νέας Προποντίδας. | Χαμηλή βλάστηση· χωρίς ενεργό μέτωπο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</si>
  <si>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</si>
  <si>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Κίνδυνος κατηγορία 3 από χάρτη ΓΓΠΠ 30/8 (Κορινθία κίτρινο). | Χαμηλή βλάστηση, κοντά στο Κιάτο. Αναφέρεται ως «Βόρεια Πελοπόννησος» στο Yutori Scout 30/8 (πηγή: ekathimerini.com). | Ανακοινώθηκε από Yutori Scout 30/8. Βλάστηση κοντά στο χωριό Διμήνιο. Υπό κατάσβεση με πυροσβέστες και ελικόπτερο ρίψης νερού. Αριθμοί δυνάμεων μη διαθέσιμοι. Χάρτης ΓΓΠΠ 30/8: ΠΕ Κορινθίας κίτρινο (3). | Χαμηλή βλάστηση. Χωρίς ενεργό μέτωπο κατά την επίσημη ενημέρωση. Yutori: κοντά στο χωριό Διμήνιο. Korinthia.net: αναφέρεται και ως Πάσιο — πιθανώς ίδιο περιστατικό/αναζωπύρωση 31/8 με ίδιες δυνάμεις. | Χαμηλή βλάστηση. Χωρίς ενεργό μέτωπο. Δυνάμεις παρέμειναν σε επαγρύπνηση για αναζωπυρώσεις. | Χαμηλή βλάστηση. Παρακολούθηση μέσω drone ΕΣΚΕΔΙΚ (θερμική + οπτική κάμερα). Αργότερα χωρίς ενεργό μέτωπο. | Χαμηλή βλάστηση. Χωρίς ενεργό μέτωπο μετά κατάσβεση. Yutori email (30/8) ανέφερε «ενεργή», web: χωρίς ενεργό μέτωπο. | Χαμηλή βλάστηση. Χωρίς ενεργό μέτωπο (naftemporiki.gr). Ανακριτικό Κλιμάκιο Εμπρησμού Κορινθίας ερευνά αιτία. | Χωρίς ενεργό μέτωπο· Δ.Α.Ε.Ε. Δυτικής Αττικής ερευνά αίτια | Φωτιά σε χαμηλή βλάστηση. ΕΣΚΕΔΙΚ παρακολουθούσε με drone (θερμική+οπτική κάμερα). Δεν αναφέρθηκε ενεργό μέτωπο την ίδια ημέρα. Danger_level από χάρτη ΓΓΠΠ 30/08/2026. | Χαμηλή βλάστηση, κατηγορία κινδύνου 3. Κινητοποιήθηκε Υπηρεσία Εγκληματολογικής Έρευνας Πυρκαγιών Κορινθίας (αίτιο υπό διερεύνηση). Drone ΕΣΚΕΔΙΚ. «Χωρίς ενεργό μέτωπο» αναφέρθηκε την ίδια ημέρα. Καμένη έκταση δεν επιβεβαιώθηκε.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</si>
  <si>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</si>
  <si>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Συνελήφθη άτομο. Περιεχόμενη αμέσως. | Ακολούθησε σύλληψη για αμέλεια. | Σύλληψη Έλληνα πολίτη αυθημερόν (30/08) σε αυτόφωρο από ΑΚΑΕΕ Αιτωλοακαρνανίας για πρόκληση πυρκαγιάς σε ύπαιθρο χώρο κατά παράβαση μέτρων πυρασφάλειας. Επέμβαση Πυροσβεστικής Αγρινίου. | Άμεσα περιορίστηκε· ένας εκ των 4 συνολικά συλληφθέντων για αμέλεια στο 29–30 Αυγ.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</si>
  <si>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</si>
  <si>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Documentonews αναφέρει εναέρια — πιθανώς επόμενη φάση ή παράλληλη εστία. Χάρτης 29/8: Κρήτη κόκκινο (Κατ.5). Email Yutori 29/8 επιβεβαιώνει Κατ.5 Κρήτη. | Συνελήφθη άτομο για αμέλεια. Περιεχόμενη αμέσως. | Περιορίστηκε άμεσα. Ακολούθησε σύλληψη για αμέλεια. | Περιορίστηκε άμεσα. Σύλληψη από ΑΚΑΕΕ Χανίων. | Ημεδαπός συνελήφθη για άναμμα πυρός κατά τη διάρκεια πολιτιστικής εκδήλωσης· πρόστιμο 3.750€. Κατηγορία κινδύνου 5 (ακραίος). Αμέσως τέθηκε υπό έλεγχο.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</si>
  <si>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</si>
  <si>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Κλειστό ρεύμα προς Θεσσαλονίκη κατά τη διάρκεια. Υπό έλεγχο πριν τις 21:00. Χάρτης ΓΓΠΠ 29/8 δεν κατέβηκε — ΠΕ Ημαθίας πιθανώς μπλε (2) βάσει γεωγραφίας.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</si>
  <si>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</si>
  <si>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Χάρτης 29/8: ΠΕ Κοζάνης μπλε (Κατ.2). | Χαμηλή βλάστηση. Γρήγορη αντιμετώπιση. Ανακριτικό Κλιμάκιο Εμπρησμού Κοζάνης ερευνά αιτία.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</si>
  <si>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</si>
  <si>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Κατασβέστηκε σε ~20 λεπτά. Χαμηλή βλάστηση. Κίνδυνος κατηγορία 3 από χάρτη ΓΓΠΠ 28/8.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</si>
  <si>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</si>
  <si>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Οριοθετήθηκε άμεσα — δεν απείλησε κατοικημένες περιοχές. Ανάκριση υπηρεσίας εγκληματολογίας Καβάλας. | Δασική περιοχή· επιχειρούσαν εναέρια μέσα. Λεπτομέρειες δυνάμεων δεν ήταν διαθέσιμες στις πηγές που αντλήθηκαν. | Οριοθετήθηκε σε ~15 λεπτά από την έναρξη (16:15)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</si>
  <si>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</si>
  <si>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κοντά σε κατοικίες χωρίς κίνδυνο επέκτασης. Χωρίς ενεργό μέτωπο μετά κατάσβεση. | Χαμηλή βλάστηση. Κλιμάκιο εμπρησμού Εύβοιας ενεργοποιήθηκε. Καμένη έκταση και ώρα ελέγχου δεν εντοπίστηκαν.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</si>
  <si>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</si>
  <si>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Πυρκαγιά στα σύνορα Κοζάνης–Γρεβενών στη θέση Χρώμιο. | Αναφέρεται και ως Χρώμιο Γρεβενών (ΣΚΑΪ, firefightingreece.gr)· εστία στα σύνορα νομών Κοζάνης-Γρεβενών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</si>
  <si>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</si>
  <si>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Τμήμα Πυρανάλυσης Κοζάνης ανέλαβε τη διερεύνηση. Εργασίες σε καπνογόνα σημεία. | Χωρίς ενεργό μέτωπο αργότερα — δυνάμεις σε θερμές εστίες κατάσβεσης. | Ξεχωριστή εστία από την πυρκαγιά Παρασκευής 26/8 (ίδια Π.Ε., διαφορετική τοποθεσία &amp;amp; ημέρα). Χωρίς ενεργό μέτωπο μετά κατάσβεση. | Χωρίς ενεργό μέτωπο κατά τις τελευταίες αναφορές· δυνάμεις παρέμειναν για αναζωπυρώσεις· ενεργοποίηση ομάδας εμπρησμού Κοζάνης | Χωρίς ενεργό μέτωπο κατά ενημέρωση 29/8. Εργασίες σε εστίες υπολειμμάτων. Χάρτης 27/8 μη διαθέσιμος. | «Χωρίς ενεργό μέτωπο» ανακοινώθηκε ~12:15. Ανακριτικό Κλιμάκιο Κοζάνης. Συνδρομή Δήμου Κοζάνης (μηχανήματα, υδροφόρες).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</si>
  <si>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</si>
  <si>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Αγροτοδασική έκταση. Μεγάλη κινητοποίηση με ελικόπτερο και ομάδες πεζοπόρων. | Αγροτοδασική έκταση στο Λιβάδι Ελασσόνας. Ελάχιστα δεδομένα ανακτήθηκαν από πηγές.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</si>
  <si>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</si>
  <si>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Πηγές αναφέρουν και 4 εναέρια μέσα σε μεταγενέστερη ενημέρωση. | Πυρκαγιά σε χαμηλή βλάστηση στη θέση Μουσθένη Δήμου Παγγαίου. | Ξεκίνησε σε χαμηλή βλάστηση και επεκτάθηκε σε δασική έκταση. Δύο συλλήψεις. ΔΤ Πυρ. 6264a 26 Αυγ. | Φωτιά σε χαμηλή βλάστηση (όχι δασική έκταση). Κινητοποιήθηκε Ανακριτικό Κλιμάκιο Εμπρησμών. Συνδρομή Δήμου Παγγαίου (μηχανήματα, υδροφόρες).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</si>
  <si>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</si>
  <si>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Πυρκαγιά σε χαμηλή βλάστηση· άμεση κινητοποίηση· οριοθετήθηκε χωρίς απειλή σε οικισμούς. Yutori email 26/8 αναφέρει ως 'δεύτερη ενεργή πυρκαγιά θάμνων στην Πρέβεζα'. | Yutori: «δεύτερη ενεργή πυρκαγιά θάμνων στην Πρέβεζα». Χαμηλή βλάστηση.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</si>
  <si>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</si>
  <si>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σε δυσπρόσιτο έδαφος· έκαψε μικρή έκταση με χόρτα/καλαμιές πριν τεθεί υπό έλεγχο. | Χαμηλή βλάστηση (χόρτα και καλαμιές). Συνδρομή δημοτικών υδροφόρων. Μικρή έκταση. | Χαμηλή βλάστηση (χόρτα, καλαμιές)· εκδηλώθηκε λίγο πριν τις 17:00· κατασβέστηκε πλήρως εντός ~1 ώρας· καμένη έκταση μικρή (λίγα στρέμματα, δεν προσδιορίστηκε αριθμητικά)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</si>
  <si>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</si>
  <si>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Αναφέρεται ως «δεύτερη ενεργή πυρκαγιά θάμνων στην Πρέβεζα» 26 Αυγ. Πολύ περιορισμένα στοιχεία. | Τοποθεσία: Νεοχώρι Πρέβεζας. Άρθρο ενημερώθηκε 19:00 ως «Οριοθετήθηκε». 112 εστάλη 16:50. Αιτία υπό διερεύνηση.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</si>
  <si>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</si>
  <si>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Δύσβατη περιοχή ~1200μ υψόμετρο. Κάτοικοι ανέφεραν εστία από Τετάρτη 26/8. Στις 27/8 αποκολλήθηκε ο κάδος πυροσβεστικού ελικοπτέρου κατά υδροληψία στον Αώο· πλήρωμα ασφαλές· ελικόπτερο καθηλώθηκε. | Αιτία κεραυνού επιβεβαιώθηκε από πολλές πηγές. Πρώτο ελικόπτερο υπέστη βλάβη (αποκολλήθηκε κάδος κατά λήψη νερού από τον Αώο)· αναγκαστική προσγείωση, πλήρωμα ασφαλές. Επιχειρούσε σε υψόμετρο ~1.200 μ. Κατοίκοι ανέφεραν ότι η φωτιά ξεκίνησε την Τετάρτη 26/8.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</si>
  <si>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</si>
  <si>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LiFO αναφέρει 112 και πληροφορίες για καμένα σπίτια. Πιθανή σύγχυση δύο εστιών στο Ηράκλειο (Αμπελούζος vs Αγίοι Δέκα Γόρτυνας). Αγροτοδασική έκταση. | Πιθανώς ίδιο περιστατικό με 'Άγιοι Δέκα - Βουρβούλι, Δήμος Γόρτυνας Ηρακλείου' (ίδια ημέρα, ίδια περιοχή Γόρτυνας). Χωρίς ενεργό μέτωπο. Κινητοποιήθηκε Ανακριτικό Κλιμάκιο Εμπρησμών Ηρακλείου.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</si>
  <si>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</si>
  <si>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Δασική έκταση. Επίσης αναφέρεται χωριστή πυρκαγιά από κεραυνό στη Λάιστα Ζαγορίου (epirusonline.gr). | Πυρκαγιά σε δασική έκταση Δήμου Ζαγορίου. | Αιτία: πτώση κεραυνού κατά καιρικών φαινομένων. Δύσβατη περιοχή. Χάρτης ΓΓΠΠ 25/8: Ιωάννινα μπλε (ΜΕΣΗ 2). | Αναφέρθηκε ως μία από τις περιοχές με εκκενώσεις στις 25/08· δεν εντοπίστηκε ξεχωριστό άρθρο με αναλυτικά στοιχεία | Αναφορά ως ενεργή εστία 25 Αυγ. 17:53 EEST. Λεπτομέρειες μη διαθέσιμες. | Αναφέρεται σε λίστα εκκενώσεων 25 Αυγ. Εκδόθηκε εντολή εκκένωσης. | ΝΕΑ ΕΓΓΡΑΦΗ (ανακαλύφθηκε στο batch)· χαμηλή βλάστηση· Δήμος Ζαγορίου συνδρομή με υδροφόρες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</si>
  <si>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</si>
  <si>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2η από 2 πυρκαγιές Δήμου Παιονίας. Χαμηλή βλάστηση. Εκκίνησε ~2h45m μετά τον Ασπρό. | Κλιμάκιο εμπρησμού κινητοποιήθηκε για αμφότερες τις πυρκαγιές Παιονίας (Άσπρος + Πλατάνια/Ποντοηράκλεια). Καμένη έκταση και ώρα ελέγχου δεν εντοπίστηκαν.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</si>
  <si>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</si>
  <si>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Αγροτοδασική. SKEDIK drone real-time εικόνα κατά τη διάρκεια επιχείρησης. Οριοθετήθηκε. | Διακοπή κυκλοφορίας στην Ολυμπία Οδό κατά τη διάρκεια κατάσβεσης. Πυρκαγιά σε γεωργική έκταση, τέθηκε γρήγορα υπό έλεγχο χωρίς σημαντική εξάπλωση. | Πεζοπόρο τμήμα 18ης ΕΜΟΔΕ. Δημοτικά τανκ νερού στην επιχείρηση. Φωτιά οριοθετήθηκε την ίδια ημέρα χωρίς να λάβει μεγάλες διαστάσεις. | Οριοθετήθηκε άμεσα χωρίς να λάβει μεγάλες διαστάσεις (ilialive.gr). Ανακριτικό Κλιμάκιο Ηλείας ενεργό για τα αίτια. | Η πυρκαγιά οριοθετήθηκε γρήγορα χωρίς να επεκταθεί σε σημαντικές αναλογίες (patrisnews: «γρήγορα και χωρίς να επεκταθεί»). Δήμος Πηνειού παρείχε υδροφόρα.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</si>
  <si>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</si>
  <si>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Δασική πυρκαγιά. Τελική κατάσταση και έκταση δεν εντοπίστηκαν. | Δασική έκταση, δύσβατη ορεινή περιοχή. Κατηγορία κινδύνου 2 (ΜΕΣΗ) για Ιωάννινα 24/8.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</si>
  <si>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</si>
  <si>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Δασική έκταση στη δημοτική ενότητα Αιανής. Ελικόπτερο ρίψεις νερού μέχρι ηλιοβασίλεμα. Κινητοποίηση ανακριτικού κλιμακίου εμπρησμού Κοζάνης. Χάρτης ΓΓΠΠ 23/8 → Κοζάνη στο όριο μπλε/κίτρινης ζώνης, αποδίδεται επίπεδο 3 (ΥΨΗΛΗ) επιφυλακτικά. | Ανακριτικό Κλιμάκιο Αντιμετώπισης Εγκλημάτων Εμπρησμού Κοζάνης ερευνά τα αίτια | Εξέλιξη κατάστασης: σε εξέλιξη → υπό έλεγχο (tharos.gr) → χωρίς ενεργό μέτωπο (laosnews.gr) → οριοθετήθηκε. Ανακριτικό Κλιμάκιο Εμπρησμού παρέστη.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</si>
  <si>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</si>
  <si>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Δημ. Ενότητα Πιαλείων. Σύλληψη 46χρονου για εμπρησμό εκ προθέσεως στα Τρίκαλα (από ertnews — ταυτοποίηση με το συγκεκριμένο συμβάν εκκρεμεί).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</si>
  <si>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</si>
  <si>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Οριοθετήθηκε εντός της ημέρας.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</si>
  <si>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</si>
  <si>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Δύσβατος και δυσπρόσιτος ορεινός όγκος κοντά σε κορυφογραμμή | Καίει από τα ξημερώματα· δύσβατο ορεινό έδαφος κοντά σε κορυφογραμμή· δύσκολη πρόσβαση χερσαίων δυνάμεων | Δύσβατο ορεινό έδαφος κοντά σε κορυφογραμμή· δύσκολη πρόσβαση επίγειων δυνάμεων. Κατάσταση «ενεργή — σε εξέλιξη» κατά ώρα πληροφορίας Yutori (09:14–10:12 EEST 20/8). Danger level 2 (ΜΕΣΗ) κατ. από χάρτη ΓΓΠΠ 20/8 για ΠΕ Θεσπρωτίας (ΠΕ Ηπείρου εμφανίζεται μπλε). | Δύσβατο ορεινό έδαφος κοντά σε κορυφογραμμή. Δυσχερής πρόσβαση επίγειων δυνάμεων. Κατάσταση ως 10:12 20/8: σε εξέλιξη. | Δύσβατο ορεινό έδαφος κοντά σε κορυφογραμμή, δύσκολη πρόσβαση. Κατάσταση σε εξέλιξη ως 09:14-10:12 EEST. | Εξαιρετικά δύσβατο ορεινό σημείο κοντά σε κορυφογραμμή · δυσχεραίνει πρόσβαση επίγειων δυνάμεων. Τελικά υπό έλεγχο (naftemporiki). | Δύσβατο ορεινό έδαφος κοντά σε κορυφογραμμή· δυσχεραμένη πρόσβαση επίγειων δυνάμεων· Yutori αναφέρει ενεργή (09:14–10:12 EEST) αλλά νεότερες πηγές επιβεβαιώνουν οριοθέτηση εντός ~30 λεπτών από έναρξη | Δύσβατο ορεινό έδαφος κοντά σε κορυφογραμμή, δύσκολη πρόσβαση. Αίτιο άγνωστο. | Νέο περιστατικό (ανακάλυψη batch). Πυρκαγιά σε δύσβατο δασικό ορεινό όγκο (κορυφογραμμή)· δυσχεραίνεται πρόσβαση επίγειων. 2 ομάδες πεζοπόρων 5ης ΕΜΟΔΕ. | Δύσβατο ορεινό έδαφος κοντά σε ράχη, περιόρισε πρόσβαση επίγειων δυνάμεων. Καμένη έκταση και τελική κατάσταση δεν εντοπίστηκαν σε πηγές.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</si>
  <si>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</si>
  <si>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Δυσπρόσιτη ορεινή περιοχή· η δυσκολία πρόσβασης παρεμπόδιζε τις επιχειρήσεις | Δημοτική Ενότητα Βυνιανής, Δήμος Αγράφων | Πιθανή αιτία κεραυνός: κεραυνική δραστηριότητα 18/8/2026 (μη επίσημα επιβεβαιωμένο). Πηγές επιβεβαιώνουν 2 αεροσκάφη + 1 ελικόπτερο (σύνολο 3 εναερίων). | Κοινότητα Βινιάνης Δήμου Αγράφων. Δύσβατη δασική έκταση — δεν απειλούνταν οικισμοί κατά τον χρόνο αναφοράς. Μεταξύ 18/8 18:00–19/8 18:00 εκδηλώθηκαν 39 αγροτοδασικές πυρκαγιές συνολικά στη χώρα (36 αντιμετωπίστηκαν αμέσως, 3 εν εξελίξει). Τελευταία γνωστή κατάσταση: ενεργή ~18:00 19/8. | Δ.Ε. Βυνιανής· κεραυνική δραστηριότητα προηγούμενης ημέρας· δεν απειλούνταν οικισμοί | Δύσβατη δασική περιοχή Βυνιανής Δ. Αγράφων. Προηγήθηκαν βροχές και κεραυνοί. Ελεγχόμενη στις 20/8, εργασίες πλήρους κατάσβεσης σε εξέλιξη. Χάρτης 19/8 εμφανίζει επισήμανση αυξημένου κινδύνου κεραυνών σε δάση. | Εκδηλώθηκε σε δύσβατη δασική περιοχή (Βυνιάνη) · δεν απειλούνταν οικισμοί κατά την εκδήλωση | Δυνάμεις: 25 πυροσβέστες με 2 ομάδες πεζοπορίας από 4η ΕΜΟΔΕ, 3 οχήματα, 2 αεροσκάφη, 1 ελικόπτερο. Κοινότητα Βυνιάνων. Καμένη έκταση και τελική κατάσταση αγνώστου (εν εξελίξει κατά τη δημοσίευση). | Δασική πυρκαγιά σε δυσπρόσιτη ορεινή περιοχή. Επιχείρησαν 2 ομάδες πεζοπορίας 4ης ΕΜΑΚ. Δεν απειλούνταν κατοικίες κατά τη διάρκεια κάλυψης.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</si>
  <si>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</si>
  <si>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ΔΕ Βυνιανής· δύσβατο δάσος· δεν απειλούνταν κατοικίες | Κοινότητα Βυνιάνης · κεραυνική δραστηριότητα προηγούμενη ημέρα. Χάρτης ΓΓΠΠ 19/8: όλη η χώρα Κατ.2 με ειδική επισήμανση αυξημένου κινδύνου εκδήλωσης σε δάση όπου αναμένεται κεραυνική δραστηριότητα. | 3 εναέρια μέσα συνολικά αναφέρονται από πηγές· ανάλυση αεροσκαφών/ελικοπτέρων δεν επιβεβαιώθηκε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</si>
  <si>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</si>
  <si>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Δάσος στη θέση «Αυτιά» Τ.Κ. Βωβούσας | Δασική έκταση, τοποθεσία «Αυτιά» | Πιθανή αιτία κεραυνός: κεραυνική δραστηριότητα στην περιοχή 18/8/2026 (μη επίσημα επιβεβαιωμένο)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</si>
  <si>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</si>
  <si>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Πυρκαγιά από κεραυνό. Έντονη κεραυνική και βροχερή δραστηριότητα στην περιοχή. | Πυρκαγιά σε δασική έκταση Δημοτικής Ενότητας Κλειτορίας, Γορτυνία. Πιθανή αιτία κεραυνός (έντονη κεραυνική δραστηριότητα στην περιοχή). | Δασική έκταση δημοτικής ενότητας Κλείτορος· έντονη κεραυνική δραστηριότητα στην ευρύτερη περιοχή | Δημοτική Ενότητα Κλειτορίας· κινητοποιήθηκε Ανακριτικό Κλιμάκιο Εμπρησμών Τρίπολης | Οριοθετήθηκε σε ~30 λεπτά· έντονη κεραυνική δραστηριότητα στην ευρύτερη περιοχή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</si>
  <si>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</si>
  <si>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Έντονη κεραυνική δραστηριότητα στην περιοχή με κίνδυνο νέων εστιών. | Πρόκληση από κεραυνό. Έντονη κεραυνική δραστηριότητα στην περιοχή αύξανε κίνδυνο νέων εστιών. | Ιδιαίτερη προσοχή λόγω έντονης κεραυνικής δραστηριότητας στην περιοχή | Εκδηλώθηκε εν μέσω κεραυνικής δραστηριότητας στην περιοχή | Κεραυνική δραστηριότητα στην περιοχή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</si>
  <si>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</si>
  <si>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Αγροτοδασική έκταση· αρχικά υπό μερικό έλεγχο, τελικά οριοθετήθηκε | Ανακριτικό Κλιμάκιο Αντιμετώπισης Εγκλημάτων Εμπρησμού Φθιώτιδας κινητοποιήθηκε για διερεύνηση αιτίας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</si>
  <si>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</si>
  <si>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Αγροτοδασική έκταση. | Νέο περιστατικό — δεν περιλαμβανόταν στο batch. Πυρκαγιά σε αγροτοδασική έκταση.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</si>
  <si>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</si>
  <si>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Δασική πυρκαγιά 17/8 στην ευρύτερη περιοχή Καρπενησίου | Δασική έκταση. Ελάχιστες λεπτομέρειες διαθέσιμες. | Ίδιο συμβάν με Λαγόξυδο Δήμου Καρπενησίου Προυσού (17/8, 21:30). Ανακριτικό Κλιμάκιο Εμπρησμού Φθιώτιδας κινητοποιήθηκε. | θέση έναρξης: Λαγόξυλο | Ακριβής τοποθεσία: θέση Λαγόξυλο (workenter.gr/ilamia.gr). Εντοπίστηκε από κατοίκους. Οριοθετήθηκε πρωί 18/8 (ώρα αδιευκρίνιστη).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</si>
  <si>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</si>
  <si>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Δασική έκταση στην κοινότητα Λαγόξυδου του Δήμου Καρπενησίου Προυσού. Λιγοστές διαθέσιμες λεπτομέρειες. | Ανακριτικό Κλιμάκιο Αντιμετώπισης Εγκλημάτων Εμπρησμού Φθιώτιδας κινητοποιήθηκε για διερεύνηση αιτίας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</si>
  <si>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</si>
  <si>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 Χαμηλή βλάστηση μεταξύ Πηγαδακίων και Βούρβουρας, δύσβατη περιοχή. Ομάδα πεζοπόρων 9ης ΕΜΟΔΕ. Υδροφόρες Δήμου Τρίπολης. Παρακολούθηση drone ΕΣΚΕΔΙΚ (θερμική+οπτική). Ανακριτικό Κλιμάκιο Τρίπολης. Ταυτόχρονη φωτιά σε αγροτική έκταση Τεγέας αντιμετωπίστηκε άμεσα. | Πυρκαγιά σε χαμηλή βλάστηση. | 1 ομάδα πεζοπόρων 9ης ΕΜΟΔΕ. Πυρκαγιά σε χαμηλή βλάστηση. Καμένη έκταση δεν εντοπίστηκε σε πηγές.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</si>
  <si>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</si>
  <si>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Δασική έκταση σε χαμηλή βλάστηση· κατασβέστηκε ~16:00 | 1 ομάδα πεζοπόρων 6ης ΕΜΟΔΕ. Υδροφόρες ΟΤΑ συνέδραμαν. Καμένη έκταση δεν εντοπίστηκε σε πηγές.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</si>
  <si>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</si>
  <si>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Αγροτική έκταση. Δεν επιβεβαιώθηκε κατάσταση κατάσβεσης/οριοθέτησης από διαθέσιμες πηγές. | Πυρκαγιά σε αγροτική έκταση, κυρίως καλάμια. Μία ομάδα πεζοπόρων 6ης ΕΜΟΔΕ. Δεν υπήρχε άμεση απειλή για κατοικημένες περιοχές.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</si>
  <si>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</si>
  <si>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βλάστηση/αγρωστώδη, Σολωμός. Κυκλοφοριακά προβλήματα στην Εθνική Οδό. Οριοθετήθηκε εντός 16/8. | Ξερά χόρτα / απορρίμματα κοντά στον αυτοκινητόδρομο Κορίνθου-Τριπόλεως (87ο χλμ.). Κυκλοφοριακά προβλήματα λόγω πυκνών καπνών (ρεύμα προς Αθήνα, ουρές χλμ.). Ομάδα πεζοπόρων 6ης ΕΜΟΔΕ, εθελοντές, υδροφόρες Δήμου Κορινθίων.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</si>
  <si>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</si>
  <si>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και πουρνάρια — χωρίς παρακείμενα δάση (θετικό). Άνεμοι ~7 μποφόρ. | Χαμηλή βλάστηση και πουρνάρια· άνεμοι ~7 μποφόρ· χάρτης ΓΓΠΠ 16/8: Κυκλάδων ΠΟΛΥ ΥΨΗΛΗ (4) | Μήνυμα 112 για ετοιμότητα (όχι εκκένωση). Πυρκαγιά σε αγροτοδασική έκταση — χαμηλή βλάστηση και πουρνάρι. Χωρίς ενεργό μέτωπο.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</si>
  <si>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</si>
  <si>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112 εστάλη στις 18:27 για ετοιμότητα. Φωτιά σε ελαιώνες κοντά στον παλαιό μύλο Ξηροποτάμου. Βοήθεια από υδροφόρες Δήμου Σαμοθράκης. Κινητοποιήθηκε αρσονοαρχηγός για διερεύνηση αιτίας. | φλόγες σε ελαιώνες· χαμηλή βλάστηση· ισχυροί άνεμοι· έκκληση για λελογισμένη κατανάλωση νερού λόγω πυρόσβεσης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</si>
  <si>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</si>
  <si>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Χωρίς ενεργό μέτωπο. Βοήθεια από υδροφόρες Δήμου Νέας Μηχανιώνας. Ισχυροί άνεμοι.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</si>
  <si>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</si>
  <si>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Δήμος Λαγκαδά. | χαμηλή βλάστηση· έρευνα Αρσοναδικής Υπηρεσίας Θεσσαλονίκης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</si>
  <si>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</si>
  <si>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Μικρής έκτασης. Τέθηκε γρήγορα υπό πλήρη έλεγχο λόγω απουσίας ισχυρών ανέμων. | Η φωτιά έκαιγε πλησίον κατοικιών. Υπό μερικό έλεγχο ~14:37 (kavalanews), πλήρης έλεγχος 13:39 κατά Πυροσβεστική. | Εδαφικές ομάδες: 1 ομάδα πεζοπόρων 21ης ΕΜΟΔΕ. Συνέδραμαν υδροφόρες Δήμου Παγγαίου.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</si>
  <si>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</si>
  <si>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Δευτερεύουσα εστία στην Αιτωλοακαρνανία ταυτόχρονα με Μακύνεια. Περιορισμένα στοιχεία. | Περιορισμένα στοιχεία — αναφέρεται σε live blog. Ξεχωριστή εστία από Μακύνεια. | [ΝΕΟ] Ξεχωριστό περιστατικό αγροτοδασικής πυρκαγιάς την ίδια ημέρα με Μακύνεια. Εντοπίστηκε στο ρεπορτάζ ERT για Μακύνεια. | Νέο εύρημα (ΑΝΑΚΑΛΥΨΗ). Εντοπίστηκε στο eleftherostypos.gr — «χωρίς ενεργό μέτωπο» στις 13/8, αναφέρεται παράλληλα με το Βαρθολομιό Ηλείας. | δασική περιοχή | Χωρίς ενεργό μέτωπο. Συν-αναφέρθηκε με Βαρθολομιό Ηλείας. | ΝΕΟ ΠΕΡΙΣΤΑΤΙΚΟ — εντοπίστηκε από ρεπορτάζ συνοδευτικό φωτιάς Βαρθολομιού: «χωρίς ενεργό μέτωπο». Ελάχιστα στοιχεία διαθέσιμα.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</si>
  <si>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</si>
  <si>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Μικρή πυρκαγιά σε ξερά χόρτα στο αστικό κέντρο Χαϊδαρίου. Άμεση αντίδραση, οριοθέτηση πριν τις 08:30. | Χαμηλή βλάστηση-ξερά χόρτα, οδός Ρίμινι &amp;amp; Πλουτάρχου. Οριοθετήθηκε σε ~15 λεπτά. | Χαμηλή βλάστηση. Γρήγορη οριοθέτηση από πρωινές ώρες. | Η φωτιά τέθηκε υπό έλεγχο μέσα σε 15 λεπτά από την έναρξη (start_time 08:00 → control ~08:15). Καμένη έκταση δεν προκύπτει από τις δημοσιευμένες πηγές (χαμηλή βλάστηση, ταχεία οριοθέτηση).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</si>
  <si>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</si>
  <si>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Δασική έκταση υψόμετρο 1.846 μέτρα | Δασική πυρκαγιά σε πυκνή βλάστηση σε δύσβατο ορεινό έδαφος υψ. ~1.700 μ. Δεν απειλούσε κατοικημένη περιοχή. | Δασική έκταση σε ύψ. ~1.700 μ. Δυσπρόσιτη περιοχή μεταξύ Σμόλικα και Γράμμου. Αεροπυρόσβεση + 2 ελικόπτερα σε ρίψεις. Κίνδυνος: κατ. 2 βάσει χάρτη ΓΓΠΠ 10/08 (Ήπειρος κυανή). | Δυσπρόσιτη δασική έκταση, ύψ. ~1.700-1.846μ., γεωγραφικά όρια Σμόλικα-Γράμμου. Πρωί 10/08. Ομάδα πεζοπόρων 5ης ΕΜΟΔΕ, 10 πυροσβέστες, 1 όχημα, 1 ελικόπτερο (ρίψεις νερού). Δεν απειλήθηκε οικισμός. Καμένη έκταση δεν αναφέρθηκε. | Δυσπρόσιτη δασική έκταση σε υψόμετρο ~1.700μ.· αδύνατη η προσέγγιση χερσαίων οχημάτων λόγω απουσίας οδικού δικτύου. Καπνός εντοπίστηκε πρωί 10/08.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</si>
  <si>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</si>
  <si>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Πολύ λίγα στοιχεία διαθέσιμα (άρθρο Ναυτεμπορική – 403 κατά fetch). Κίνδυνος: κατ. 2 βάσει χάρτη ΓΓΠΠ 09/08 (Ροδόπη κυανή). | Χαμηλή βλάστηση· Ανακριτικό Κλιμάκιο Εμπρησμού Έβρου | Φωτιά σε χαμηλή βλάστηση, τέθηκε γρήγορα υπό έλεγχο. Ο Δήμος Κομοτηνής συνέδραμε με βυτιοφόρα. ΑΚΑΕ Έβρου επελήφθη για αιτία.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</si>
  <si>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</si>
  <si>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Κατ. κινδύνου 3 επιβεβαιώθηκε από άρθρο (χάρτης ΓΓΠΠ 09/08 δείχνει Έβρο κυανό/2). | Πυρκαγιά σε χαμηλή βλάστηση. Ανακριτική ομάδα Έβρου ερευνά τα αίτια. Οριοθετήθηκε έως την ανανέωση ~18:30. | Καμένη έκταση και ώρα κατάσβεσης δεν επιβεβαιώθηκαν. Πεζοπόρα τμήματα δεν αναφέρονται ξεχωριστά στις πηγές. | ΝΕΟΣ ΕΝΤΟΠΙΣΜΟΣ: ταυτόχρονη πυρκαγιά με Παγούρια Κομοτηνής (2026-08-09). Αναφέρθηκε στον τίτλο evros24.gr ως σύγχρονο συμβάν στον Έβρο («Φωτιές τώρα σε Έβρο και Ροδόπη: Πυρκαγιές σε Σπήλαιο Ορεστιάδας και Παγούρια Κομοτηνής»). Δεν υπάρχουν επιπλέον δημοσιευμένες λεπτομέρειες.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</si>
  <si>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</si>
  <si>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Χορτολιβαδική-δασική έκταση. Τεθηκε χωρίς ενεργό μέτωπο την ίδια ημέρα. Η έκφραση «3 αεροσκάφη» δεν διακρίνει αν περιλαμβάνει ελικόπτερα. | Ταυτόχρονα οριοθετήθηκαν 2 ακόμη πυρκαγιές στην ευρύτερη περιοχή Κοζάνης (κοντά στο αεροδρόμιο και στη Βλάστη δίπλα σε φωτοβολταϊκό πάρκο).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</si>
  <si>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</si>
  <si>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14:02 EEST | Ενεργοποιήθηκε Ανακριτικό Κλιμάκιο Εμπρησμού Μεσσηνίας.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</si>
  <si>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</si>
  <si>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Ανακριτικό Κλιμάκιο Αντιμετώπισης Εγκλημάτων Εμπρησμού κινητοποιήθηκε στο σημείο.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</si>
  <si>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</si>
  <si>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Αγροτοδασική έκταση. 2η πυρκαγιά στην ίδια περιοχή σε 6 ημέρες. Επίγειες δυνάμεις από Καλαμάτα, Μεγαλόπολη, Μελιγαλά. 4 εναέρια μέσα (αεροσκάφη) επιχειρούν.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</si>
  <si>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</si>
  <si>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Άνεμοι 7 μποφόρ. Εκκένωση Παλαιόπολης + Κολύμπου (email: Κολυμπός). Ημέρα με Red Code για Κυκλάδες. | 2 διαδοχικά σήματα 112 | Δυνάμεις ενισχύθηκαν από 12 σε 25 πυρ/στές με 2 πεζοπόρες ομάδες, 5 οχήματα, 1 ελικόπτερο και υδροφόρες ΟΤΑ. Δεύτερο 112 για εκκένωση οικισμού Κολύμπου προς Άνδρο. Καμένη έκταση και αιτία αδιευκρίνιστα από διαθέσιμες πηγές.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</si>
  <si>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</si>
  <si>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Κατασβέστηκε σε ~30 λεπτά. Μικρή έκταση.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</si>
  <si>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</si>
  <si>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Ξεχωριστό μέτωπο από Αγία Τριάδα Σητείας.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</si>
  <si>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</si>
  <si>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Πυρκαγιά σε χαμηλή βλάστηση. Τέθηκε υπό μερικό έλεγχο εντός ~20 λεπτών. | Χαμηλή βλάστηση. Κοντά σε κατοικίες και υποδομές. Τέθηκε υπό έλεγχο σε ~20 λεπτά. | Φωτιά σε χαμηλή βλάστηση κοντά σε κατοικίες και υποδομές. Οριοθετήθηκε σε ~20 λεπτά. Συνδρομή υδροφόρων Δήμου Ασπροπύργου.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</si>
  <si>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</si>
  <si>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Δασική έκταση. Δεν απειλούνταν κατοικίες ή υποδομές. | Φωτιά εξελίχθηκε μακριά από κατοικίες και υποδομές. Ενεργοποιήθηκε Ανακριτικό Κλιμάκιο Εμπρησμών. Μία από τις 2 ενεργές φωτιές στο 24ωρο 26-27/07 (από συνολικά 23). | Δύσβατη περιοχή, δεν απειλούνται κατοικίες. | Πυρκαγιά σε δύσβατη περιοχή, χωρίς απειλή οικισμών. Ανακριτικό Κλιμάκιο Εμπρησμού Κοζάνης ενεργοποιήθηκε.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</si>
  <si>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</si>
  <si>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βλάστηση/αγροδασική. Δεν απειλούνταν οικίες. Πιθανή σχέση με πυρκαγιά Τραπεζίτσας Βοΐου ίδιας ημέρας (αδιευκρίνιστη). | 1 τραυματίας με εγκαύματα νοσηλεύθηκε στο Μαμάτσειο Νοσοκομείο Κοζάνης. Δεν απειλήθηκαν κατοικίες ή υποδομές. Αναφέρεται και ως «Τραπεζίτσα» σε ορισμένες πηγές. | 1 τραυματίας κτηνοτρόφος (εγκαύματα) — νοσηλεύεται στο Μαμάτσειο Νοσοκομείο Κοζάνης | 1 τραυματίας με εγκαύματα νοσηλεύτηκε. Δασική έκταση.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</si>
  <si>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</si>
  <si>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Διάσπαρτες οικίες στην περιοχή. | Φωτιά κοντά σε διάσπαρτες οικίες. Αίτιο κεραυνός κατά ΑΚΑΕ. Ίδια ημέρα άλλη φωτιά στη Λαψίστα Ιωαννίνων από σπινθήρες ΔΕΔΔΗΕ. | Διάσπαρτες κατοικίες στην ευρύτερη περιοχή· φλόγες κοντά σε σπίτια | Διάσπαρτες κατοικίες στην περιοχή | Διάσπαρτες κατοικίες στην περιοχή. Αιτία κεραυνός (επιβεβαιώθηκε από Κλιμάκιο Εμπρησμών). | Πυρκαγιά σε εξέλιξη στις 18:00 βάσει ρεπορτάζ.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</si>
  <si>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</si>
  <si>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Σύλληψη 88χρονου αυτόφωρο. | Συνελήφθη 69χρονος μετά από έρευνα του Ανακριτικού Τμήματος Πυροσβεστικής Γρεβενών. Τίτλος reporter.gr επιβεβαιώνει 'υπό έλεγχο' για φωτιές Γρεβενών. | ΝΕΟΣ – Δεν ήταν στη λίστα. 69χρονος συνελήφθη αυθημερόν από Ανακριτικό Κλιμάκιο Πυροσβεστικής Γρεβενών. | Θέση Αυγό, δασική ζώνη Βαλία Κάλντα, δυσπρόσιτη ορεινή περιοχή μακριά από οικισμούς. Συνελήφθη 88χρονος για εμπρησμό εξ αμελείας (χρήση τροχού). Εντοπίστηκε κεραυνική δραστηριότητα στην ευρύτερη περιοχή πριν την έναρξη.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</si>
  <si>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</si>
  <si>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Εκδηλώθηκε βράδυ 24/7 σε δύσβατη περιοχή — αντιμετωπίστηκε άμεσα πριν επεκταθεί. Δεν απειλήθηκαν κατοικίες. | Δύσβατη περιοχή, μακριά από κατοικίες. Την ίδια νύχτα καταγράφηκαν 58.000 κεραυνοί και 940 κλήσεις στην Πυροσβεστική (Τα Νέα). Έσβησε πριν πάρει διαστάσεις. | Σβήστηκε άμεσα σε δυσπρόσιτη δασική περιοχή. Πιθανολογείται κεραυνός. | Δύσβατη δασική περιοχή, μακριά από κατοικίες. Κατασβέστηκε γρήγορα πριν πάρει διαστάσεις. Πιθανή αιτία κεραυνός (24/7 καταγράφηκαν &amp;gt;55.000 κεραυνοί σε όλη την Ελλάδα). | Κατασβέστηκε άμεσα. Απομακρυσμένη δύσβατη δασική περιοχή, χωρίς κίνδυνο οικισμών. Αιτία πιθανώς κεραυνός (επιβεβαιώνεται από πολλαπλές πηγές).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</si>
  <si>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</si>
  <si>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Βόρεια Κέρκυρα, κοντά στον οικισμό Επισκοπή. Εκδηλώθηκε κατά τη διάρκεια καταιγίδας. | Οριοθετήθηκε σε σύντομο χρονικό διάστημα. 15η ΕΜΟΔΕ. Υδροφόρες Δ. Βόρειας Κέρκυρας. Drone παρακολούθηση (ΕΣΚΕΔΙΚ). | Αγροτοδασική έκταση. ΕΣΚΕΔΙΚ παρακολουθούσε με drone (οπτική+θερμική). ΑΚΑΕ ενεργοποιήθηκε. Επίπεδο κινδύνου 3 (κίτρινο) στα Ιόνια Νησιά στις 24/7 επιβεβαιώνεται και από SKAI.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</si>
  <si>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</si>
  <si>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Εκδηλώθηκε κατά τη διάρκεια έντονης καταιγίδας με κεραυνοπτώσεις. Άμεση κατάσβεση, χωρίς απειλή κατοικιών. | Έντονη καταιγιδική δραστηριότητα. Χάρτης 24/07 με σημείωση αυξημένου κινδύνου από κεραυνούς. | Θέση «Παράδεισος», Μαρμαράς Χαλκιδικής. Εκδηλώθηκε κατά έντονη ηλεκτρική καταιγίδα.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</si>
  <si>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</si>
  <si>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Μικρή πυρκαγιά σε χαμηλή βλάστηση, ελέγχθηκε άμεσα. Χάρτης ΓΓΠΠ 23/7: Περιφέρεια Πελοποννήσου ΚΙΤΡΙΝΟ = Κατ. 3 (Υψηλός κίνδυνος). | Άμεσα τέθηκε υπό έλεγχο. Χαμηλή βλάστηση. Έγκαιρη επέμβαση απέτρεψε επέκταση. | Άμεσα τέθηκε υπό έλεγχο χωρίς σημαντική επέκταση (firefightingreece). Χαμηλή βλάστηση.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</si>
  <si>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</si>
  <si>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Έναρξη βράδυ Τετάρτης 22/7 κοντά στις Θερμοπηγές, με κατεύθυνση προς πευκοδάσος Αγίου Βασιλείου. Δήμαρχος: «αν κατεβεί λίγα μέτρα ακόμα στο πευκοδάσος δεν ξέρω τι θα γίνει». Χαμηλοί άνεμοι βοήθησαν. Χωρίς ενεργό μέτωπο έως πρωί 23/7. | Απειλούσε πευκοδάσος ως Άγιο Βασίλειο· δεν εισήλθε στη δασική έκταση. Χωρίς ενεργό μέτωπο 23/7 πρωί. | Φωτιά κοντά στις Θερμοπηγές, απειλούσε πευκοδάσος Αγ. Βασίλειου. Δήμαρχος Γ. Μαστρόκουκος εξέφρασε σοβαρή ανησυχία. Κατάσταση κατά τη δημοσίευση (ξημέρωμα 23/07): ενεργό μέτωπο, χαμηλοί άνεμοι παρείχαν κάποια αισιοδοξία, εθελοντές συμμετείχαν στη μάχη. | Ξεκίνησε 22/07 μετά τις 22:30. Χωρίς ενεργό μέτωπο πρωί 23/07. Δεν απειλήθηκαν δάση ή κατοικίες. Danger level από χάρτη ΓΓΠΠ 23/07 (Δωδεκάνησα=4). | Χωρίς ενεργό μέτωπο από 23/7 (tanea.gr, dimokratiki.gr). Αποτράπηκε η εξάπλωση στο πευκοδάσος, περιπολίες παρέμειναν. | Ισχυρές επίγειες δυνάμεις Εθελοντικού Πυροσβεστικού Σταθμού Καλύμνου με πυροσβεστικά οχήματα. Χωρίς ενεργό μέτωπο το πρωί 23/7. Ανησυχία για απειλή στο πευκοδάσος Αγίου Βασιλείου.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</si>
  <si>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</si>
  <si>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Δεύτερη πυρκαγιά στην ίδια περιοχή εντός ολίγων ημερών (προηγούμενη 15/7 στον Αγ. Σάββα). Χωρίς ενεργό μέτωπο το πρωί 23/7. Δεν επεκτάθηκε στο δάσος.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</si>
  <si>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</si>
  <si>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Πευκοδάσος πλησίον Αγ. Βασιλείου. Χωρίς ενεργό μέτωπο πρωί 23/7. Αποτράπηκε εξάπλωση σε οικισμό και πυκνή βλάστηση. Επίπεδο κινδύνου από χάρτη ΓΓΠΠ 22/7 (Δωδεκάνησα). | Έναρξη 22/7 ~22:30 (Αγ. Σάββας), έλεγχος 23/7 ~01:30 (πριν επεκταθεί σε πευκοδάσος). Αναζωπύρωση στις πλαγιές πάνω από Γέφυρα το μεσημέρι 23/7. Δεν απειλήθηκαν κατοικίες. danger_level βάσει χάρτη 22/07 (Δωδεκάνησα = πορτοκαλί). | Δυνάμεις: 9 πυροσβέστες με 4 οχήματα Εθελοντικού Πυροσβεστικού Κλιμακίου Καλύμνου + 1 υδροφόρα δήμου Καλύμνου (σύνολο 5 οχήματα). Κανένα εναέριο μέσο. Πυρκαγιά σε πευκοδάσος (δασάκι Αγίου Σάββα). Αγωνία για διείσδυση στο πευκοδάσος προς Άγιο Βασίλειο.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</si>
  <si>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</si>
  <si>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Δεύτερη πυρκαγιά στον ίδιο χώρο μέσα σε λίγες μέρες (προηγούμενη 15/07). Έφτασε στα υψώματα πάνω από τη Γέφυρα. Δήμαρχος χαρακτήρισε κατάσταση «ιδιαίτερα κρίσιμη» – κίνδυνος για πευκοδάσος προς οικισμό Αγ. Βασιλείου. | Υπό μερικό έλεγχο ~01:30 ξημερώματα 23/07 (εντός ~3,5h από εκκίνηση). Πρωί 23/07: χωρίς ενεργό μέτωπο. Συμμετείχαν εθελοντές Εθελοντικής Πυροσβεστικής Καλύμνου.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</si>
  <si>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</si>
  <si>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Αγροτοδασική έκταση. Χωρίς ενεργό μέτωπο σύμφωνα με pelop.gr. Δεν απειλήθηκαν κατοικίες. | Χωρίς ενεργό μέτωπο περίπου 1 ώρα μετά την έναρξη (≈13:00). Κλιμάκιο αντιμετώπισης εγκλημάτων εμπρησμού Αιτωλοακαρνανίας μεταβαίνει στο σημείο. | Αγροτοδασική έκταση χαμηλής βλάστησης. Κατηγορία κινδύνου 3. Αιτία δεν εντοπίστηκε σε δημοσιεύματα.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</si>
  <si>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</si>
  <si>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Ξερά χόρτα κοντά στην ΠΑΘΕ, ρεύμα προς Αγχίαλο, Δήμος Δέλτα. Yutori (email 24/07) αναφέρει επίσης «Πυρκαγιά Εχεδώρου» ενεργή 23/07 (πιθανώς ίδιο ή παρακείμενο περιστατικό στον Δήμο Δέλτα). | Χωράφι με ξερά χόρτα, χωρίς απειλή κατοικημένων. Αρχική κινητοποίηση 6 πυρ./3 οχημάτων, ακολούθησε ενίσχυση στα 20 πυρ./4 οχήματα που είναι τελικά καταγεγραμμένη.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</si>
  <si>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</si>
  <si>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Δύσβατη δασική έκταση — σημαντική δυσκολία πρόσβασης οχημάτων. Ανακριτικό κλιμάκιο Καβάλας για αίτια. | Ιδιαίτερα δύσβατο σημείο — δυσχέρεια πρόσβασης οχημάτων. Ανακριτικό κλιμάκιο. | Δύσβατη δασική έκταση· Ανακριτικό Κλιμάκιο Εμπρησμών Καβάλας επί τόπου | Δασική έκταση σε δύσβατο σημείο. Πυροσβεστική ενημερώθηκε ~18:00. | Δασική έκταση, πολύ δύσκολη πρόσβαση — σημαντικό πρόβλημα προσπέλασης οχημάτων. Δημοτική ενότητα Χρυσούπολης, Νέστος.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</si>
  <si>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</si>
  <si>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ισχυροί άνεμοι δυσχεραίνουν επιχείρηση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</si>
  <si>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</si>
  <si>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Δήμος Κιλελέρ Λάρισας. Ενημέρωση ΚΕΟΧ ~17:30. | Το CNN.gr αναφέρει «υπό μερικό έλεγχο». Αρχικά καταγράφηκαν 20 πυροσβέστες/6 οχήματα· επικαιροποιείται σε 23/7 σύμφωνα με Πυροσβεστική (10η ΕΜΟΔΕ). Πυρκαγιά χαμηλής βλάστησης.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</si>
  <si>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</si>
  <si>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Νότιο Ηράκλειο. Ξεκίνησε από όχημα σε φλόγες, επεκτάθηκε σε ξερόχορτα.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</si>
  <si>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</si>
  <si>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Δασική έκταση. Οριοθετήθηκε σε ~40 λεπτά. Δεν απειλήθηκαν κατοικίες. | Η πυρκαγιά εξελισσόταν μακριά από κατοικίες ή υποδομές. Αποστάλθηκε έρευνα από Αθήνα για τη διερεύνηση της αιτίας. | Δασική έκταση μακριά από κατοικίες· οριοθετήθηκε σε ~40 λεπτά· Ανακριτικό Κλιμάκιο Θεσσαλονίκης στο σημείο | Δασική έκταση μακριά από κατοικίες. Κλιμάκιο εμπρησμού Θεσσαλονίκης στο σημείο. | Σε εξέλιξη κατά τις 16:51 19/7. Ανακριτικό κλιμάκιο από Θεσσαλονίκη για διερεύνηση αιτίων. | Δασική έκταση μακριά από κατοικίες/υποδομές. Ανακριτικό κλιμάκιο Θεσσαλονίκης. | Εξελισσόταν μακριά από οικίες· Ανακριτικό Κλιμάκιο Θεσσαλονίκης στο σημείο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</si>
  <si>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</si>
  <si>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Τοπική Κοινότητα Γοργοπόταμου, Δήμος Κόνιτσας. Δύσκολη πρόσβαση εδάφους (δύσβατη περιοχή). Κλιμάκιο αντιμετώπισης εγκλημάτων εμπρησμού Ιωαννίνων εστάλη για διερεύνηση. Κατάσταση ανοιχτή 18/07. | Δασική έκταση δυσπρόσιτης περιοχής Γοργοπόταμου Κόνιτσας. Τελική κατάσταση αδιευκρίνιστη — τελευταία αναφορά 19:00 18/07. Δεν απειλούνταν κατοικίες. | Δασική έκταση τοπικής κοινότητας Γοργοποτάμου Κόνιτσας. ΚΕΠΠ ενημερώθηκε ~19:00. Μεγαλύτερη πυρκαγιά του είδους στη χώρα σύμφωνα με αρχές. | Αποστάλθηκε ανακριτική ομάδα εμπρησμών για τη διερεύνηση της αιτίας.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</si>
  <si>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</si>
  <si>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Αγροτοδασική έκταση Δ.Κ. Σαπών. Κλιμάκιο αντιμετώπισης εγκλημάτων εμπρησμού εστάλη για διερεύνηση. Δεν απειλήθηκαν κατοικίες ή περιουσίες. | Δημοτικά βυτία Δήμου Μαρωνείας-Σαπών στο σημείο. Δεν απειλήθηκαν κατοικίες.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</si>
  <si>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</si>
  <si>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Αγροτοδασική έκταση Σαπών. Κατασβέστηκε με συνδυασμό επίγειων/εναέριων και εθελοντών Ερυθρού Σταυρού Κομοτηνής.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</si>
  <si>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</si>
  <si>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Τ.Κ. Εργάνης. Δημοσίευση αναφοράς 16/7/2026 21:28 EEST. | Πιθανό διπλότυπο της εγγραφής 'Ροδόπη – Τ.Κ. Εργάνης' — ίδια ημερομηνία, ώρα έναρξης, τοποθεσία και δυνάμεις. Προτείνεται συγχώνευση. | Συνδρομή υδροφόρων Δ. Μαρώνειας-Σαπών. Παρακολούθηση με drone (οπτική &amp;amp; θερμική κάμερα). Ομάδα πεζοπόρων 7ης ΕΜΟΔΕ.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</si>
  <si>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</si>
  <si>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Πολύ υψηλός κίνδυνος (κατ. 4) για Χίο, Ψαρά, Σάμο, Ικαρία στις 16/07.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</si>
  <si>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</si>
  <si>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Αγροτική/οικοπεδική έκταση κοντά σε κατοικίες. Ελέγχθηκε σε ~45 λεπτά. Αποστολή ανακριτικού κλιμακίου εμπρησμού Χαλκιδικής. | Αγροτική έκταση και οικοπεδικοί χώροι κοντά σε κατοικίες. Τέθηκε υπό πλήρη έλεγχο εντός ~45 λεπτών από την έναρξη.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</si>
  <si>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</si>
  <si>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μακριά από κατοικίες. Ισχυροί άνεμοι (αίτημα δημάρχου για αεροστήριξη). Ανεξάρτητη εστία από πυρκαγιά Περιβολακίου 11/7. Κατηγορία κινδύνου 4 (ΠΟΛΥ ΥΨΗΛΗ) την ίδια ημέρα για Θεσσαλονίκη–Κιλκίς. | Χαμηλή βλάστηση, ΤΚ Καλαμωτού. Χωρίς ενεργό μέτωπο. Μακριά από κατοικίες. Χάρτης ΓΓΠΠ 13/07: Θεσσαλονίκης ΠΟΛΥ ΥΨΗΛΗ (4). | Πυρκαγιά σε χαμηλή βλάστηση, μακριά από οικίες και υποδομές. Συνδρομή υδροφόρων Δήμου Λαγκαδά. | Χαμηλή βλάστηση. Αντιμετωπίστηκε άμεσα στο αρχικό στάδιο. Επίπεδο κινδύνου 4 (Πολύ Υψηλός) για Θεσσαλονίκη–Κιλκίς από ειδησεογραφικές πηγές (χάρτης 13/7 δεν κατεβάστηκε).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</si>
  <si>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</si>
  <si>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Πυρκαγιά σε χαμηλή βλάστηση χωρίς ενεργό μέτωπο σε ~45 λεπτά. Μακριά από κατοικίες και υποδομές. | Χαμηλή βλάστηση στον Δήμο Δυτ. Λέσβου (Καλλονή). Χωρίς ενεργό μέτωπο εντός ~45 λεπτών. Χάρτης ΓΓΠΠ 13/07: Λέσβου ΥΨΗΛΗ (3). | Δασική πυρκαγιά σε χαμηλή βλάστηση. Ελέγχθηκε σε ~45 λεπτά. Αποστολή ανακριτικού κλιμακίου για διερεύνηση αιτίου.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</si>
  <si>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</si>
  <si>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κοντά σε σπίτια. Κλιμάκιο εμπρησμού Θεσσαλονίκης ερευνά αιτίες. Χάρτης ΓΓΠΠ 13/07: Θεσσαλονίκης ΠΟΛΥ ΥΨΗΛΗ (4). | Χαμηλή βλάστηση κοντά σε διάσπαρτες κατοικίες. Κατασβέστηκε σε ~45 λεπτά.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</si>
  <si>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</si>
  <si>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και απορρίμματα κοντά σε καταυλισμό. Χάρτης ΓΓΠΠ 12/07: Αχαΐας ΜΕΣΗ (2).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</si>
  <si>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</si>
  <si>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Πυρκαγιά κοντά σε σπίτια. Υπό πλήρη έλεγχο σε 15 λεπτά.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</si>
  <si>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</si>
  <si>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Αγροτοδασική έκταση. Επίγειες και εναέριες δυνάμεις (αριθμός εναέριων αδιευκρίνιστος). ΑΚΑ Βοιωτίας ανέλαβε έρευνα αιτίου.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</si>
  <si>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</si>
  <si>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112 μήνυμα ετοιμότητας. Ανακριτικό Κλιμάκιο Εμπρησμού Θεσσαλονίκης στο σημείο. Χάρτης ΓΓΠΠ 10/7: Θεσσαλονίκη κίτρινο (3-ΥΨΗΛΗ). | ΠΡΟΣΟΧΗ ΗΜΕΡΟΜΗΝΙΑΣ: Βάσει πηγών (athensvoice.gr, in.gr) η φωτιά εκδηλώθηκε 04/07/2026 ~16:30 — η καταχωρισμένη ημερομηνία 2026-07-10 πιθανώς σφάλμα. Προτείνεται επαλήθευση και διόρθωση σε 2026-07-04.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</si>
  <si>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</si>
  <si>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Αγροτική έκταση, μεταξύ Πάμφιλης και Σκάλας Πάμφιλης. Κατασβέστηκε γρήγορα. Ίδια ημέρα με πυρκαγιά Αγιάσου — πόροι 12ης ΕΜΟΔΕ μοιράστηκαν. danger_level 2 βάσει ΓΓΠΠ χάρτη 10/07/2026. | Αγροτική έκταση. Δεν απειλήθηκαν κατοικίες. Ταυτόχρονα με πυρκαγιά Αγιάσου – συνδυαστική κινητοποίηση στο νησί. Χάρτης ΓΓΠΠ 10/7: Λέσβου ΥΨΗΛΗ.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</si>
  <si>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</si>
  <si>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Πυρκαγιά σε αγροτοδασική έκταση (χαμηλή βλάστηση). Χωρίς ενεργό μέτωπο. Δεν απειλήθηκαν κατοικίες ή υποδομές. | Δρόμος προς Διασπορά, περιοχή Παναγία. Επιχείρησαν αεροσκάφη και ελικόπτερο (αριθμοί αδιευκρίνιστοι). Χωρίς ενεργό μέτωπο μετά άμεση επέμβαση. danger_level 2 βάσει ΓΓΠΠ χάρτη 10/07/2026. | Αγροτοδασική έκταση. Δεν απειλήθηκαν κατοικίες ή υποδομές. Χάρτης ΓΓΠΠ 10/7: Αιτωλοακαρνανία ΜΕΣΗ. | Αγροτοδασική έκταση. ΑΚΑ Λευκάδας ανέλαβε έρευνα αιτίου. | Αγροτοδασική έκταση. Δεν υπήρξε απειλή σε κατοικίες ή υποδομές. Δεν εστάλη 112 για εκκένωση.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</si>
  <si>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</si>
  <si>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Βλάστηση παρά βιομηχανική ζώνη. Ήχησε 112. Χωρίς ενεργό μέτωπο. | 112 εστάλη στις 15:25 για ετοιμότητα κατοίκων Διαβατών. Αγροτοδασική έκταση στα Υψώματα Διαβατών. Παρακολούθηση σε πραγματικό χρόνο με drone (οπτική &amp;amp; θερμική κάμερα). Χωρίς ενεργό μέτωπο σύμφωνα με νεότερη ενημέρωση. | Αγροτοδασική έκταση. 112 εστάλη. Βόρεια Διαβατών πάνω από Εγνατία, κατεύθυνση Ωραιοκάστρου. Χάρτης ΓΓΠΠ 10/7: Θεσσαλονίκης ΥΨΗΛΗ. | Αγροτοδασική έκταση. Μήνυμα 112 για ετοιμότητα κατοίκων στις 15:25. Χωρίς ενεργό μέτωπο στις 21:04. Χωρίς εκκενώσεις ή ζημίες σε κτίσματα. Επιβεβαιώθηκε από ERT News (δύο ξεχωριστά άρθρα).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</si>
  <si>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</si>
  <si>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Ξεκίνησε σε ξερά χόρτα/σκουπίδια/παλέτες σε υπαίθριο χώρο βιοτεχνίας, επεκτάθηκε σε εγκαταστάσεις. 112 ήχησε 16:13. Αναφορές για συλλήψεις. Δεν είναι καθαρά δασική — αγροτοβιομηχανικό περιβάλλον (Καλοχώρι = βιομηχανική ζώνη Θεσσαλονίκης). | Εκκίνηση σε χόρτα/παλέτες/απορρίμματα αυλής επιχείρησης κοντά στην παραλία. Επεκτάθηκε σε εργοστάσιο πλακιδίων (σχεδόν ολοσχερής καταστροφή). Εκκένωση εργαζομένων χωρίς τραυματισμούς. 112 στις 16:13 (παραμονή σε εσωτερικούς χώρους λόγω καπνών). Αναφορές για συλλήψεις.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</si>
  <si>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</si>
  <si>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Δύσβατη περιοχή, χαμηλή βλάστηση. Αιτία υπό έρευνα (Υπηρεσία Έρευνας Πυρκαγιάς Μυτιλήνης). Βελτιωμένη εικόνα 7/7 βράδυ.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</si>
  <si>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</si>
  <si>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βλάστηση. Μήνυμα 112 για ετοιμότητα. | Μήνυμα 112 για ετοιμότητα. Χαμηλή βλάστηση. Μία εκ των 16 ταυτόχρονων πυρκαγιών 4/7. | Αιτία υπό διερεύνηση από ΑΚΑΕΕ Θεσσαλονίκης.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</si>
  <si>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</si>
  <si>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Ξερά χόρτα κοντά σε κολώνα ΔΕΗ, Πανόραμα Θεσσαλονίκης. Διακοπή ρεύματος. 3-4 εγκλωβισμοί σε ανελκυστήρες. Κατασβέστηκε μετά 23:00. Βρέθηκε μόνο από 1Β.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</si>
  <si>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</si>
  <si>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Χαμηλή ξερή βλάστηση, Οδός Μιλτιάδου, Δ.Ε. Σταματών. Οριοθετήθηκε σε 15 λεπτά. Drone ESKEDIO με οπτική και θερμική κάμερα. Δεν απειλήθηκαν κατοικίες. | Οριοθετήθηκε εντός 15 λεπτών. Χαμηλή βλάστηση. control_time εκτιμάται (~15 λεπτά μετά). Αναφέρεται και ως 'Σταμάτα'. | Κατασβέστηκε σε 15 λεπτά. Συμμετοχή εθελοντών και δεξαμενών δήμου. Μετέβη στο σημείο ΔΑΕΕ Αττικής για διερεύνηση αιτίας.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</si>
  <si>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</si>
  <si>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Ελικόπτερο κατέπεσε στη λίμνη Αώου κατά τη διάρκεια επιχείρησης· και τα δύο μέλη πληρώματος (Έλληνας &amp;amp; ξένος σύνδεσμος) διασώθηκαν κολυμπώντας. Απομακρυσμένη, δυσπρόσιτη δασική έκταση, χωρίς απειλή κατοικιών. | Δύσβατο/δυσπρόσιτο σημείο, μακριά από κατοικίες. Τέθηκε υπό έλεγχο βράδυ 25/06, ξαναάναψε — τελικά υπό έλεγχο αργά 26/06. Χάρτης ΓΓΠΠ 25/06 μη διαθέσιμος. | Τέθηκε υπό πλήρη έλεγχο λίγο πριν τις 22:00· 2 πυροσβέστες + 1 όχημα παρέμειναν για αποφυγή αναζωπυρώσεων.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</si>
  <si>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</si>
  <si>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Πυρκαγιά χαμηλής βλάστησης στο νησάκι Τουρλίδα· επιχειρεί και 1 πυροσβεστικό σκάφος. | Χαμηλή βλάστηση σε νησίδα· 1 πεζοπόρο τμήμα 6ης ΕΜΟΔΕ, πυροσβεστικό πλοιάριο παράλληλα με εναέρια μέσα· δεν απειλήθηκαν οικισμοί ή υποδομές.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</si>
  <si>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</si>
  <si>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Φωτιά σε χαμηλή βλάστηση, απόγευμα. Προληπτικό κλείσιμο λωρίδας στην Ε.Ο. προς Αθήνα. 19 πυροσβέστες, 5 οχήματα. | Πυρκαγιά σε χαμηλή βλάστηση/ξερά χόρτα πλησίον Εθνικής Οδού Αθηνών-Κορίνθου· προσωρινές κυκλοφοριακές ρυθμίσεις σε ΕΟ και Προαστιακό που αποκαταστάθηκαν μετά την κατάσβεση· δεν απειλήθηκαν οικισμοί.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</si>
  <si>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</si>
  <si>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Πυρκαγιά σε ξηρή βλάστηση, απόγευμα. Δυνάμεις από Ιστιαία· χωρίς ζημιές σε κατοικίες.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</si>
  <si>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</si>
  <si>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Συναγερμός για φωτιά σε παραποτάμια έκταση του Αξιού (Ελεούσα), Π.Ε. Θεσσαλονίκης.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</si>
  <si>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</si>
  <si>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Πυρκαγιά στη Λαυρεωτική από καύση καλάμων· Πυροσβεστική επί τόπου. | Μικρή πυρκαγιά σε ανοιχτό χώρο· αρχική κινητοποίηση 10 πυροσβεστών με 4 οχήματα· ταχεία κατάσβεση χωρίς απειλή σε κατοικίες ή υποδομές.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</si>
  <si>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</si>
  <si>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Πυρκαγιά σε δασική περιοχή Σκιάθου· ενίσχυση δυνάμεων. Μέρος του σαββατοκύριακου με 52 συμβάντα πανελλαδικά (18–19 Απρ).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</si>
  <si>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&lt;10 ha</t>
  </si>
  <si>
    <t xml:space="preserve">Δασική έκταση στην περιοχή Αιγών Αχαΐας· εκδήλωση λίγο μετά τις 13:00· υπό μερικό έλεγχο το απόγευμα. | ⚠ pyr_postfix 2026-09-23: έκταση μη δημοσιευμένη· η κλίμακα απόκρισης (≤25 πυροσβέστες, ≤4 εναέρια, ≤12 οχήματα) αποκλείει μεγάλο συμβάν. Το «&lt;10 ha» είναι ΣΥΜΠΕΡΑΣΜΑ, όχι μέτρηση, και δεν προσμετράται στα αθροίσματα.</t>
  </si>
  <si>
    <t xml:space="preserve">Ενεργή από 23–25/07. Εκκενώσεις 100.000+ ατόμων. 1 νεκρός (Μανίσες). Εθνική έκτακτη ανάγκη Ισπανίας 25/07. Ενημέρωση Yutori 26/07 06:24 EEST. | Μέτωπο Καστελόν ανεξέλεγκτο στις 28/7. &amp;gt;320.000 εκκενωθέντες (Γαλλία+Ισπανία). 3 πορτ. ομάδες εδάφους (134 πυροσβέστες, 41 οχήματα) αναπτύχθηκαν στην Ισπανία μέσω EUCPM. Εναέρια ΕΕ: βλ. μέτωπο Γαλλίας (κοινή διεθνής ανάπτυξη). | Ενεργοποιήθηκε ο Μηχανισμός Πολιτικής Προστασίας της ΕΕ. Διεθνής ενίσχυση: 6 αεροσκάφη από Ελλάδα/Ιταλία/Τουρκία και 134 Πορτογάλοι πυροσβέστες με 41 οχήματα. Εκκενώθηκαν &amp;gt;80.000 άτομα συνολικά (Άβιλα-Μαδρίτη: 60.000, Καστελόν-La Vall d'Uixó: 18.000). Επιμέρους εκτάσεις: Άβιλα &amp;gt;50.000 ha, Μαδρίτη ~28.000 ha, Γουαδαλαχάρα &amp;gt;32.000 ha (έως 23/7), Καστελόν ~6.500 ha. Συνολικά πυρκαγιές 2026 σεζόν Ισπανίας: ~171.000 ha (80% πάνω από 20ετή μέσο όρο). | 14 νεκροί, &amp;gt;80.000 εκκενώσεις. Εθνική έκτακτη ανάγκη (Μαδρίτη, Άβιλα, Τολέδο). Πυρκαγιά Sierra Oeste (Μαδρίτη–Άβιλα, ~50.000 ha): μεγαλύτερη στην ιστορία Ισπανίας — κατέστρεψε το Madrid Deep Space Communications Complex. Γουαδαλαχάρα (Sierra Norte Natural Park): &amp;gt;32.000 ha έως 23/7. Καστελόν (La Vall d'Uixó): ~6.500 ha, 18.000 εκκενωθέντες, πιθανός εμπρησμός. ΕΕ–Μηχανισμός Πολιτικής Προστασίας: 6 ε/α από Ελλάδα/Ιταλία/Τουρκία, 134 πυροσβέστες + 41 οχήματα από Πορτογαλία. Σύνολο εποχής 2026 Ισπανία: &amp;gt;150.000 ha (30/7/2026). Ακόμη σε εξέλιξη στις 30/7. | ⚠ pyr_postfix_eu 2026-09-23: συγκεντρωτική εγγραφή (es_iberian_complex_rollup). Η καταγεγραμμένη τιμή ήταν 80000.0 ha και δεν αντιστοιχεί σε μία πυρκαγιά. Αθροίσματα του ισπανικού συμπλέγματος Ιουλίου ή εθνικά σύνολα EFFIS. Δεν αντιστοιχούν σε μία πυρκαγιά. Τα επιμέρους μέτωπα καταγράφονται χωριστά (Burgohondo/Ávila, Sierra Norte Guadalajara, Castellón). Δεν προσμετράται.</t>
  </si>
  <si>
    <t xml:space="preserve">&amp;gt;207.000 ha συνολικά Ισπανία 2026 (όλη η σεζόν). 2 νεκροί πυροσβέστες (Castellón). Ημερομηνία κατά προσέγγιση. | ⚠ pyr_postfix_eu 2026-09-23: συγκεντρωτική εγγραφή (es_iberian_complex_rollup). Η καταγεγραμμένη τιμή ήταν None ha και δεν αντιστοιχεί σε μία πυρκαγιά. Αθροίσματα του ισπανικού συμπλέγματος Ιουλίου ή εθνικά σύνολα EFFIS. Δεν αντιστοιχούν σε μία πυρκαγιά. Τα επιμέρους μέτωπα καταγράφονται χωριστά (Burgohondo/Ávila, Sierra Norte Guadalajara, Castellón). Δεν προσμετράται.</t>
  </si>
  <si>
    <t xml:space="preserve">Εθνική κατάσταση έκτακτης ανάγκης 24/7. 19.000+ εκκενώθηκαν. Συγχώνευση μετώπων κοντά στη Μαδρίτη. 32.000+ ha στη Guadalajara μόνο. Ελλάδα + Ιταλία έστειλαν από 2 Canadair. EUCPM ενεργοποιήθηκε. | Μεγαλύτερη πυρκαγιά στην ιστορία Καστίλης-Λα Μάντσα. Πάνω από 600 πυροσβέστες και στρατιωτικοί, 29 αεροσκάφη. ~1.200 κάτοικοι εκκενώθηκαν, 34 οικισμοί αδειασαν, 14 περιοχές σε εσωτερική εκκένωση. Κηρύχθηκε κατάσταση έκτακτης ανάγκης. Πρόεδρος García-Page: «Σχεδόν σταματήσαμε την πρόοδο προς Σόρια αλλά η φωτιά δεν είναι υπό έλεγχο». | Συνδυασμένο μέτωπο 2026-07-24: πυρκαγιά La Mierla/Guadalajara ~32.000–35.000 ha (οριοθετήθηκε περ. 25/7 μετά από εβδομάδα), συγχωνευμένη πυρκαγιά Madrid/Ávila ~15.000 ha (εκτός ελέγχου 24/7, εκκενώθηκαν 60.000+ άτομα). Κηρύχθηκε εθνική κατάσταση έκτακτης ανάγκης. Κατεστράφη Madrid Deep Space Communications Complex. Επιδεινώθηκε από Ευρωπαϊκό Καύσωνα 2026. Αιτία ανάφλεξης αδιευκρίνιστη. | Σύμπλεγμα Άβιλα-Μαδρίτης χαρακτηρίστηκε «εκτός ικανότητας κατάσβεσης» από ισπανικές αρχές στις 24/7. Η Γουαδαλαχάρα (Sierra Norte Natural Park) οριοθετήθηκε στα 32.000 ha. Σύνολο Ισπανίας 2026: ~150.000 ha. Εκκενώθηκαν &amp;gt;80.000 άτομα. Διεθνής ενίσχυση: 6 εναέρια (Ελλάδα/Ιταλία/Τουρκία) + 134 πυροσβέστες/41 οχήματα από Πορτογαλία. Ζημιά στον Madrid Deep Space Communications Complex. | ⚠ pyr_postfix_eu 2026-09-23: συγκεντρωτική εγγραφή (es_iberian_complex_rollup). Η καταγεγραμμένη τιμή ήταν 47000.0 ha και δεν αντιστοιχεί σε μία πυρκαγιά. Αθροίσματα του ισπανικού συμπλέγματος Ιουλίου ή εθνικά σύνολα EFFIS. Δεν αντιστοιχούν σε μία πυρκαγιά. Τα επιμέρους μέτωπα καταγράφονται χωριστά (Burgohondo/Ávila, Sierra Norte Guadalajara, Castellón). Δεν προσμετράται.</t>
  </si>
  <si>
    <t xml:space="preserve">Καμένη έκταση Ισπανία ~80.000 ha (EFFIS &amp;gt;207.000 ha 29/7)· εκκενώσεις &amp;gt;100.000 ατόμων· 1 νεκρός στη Μανίσες Βαλένθιας· εθνική κατάσταση έκτακτης ανάγκης 25/7· άρση εντολών εκκένωσης Ávila 29/7· ενεργά μέτωπα και σε Τολέδο, Γουαδαλαχάρα, Καστελόν | Οριοθετήθηκε ουσιαστικά στις 26/7/2026. Μεγαλύτερη πυρκαγιά στην ιστορία της Ισπανίας (Ávila ~44.900 ha). Νεκρός 79χρονος στο Μανίσες Βαλένθια. Εκκένωση ~90.000 ατόμων. Δυνάμεις αφορούν το σύνολο ισπανικής επιχείρησης. | ⚠ pyr_postfix_eu 2026-09-23: συγκεντρωτική εγγραφή (es_iberian_complex_rollup). Η καταγεγραμμένη τιμή ήταν 80000.0 ha και δεν αντιστοιχεί σε μία πυρκαγιά. Αθροίσματα του ισπανικού συμπλέγματος Ιουλίου ή εθνικά σύνολα EFFIS. Δεν αντιστοιχούν σε μία πυρκαγιά. Τα επιμέρους μέτωπα καταγράφονται χωριστά (Burgohondo/Ávila, Sierra Norte Guadalajara, Castellón). Δεν προσμετράται.</t>
  </si>
  <si>
    <t xml:space="preserve">Εθνική κατάσταση έκτακτης ανάγκης 24/7. 32.000+ εκτάρια στη Γουαδαλαχάρα, συγχώνευση μετώπων κοντά στη Μαδρίτη. 19.000+ εκκενώσεις. Ελλάδα + Ιταλία απέστειλαν από 2 Canadair (συνολικά 4 αεροσκάφη μνημονεύονται). Χάνεται η μάχη στη Μαδρίτη. | 32.000+ εκτάρια Γουαδαλαχάρα, 19.000+ εκκενώσεις. Συγχώνευση μετώπων κοντά Μαδρίτη 24/07. Εθνική κατάσταση έκτακτης ανάγκης 24/07. Ελλάδα &amp;amp; Ιταλία απέστειλαν από 2 Canadair. | Γουαδαλαχάρα: 32.000+ ha, Άβιλα: ~9.000 ha (90 km²), δυτ. Μαδρίτης: ~3.000 ha (30 km²). 19.000+ εκκενώσεις. Εθνική κατάσταση έκτακτης ανάγκης 24/07. Ελλάδα &amp;amp; Ιταλία έστειλαν ανά 2 Canadair. Μέτωπα συγχωνεύτηκαν κοντά Μαδρίτη. Email 25/07: 19f99f93b937ff62. | Guadalajara: 32.000+ ha, 19.000+ εκκενώσεις. Ávila: ~9.000 ha (90 km²). Δυτ. Μαδρίτη: ~3.000 ha (30 km²). Συγχώνευση μετώπων 24/07. Εθνική κατάσταση έκτακτης ανάγκης Ισπανίας 24/07. Ελλάδα+Ιταλία: ανά 2 Canadair. Ελλάδα επιπλέον 1 C-27J (25/07). | Στις 24/7 δύο ξεχωριστές πυρκαγιές στις επαρχίες Ávila και Μαδρίτης (~50 km δυτικά της Μαδρίτης) συνενώθηκαν σε μία, καίγοντας 15.000 ha. Χαρακτηρίστηκαν «πέρα από τη δυνατότητα κατάσβεσης». Εκκενώθηκαν 60.000 άτομα. Καταστράφηκε το Madrid Deep Space Communications Complex (NASA). Εθνικό σύνολο Ισπανίας &amp;gt;130.000 ha. | Πυρκαγιά Γουαδαλαχάρα (Sierra Norte Natural Park) οριοθετήθηκε μετά από καμένη έκταση 32.000 ha. Σύμπλεγμα Άβιλα-Μαδρίτης ανεξάρτητη εξέλιξη: συγχωνεύθηκε και ξεπέρασε 50.000 ha μόνο στην Άβιλα. | ⚠ pyr_postfix_eu 2026-09-23: συγκεντρωτική εγγραφή (es_iberian_complex_rollup). Η καταγεγραμμένη τιμή ήταν 32000.0 ha και δεν αντιστοιχεί σε μία πυρκαγιά. Αθροίσματα του ισπανικού συμπλέγματος Ιουλίου ή εθνικά σύνολα EFFIS. Δεν αντιστοιχούν σε μία πυρκαγιά. Τα επιμέρους μέτωπα καταγράφονται χωριστά (Burgohondo/Ávila, Sierra Norte Guadalajara, Castellón). Δεν προσμετράται.</t>
  </si>
  <si>
    <t xml:space="preserve">&amp;gt;207.000 ha καμένα (EFFIS, 29/07). &amp;gt;100.000 εκκενωμένα άτομα. Εθνική κατάσταση έκτακτης ανάγκης 25/07. Εκκενώσεις Ávila &amp;amp; Μαδρίτης αρθήκαν 29/07. 1 νεκρός (Μανίσες/Βαλένθια). | Σύνολο Ισπανία: ~150.000 ha (Wikipedia 29/07). Άβιλα: 50.000+ ha (μεγαλύτερη πυρκαγιά ιστορίας Ισπανίας, 25.000 εκτοπισμένοι). Γουαδαλαχάρα/Sierra Norte NP: 32.000 ha. Καστελόν/La Vall d'Uixó: 6.500 ha (υποψία εμπρησμού). 80.000 εκκενώθηκαν συνολικά. Διεθνής βοήθεια: 6 εναέρια από Ελλάδα/Ιταλία/Τουρκία, 134 πυροσβέστες + 41 οχήματα Πορτογαλίας, δορυφορική χαρτογράφηση Copernicus. Στις 29/07 χιλιάδες επέστρεψαν. | ⚠ pyr_postfix_eu 2026-09-23: συγκεντρωτική εγγραφή (es_iberian_complex_rollup). Η καταγεγραμμένη τιμή ήταν 207000.0 ha και δεν αντιστοιχεί σε μία πυρκαγιά. Αθροίσματα του ισπανικού συμπλέγματος Ιουλίου ή εθνικά σύνολα EFFIS. Δεν αντιστοιχούν σε μία πυρκαγιά. Τα επιμέρους μέτωπα καταγράφονται χωριστά (Burgohondo/Ávila, Sierra Norte Guadalajara, Castellón). Δεν προσμετράται.</t>
  </si>
  <si>
    <t xml:space="preserve">100.000+ εκκενώσεις. 1 νεκρός (Μανίσες). Εθνική κατάσταση έκτακτης ανάγκης 25/7/2026. 90 km²≈9.000 ha Άβιλα + 30 km²≈3.000 ha δυτ. Μαδρίτης. Ελλάδα απέστειλε 2 Canadair CL-415 + C-27J στις 25/7. | Σύμπλεγμα πολλαπλών πυρκαγιών. Burgohondo/Άβιλα (εκκίνηση 22/7/2026): ~50.000 ha – μεγαλύτερη ιστορικά στην Ισπανία· Γουαδαλαχάρα/Sierra Norte: &amp;gt;32.000 ha ως 23/7. Εκκένωση ~80.000 κατοίκων (60.000 από Άβιλα). Ενεργοποίηση EU Civil Protection Mechanism: 6 εναέρια (Ελλάδα 2x Canadair CL-415, Ιταλία, Τουρκία), 134 πυροσβέστες + 41 οχήματα Πορτογαλίας. Κατάσταση 27/7: περίμετρος εν πολλοίς υπό έλεγχο, ορισμένα ενεργά μέτωπα παρέμεναν. | ⚠ pyr_postfix_eu 2026-09-23: συγκεντρωτική εγγραφή (es_iberian_complex_rollup). Η καταγεγραμμένη τιμή ήταν 82000.0 ha και δεν αντιστοιχεί σε μία πυρκαγιά. Αθροίσματα του ισπανικού συμπλέγματος Ιουλίου ή εθνικά σύνολα EFFIS. Δεν αντιστοιχούν σε μία πυρκαγιά. Τα επιμέρους μέτωπα καταγράφονται χωριστά (Burgohondo/Ávila, Sierra Norte Guadalajara, Castellón). Δεν προσμετράται.</t>
  </si>
  <si>
    <t xml:space="preserve">Εκκενώσεις 100.000+ ατόμων. 1 νεκρός Μανίσες (Βαλένθια). Έκταση: ~9.000 ha Άβιλα + ~3.000 ha δυτ. Μαδρίτης. Εθνική κατάσταση έκτακτης ανάγκης από 25/7/2026. Ενεργή έως 26/7/2026. Πηγές Yutori: BBC, DW, Independent, France24. | Σύμπλεγμα πολλαπλών πυρκαγιών: Άβιλα/Burgohondo ~50.000 ha· Γουαδαλαχάρα/Sierra Norte ~32.000 ha· Καστελόν/Vall d'Uixó (εκκίνηση 25/7) ~6.500 ha ως 26/7. Σύνολο ≥88.500 ha. Εκκένωση &amp;gt;80.000 κατοίκων συνολικά. EU Civil Protection Mechanism: 6 εναέρια, 134 πυροσβέστες + 41 οχήματα Πορτογαλίας. Κατάσταση 27/7: περίμετρος σε μεγάλο βαθμό περιορισμένη. | Εκκενώσεις 100.000+ ατόμων. Εθνική κατάσταση έκτακτης ανάγκης 25/7. 1 νεκρός στη Manises. ~80.000 ha καμένα έως 28/7. | ⚠ pyr_postfix_eu 2026-09-23: συγκεντρωτική εγγραφή (es_iberian_complex_rollup). Η καταγεγραμμένη τιμή ήταν 88500.0 ha και δεν αντιστοιχεί σε μία πυρκαγιά. Αθροίσματα του ισπανικού συμπλέγματος Ιουλίου ή εθνικά σύνολα EFFIS. Δεν αντιστοιχούν σε μία πυρκαγιά. Τα επιμέρους μέτωπα καταγράφονται χωριστά (Burgohondo/Ávila, Sierra Norte Guadalajara, Castellón). Δεν προσμετράται.</t>
  </si>
  <si>
    <t xml:space="preserve">Έναρξη 23/7· εθνική κατάσταση έκτακτης ανάγκης 24/7· 100.000+ εκκενωμένοι· 1 νεκρός (Μανίσες)· Γουαδαλαχάρα 32.000+ ha, Άβιλα ~9.000 ha, δυτ. Μαδρίτη ~3.000 ha· Ελλάδα απέστειλε 2 Canadair CL-415 + 1 C-27J (25/7) | Εκκενώσεις &amp;gt;100.000. Εθνική κατάσταση έκτακτης ανάγκης 25/7/2026. 1 νεκρός Μανίσες. Ενεργή 23–28/7+. | Στις 29/07 χιλιάδες εκτοπισμένοι επέστρεψαν στις εστίες τους. Σύνολο Ισπανία ~150.000 ha (Wikipedia). 80.000 εκκενώθηκαν. 6 εναέρια από Ελλάδα/Ιταλία/Τουρκία· 134 πυροσβέστες + 41 οχήματα Πορτογαλίας. | ⚠ pyr_postfix_eu 2026-09-23: συγκεντρωτική εγγραφή (es_iberian_complex_rollup). Η καταγεγραμμένη τιμή ήταν 80000.0 ha και δεν αντιστοιχεί σε μία πυρκαγιά. Αθροίσματα του ισπανικού συμπλέγματος Ιουλίου ή εθνικά σύνολα EFFIS. Δεν αντιστοιχούν σε μία πυρκαγιά. Τα επιμέρους μέτωπα καταγράφονται χωριστά (Burgohondo/Ávila, Sierra Norte Guadalajara, Castellón). Δεν προσμετράται.</t>
  </si>
  <si>
    <t xml:space="preserve">Άβιλα: ~90 km² (9.000 ha). Γουαδαλαχάρα: 32.000+ ha. Δυτικά Μαδρίτης: ~30 km² (3.000 ha). 19.000+ εκκενώσεις. Συγχώνευση μετώπων 24/7. Εθνική κατάσταση έκτακτης ανάγκης 24/7/2026. Η Ελλάδα απέστειλε επίσης C-27J (25/7). | ⚠ pyr_postfix_eu 2026-09-23: συγκεντρωτική εγγραφή (es_iberian_complex_rollup). Η καταγεγραμμένη τιμή ήταν None ha και δεν αντιστοιχεί σε μία πυρκαγιά. Αθροίσματα του ισπανικού συμπλέγματος Ιουλίου ή εθνικά σύνολα EFFIS. Δεν αντιστοιχούν σε μία πυρκαγιά. Τα επιμέρους μέτωπα καταγράφονται χωριστά (Burgohondo/Ávila, Sierra Norte Guadalajara, Castellón). Δεν προσμετράται.</t>
  </si>
  <si>
    <t xml:space="preserve">Συγχώνευση μετώπων κοντά στη Μαδρίτη 24/7· 32.000+ ha στη Γουαδαλαχάρα + 9.000 ha Άβιλα + 3.000 ha δυτικά Μαδρίτης· 100.000+ εκκενώσεις (26/7)· εθνική κατάσταση έκτακτης ανάγκης 25/7· 1 νεκρός Μανίσες (Βαλένθια)· Ελλάδα + Ιταλία έστειλαν από 2 Canadair CL-415 | Κηρύχθηκε εθνική κατάσταση έκτακτης ανάγκης. Συγχώνευση πυρκαγιών Άβιλα-Μαδρίτης (24/7). Εκκένωση 63.000+ κατοίκων από Μαδρίτη, Τολέδο, Άβιλα. Η φωτιά στην Άβιλα χαρακτηρίστηκε ως η μεγαλύτερη στην ιστορία της Ισπανίας (&amp;gt;50.000 ha μόνο Άβιλα). Εκτιμώμενη καμένη έκταση ~80.000 ha σε Μαδρίτη-Άβιλα-Τολέδο ως τα τέλη Ιουλίου. Εναέρια ενίσχυση από ΕΕ (Ελλάδα: 2 Canadair CL-415). Ισπανία αίτηση EU Civil Protection Mechanism. | ⚠ pyr_postfix_eu 2026-09-23: συγκεντρωτική εγγραφή (es_iberian_complex_rollup). Η καταγεγραμμένη τιμή ήταν 80000.0 ha και δεν αντιστοιχεί σε μία πυρκαγιά. Αθροίσματα του ισπανικού συμπλέγματος Ιουλίου ή εθνικά σύνολα EFFIS. Δεν αντιστοιχούν σε μία πυρκαγιά. Τα επιμέρους μέτωπα καταγράφονται χωριστά (Burgohondo/Ávila, Sierra Norte Guadalajara, Castellón). Δεν προσμετράται.</t>
  </si>
  <si>
    <t xml:space="preserve">80.000+ εκτ. Καστελλόν+Σαμόρα. Σύνολο Ισπανία 2026: 207.000+ εκτ. 2 πυροσβέστες νεκροί. Εκκενώσεις 330.000+. Άρση εκκενώσεων Ávila/Μαδρίτη 29/7. | ⚠ pyr_postfix_eu 2026-09-23: συγκεντρωτική εγγραφή (es_iberian_complex_rollup). Η καταγεγραμμένη τιμή ήταν 80000.0 ha και δεν αντιστοιχεί σε μία πυρκαγιά. Αθροίσματα του ισπανικού συμπλέγματος Ιουλίου ή εθνικά σύνολα EFFIS. Δεν αντιστοιχούν σε μία πυρκαγιά. Τα επιμέρους μέτωπα καταγράφονται χωριστά (Burgohondo/Ávila, Sierra Norte Guadalajara, Castellón). Δεν προσμετράται.</t>
  </si>
  <si>
    <t xml:space="preserve">&amp;gt;207.000 εκτάρια (EFFIS). Εκκενώσεις &amp;gt;120.000 ατόμων. Εθνική κατάσταση έκτακτης ανάγκης 25/7. Εντολές εκκένωσης αρθήκαν 29/7. 1 θάνατος (Μανίσες, Βαλένθια). | 14 νεκροί, ~80.000 εκκενωθέντες· επιστροφή εκκενωθέντων 29/7. EU Civil Protection: 6 αεροσκάφη (Ελλάδα, Ιταλία, Τουρκία) + 134 πυροσβέστες &amp;amp; 41 οχήματα Πορτογαλίας. Φωτιά Burgohondo/Ávila &amp;gt;50.000 ha — μεγαλύτερη καταγεγραμμένη στην Ισπανία. Πυρκαγιά παρέμενε ενεργή 30/7. | ⚠ pyr_postfix_eu 2026-09-23: συγκεντρωτική εγγραφή (es_iberian_complex_rollup). Η καταγεγραμμένη τιμή ήταν 207000.0 ha και δεν αντιστοιχεί σε μία πυρκαγιά. Αθροίσματα του ισπανικού συμπλέγματος Ιουλίου ή εθνικά σύνολα EFFIS. Δεν αντιστοιχούν σε μία πυρκαγιά. Τα επιμέρους μέτωπα καταγράφονται χωριστά (Burgohondo/Ávila, Sierra Norte Guadalajara, Castellón). Δεν προσμετράται.</t>
  </si>
  <si>
    <t xml:space="preserve">&amp;gt;150 πυροσβέστες για σταθεροποίηση στη Nieva Χούελβας. 40.000 εκτ. ήδη καμένα. Εκατοντάδες κάτοικοι απομακρύνθηκαν. Ταυτόχρονη ενεργοποίηση στο Καστελλόν Βαλένθιας. | &amp;gt;150 πυροσβέστες για σταθεροποίηση Νιέβλας. 40.000 ha καμένα (Ουέλβα). Εκατοντάδες κάτοικοι εκκενώθηκαν. | Φωτιά Niebla: εκκίνηση 2026-08-06 στο Raboconejo (Niebla, Huelva). Στις 2026-08-12 ακόμα ενεργή — ~25.000 ha επιβεβαιωμένα (πηγή: tecnobosque/infobae 11 Αυγ.), πιθανή περαιτέρω επέκταση. Χαρακτηρίστηκε «fuera de capacidad de extinción». Εκκενώθηκαν 681 άτομα (500 Huelva, 181 Sevilla). | Πυρκαγιά Niebla/Huelva: ξεκίνησε 2026-08-06 στην περιοχή Raboconejo, βόρεια του Niebla. Copernicus 09/08: 6.456,7 ha. Εξέλιξη: ~8.000 ha (10/08) → 25.000 ha (11/08) → 31.000 ha (13/08, χάνει δύναμη). 718 εκκενωθέντες. Αιτία: δεν επιβεβαιώθηκε. Δεδομένα Castellón/Βαλένθιας δεν επαληθεύτηκαν ξεχωριστά. | Εισήλθε σε capacidad de extinción στις 14/8/2026. Στις 15/8 08:30 CEST ακόμη ενεργό σε ανατολικό τομέα (Status Operacional 2). Επιχειρησιακή εκτίμηση επηρεαζόμενης έκτασης &amp;gt;38.000 ha· τελικά καμένη αναμένεται χαμηλότερη. Δυνάμεις 14/8: 875 προσωπικό, 33 εναέρια, 352 οχήματα (18 bulldozers). Αιτία: άγνωστη. | Niebla: εκδηλώθηκε 2026-08-06 (Raboconejo)· σταθεροποιήθηκε 2026-08-16 10:30 (Επίπεδο 1)· ~38.000 ha διασχίστηκαν (tecnobosque.es), ~31.000 ha πλήρως κατεστραμμένα (infobae 2026-08-13)· Tírig/Καστελλόν: οριοθετήθηκε 2026-08-12· αιτία αγνώστη | Πυρκαγιά Niebla/Huelva: ξεκίνησε 06/08/2026 στην περιοχή Raboconejo – σταθεροποιήθηκε 16/08/2026 μετά 10 ημέρες. Σταμάτησε να προχωρά 15/08 για πρώτη φορά σε 8 ημέρες. Περίμετρος ~210 χλμ. Αδειοδότητο μηχάνημα: gross negligence κατά Guardia Civil. Ως 16/08 δεν είχε κηρυχθεί επίσημα 'ελεγχόμενη'. | ⚠ pyr_postfix_eu 2026-09-23: συγκεντρωτική εγγραφή (es_huelva_zone_rollup). Η καταγεγραμμένη τιμή ήταν 40000.0 ha και δεν αντιστοιχεί σε μία πυρκαγιά. Το 40.000 ha δηλώνεται από τις ίδιες τις σημειώσεις ως σωρευτικό για την ευρύτερη ζώνη Ουέλβα με πολλαπλά μέτωπα, ή ως Huelva μαζί με Καστελλόν. Η πυρκαγιά της Niebla καταγράφεται χωριστά με τη δορυφορική της αποτύπωση. Δεν προσμετράται.</t>
  </si>
  <si>
    <t xml:space="preserve">Καλύπτεται από Euronews μαζί με Ουέλβα. Περιορισμένα επιμέρους στοιχεία για Καστελλόν. | Κάτοικοι εγκαταλείπουν σπίτια. Δεν υπάρχουν αναλυτικά στοιχεία ανά πυρκαγιά από πηγές Yutori. | ~800 κάτοικοι εκκενώθηκαν (El Madroño+γύρω)· κοντά σε buffer zone Doñana UNESCO· Copernicus EMS EMSR913· Yutori ανέφερε 40.000 ha (Huelva+Castellón συνολικά), web επαλήθευσε 8.000 ha για Huelva/Niebla | &amp;gt;150 πυροσβέστες επιχειρούν για σταθεροποίηση στη Νιέβλα· εκατοντάδες κάτοικοι απομακρύνθηκαν· 40.000 ha ήδη καμένα. | Εκατοντάδες κάτοικοι απομακρύνθηκαν. Ταυτόχρονα ενεργό μέτωπο και στην περιοχή Καστελλόν (Βαλένθια), βλ. επόμενη εγγραφή. | Κάτοικοι εγκαταλείπουν σπίτια. Περιορισμένα στοιχεία — συνδυαστική αναφορά με Ουέλβα στο ίδιο Euronews άρθρο. | Στις 2026-08-12: φωτιά Niebla ακόμα ενεργή (~25.000 ha, Κατάσταση Επιχείρησης 2 INFOCA). Εκκίνηση Niebla: 2026-08-06 Raboconejo. Εκκενώθηκαν 681 άτομα. | Niebla/Huelva: ξεκίνησε 2026-08-06, Copernicus 09/08: 6.456,7 ha, 31.000 ha (13/08). Αιτία: άγνωστη. Δεδομένα Castellón δεν επαληθεύτηκαν ξεχωριστά. | Η πυρκαγιά Niebla παρέμεινε ενεργή έως 14/8/2026 (INFOCA ΕΚ2, &amp;gt;38.000 ha· 875 πυροσβέστες/33 αεροσκάφη/352 μηχανήματα στις 14/8). Η πυρκαγιά Καστελλόν σταθεροποιήθηκε νωρίτερα. | Εισήλθε σε capacidad de extinción στις 14/8/2026. Στις 15/8 08:30 CEST ακόμη ενεργό σε ανατολικό τομέα (Status Operacional 2). Επιχειρησιακή εκτίμηση επηρεαζόμενης έκτασης &amp;gt;38.000 ha· τελικά καμένη αναμένεται χαμηλότερη. Δυνάμεις 14/8: 875 προσωπικό, 33 εναέρια, 352 οχήματα. Αιτία: άγνωστη. | Πυρκαγιά Niebla (Huelva): εκδήλωση 06/08, στις 16/08 παρέμενε σε Situación Operativa 2 με ενεργό ανατολικό μέτωπο. Αιτία δεν έχει επίσημα ανακοινωθεί. Ώρα πλήρους κατάσβεσης αναπόφευκτη. | Niebla: εκδηλώθηκε 2026-08-06, σταθεροποιήθηκε 2026-08-16· Tírig/Καστελλόν: οριοθετήθηκε 2026-08-12 10:52· συνολικά ~38.810 ha (38.000 Niebla + 810 Tírig)· αιτία αγνώστη | Πυρκαγιά Niebla/Huelva: σταθεροποίηση 16/08/2026. Περίμετρος ~210 χλμ. Συνολικά καμένα στρέμματα Ισπανία 2026: ~291.191 ha (206% πάνω από εικοσαετή μέσο όρο). Αιτία αφορά Huelva – αιτία Castellón δεν εντοπίστηκε. | ⚠ pyr_postfix_eu 2026-09-23: συγκεντρωτική εγγραφή (es_huelva_zone_rollup). Η καταγεγραμμένη τιμή ήταν 40000.0 ha και δεν αντιστοιχεί σε μία πυρκαγιά. Το 40.000 ha δηλώνεται από τις ίδιες τις σημειώσεις ως σωρευτικό για την ευρύτερη ζώνη Ουέλβα με πολλαπλά μέτωπα, ή ως Huelva μαζί με Καστελλόν. Η πυρκαγιά της Niebla καταγράφεται χωριστά με τη δορυφορική της αποτύπωση. Δεν προσμετράται.</t>
  </si>
  <si>
    <t xml:space="preserve">Κατάσταση υψηλής προειδοποίησης πυρκαγιών σε Καταλονία, Κάστιλλη-Λα Μάντσα, Κοινότητα Βαλεντίας, Γαλικία λόγω κορύφωσης καύσωνα. Ακυρώθηκαν φωτιές Αγίου Ιωάννη σε μισή Ισπανία. | ⚠ pyr_postfix_eu 2026-09-23: συγκεντρωτική εγγραφή (es_alert_not_incident). Η καταγεγραμμένη τιμή ήταν None ha και δεν αντιστοιχεί σε μία πυρκαγιά. Δελτίο προειδοποίησης, όχι συμβάν. Δεν αποτελεί εγγραφή πυρκαγιάς. Δεν προσμετράται.</t>
  </si>
  <si>
    <t xml:space="preserve">Ισπανία σε κατάσταση υψηλής προειδοποίησης λόγω καύσωνα. Συνολικά 9 μεγάλες δασικές πυρκαγιές στη χώρα για το έτος έως 24/6/2026 (Claims Journal). | Κορύφωση καύσωνα περιόδου San Juan· ακύρωση φωτιών San Juan σε πολλές περιοχές. Ο Ιούνιος 2026 υπήρξε ο χειρότερος μήνας με ~15.900 ha καμμένα σε όλη την Ισπανία κατά EFFIS/Euronews (σωρευτικό σύνολο ~50.000 ha μέχρι τέλη Ιουνίου). Δεν εντοπίστηκαν επιχειρησιακά στοιχεία (δυνάμεις/καμένη έκταση) για αυτό το προληπτικό/ειδοποιητικό συμβάν. | ⚠ pyr_postfix_eu 2026-09-23: συγκεντρωτική εγγραφή (es_alert_not_incident). Η καταγεγραμμένη τιμή ήταν None ha και δεν αντιστοιχεί σε μία πυρκαγιά. Δελτίο προειδοποίησης, όχι συμβάν. Δεν αποτελεί εγγραφή πυρκαγιάς. Δεν προσμετράται.</t>
  </si>
  <si>
    <t xml:space="preserve">7 εναέρια μέσα (σύνθεση άγνωστη). Χάρτης κινδύνου 01/08 δεν ήταν διαθέσιμος (404). | ⚠ pyr_postfix_eu 2026-09-23: ελληνική πυρκαγιά. Η καταγεγραμμένη τιμή ήταν None ha. Ήδη προσμετράται στο φύλλο «Ελλάδα». Δεν διπλομετράται εδώ.</t>
  </si>
  <si>
    <t xml:space="preserve">Νότια Κρήτη. Ισχυροί άνεμοι. | ⚠ pyr_postfix_eu 2026-09-23: ελληνική πυρκαγιά. Η καταγεγραμμένη τιμή ήταν None ha. Ήδη προσμετράται στο φύλλο «Ελλάδα». Δεν διπλομετράται εδώ.</t>
  </si>
  <si>
    <t xml:space="preserve">Κύριο μέτωπο Βοιωτίας. 220+ πυροσβέστες. 254 κάτοικοι εκκενώθηκαν με πλοία. | ⚠ pyr_postfix_eu 2026-09-23: ελληνική πυρκαγιά. Η καταγεγραμμένη τιμή ήταν None ha. Ήδη προσμετράται στο φύλλο «Ελλάδα». Δεν διπλομετράται εδώ.</t>
  </si>
  <si>
    <t xml:space="preserve">Αγροδασική έκταση. Κατεστράφηκαν 1 κατοικία και 2 οχήματα. | ⚠ pyr_postfix_eu 2026-09-23: ελληνική πυρκαγιά. Η καταγεγραμμένη τιμή ήταν None ha. Ήδη προσμετράται στο φύλλο «Ελλάδα». Δεν διπλομετράται εδώ.</t>
  </si>
  <si>
    <t xml:space="preserve">Φωτιά εντός οικισμού Κομπότι Άρτας. | ⚠ pyr_postfix_eu 2026-09-23: ελληνική πυρκαγιά. Η καταγεγραμμένη τιμή ήταν None ha. Ήδη προσμετράται στο φύλλο «Ελλάδα». Δεν διπλομετράται εδώ.</t>
  </si>
  <si>
    <t xml:space="preserve">Πυρκαγιά σε χαμηλή βλάστηση, απόγευμα 31/07 | ⚠ pyr_postfix_eu 2026-09-23: ελληνική πυρκαγιά. Η καταγεγραμμένη τιμή ήταν None ha. Ήδη προσμετράται στο φύλλο «Ελλάδα». Δεν διπλομετράται εδώ.</t>
  </si>
  <si>
    <t xml:space="preserve">112 χτύπησε ξημερώματα 01/08. Danger level από χάρτη 30/07 (Αχαΐα πορτοκαλί). | ⚠ pyr_postfix_eu 2026-09-23: ελληνική πυρκαγιά. Η καταγεγραμμένη τιμή ήταν None ha. Ήδη προσμετράται στο φύλλο «Ελλάδα». Δεν διπλομετράται εδώ.</t>
  </si>
  <si>
    <t xml:space="preserve">Χαρακτηρίστηκε ως μία από τις δυσκολότερες φωτιές 31/7 (αρχηγός ΠΣΕΑ Βαθρακογιάννης). | ~50.000 στρ. ≈ 5.000 ha. ~100 σπίτια κατεστραμμένα. 254 εκκενωθέντες δια θαλάσσης (31/7) + 12 (01/08). Έναρξη Καλαμάκι 31/07, επέκταση Πόρτο Γερμενό 01/08. | Χαρακτηρίστηκε από τον αρχηγό ΠΣΕΑ Βαθρακογιάννη ως μία από τις δυσκολότερες φωτιές 31/7. | ⚠ pyr_postfix_eu 2026-09-23: ελληνική πυρκαγιά. Η καταγεγραμμένη τιμή ήταν 5000.0 ha. Ήδη προσμετράται στο φύλλο «Ελλάδα». Δεν διπλομετράται εδώ.</t>
  </si>
  <si>
    <t xml:space="preserve">Αστική-δασική διεπαφή κατά μήκος Περιφερειακής Αιγάλεω. Επίπεδο κινδύνου Αττική: 4 (31/7) → 5 ΣΥΝΑΓΕΡΜΟΥ (1/8). | ⚠ pyr_postfix_eu 2026-09-23: ελληνική πυρκαγιά. Η καταγεγραμμένη τιμή ήταν None ha. Ήδη προσμετράται στο φύλλο «Ελλάδα». Δεν διπλομετράται εδώ.</t>
  </si>
  <si>
    <t xml:space="preserve">Ασθενείς απομακρύνθηκαν από ψυχιατρείο Δαφνί. 5 αεροσκάφη + 6 ελικόπτερα = 11 εναέρια συνολικά. | ⚠ pyr_postfix_eu 2026-09-23: ελληνική πυρκαγιά. Η καταγεγραμμένη τιμή ήταν None ha. Ήδη προσμετράται στο φύλλο «Ελλάδα». Δεν διπλομετράται εδώ.</t>
  </si>
  <si>
    <t xml:space="preserve">Κατεστραμμένες κατοικίες κοντά στα Φίχτια Αργολίδας. | ⚠ pyr_postfix_eu 2026-09-23: ελληνική πυρκαγιά. Η καταγεγραμμένη τιμή ήταν None ha. Ήδη προσμετράται στο φύλλο «Ελλάδα». Δεν διπλομετράται εδώ.</t>
  </si>
  <si>
    <t xml:space="preserve">Καίει χαμηλή βλάστηση. Εκκενώσεις Παλαιόπολη και Κολυμβός. | Πυρκαγιά σε χαμηλή βλάστηση | ⚠ pyr_postfix_eu 2026-09-23: ελληνική πυρκαγιά. Η καταγεγραμμένη τιμή ήταν None ha. Ήδη προσμετράται στο φύλλο «Ελλάδα». Δεν διπλομετράται εδώ.</t>
  </si>
  <si>
    <t xml:space="preserve">1 πυροσβέστης νεκρός (29/7) στον Αγερανό. Η φωτιά Γύθειο (48 πυροσβέστες κ.λπ.) ήταν υπό έλεγχο τη στιγμή του θανάτου. Επίπεδο κινδύνου Λακωνία 29/7: 3–4. | 1 νεκρός πυροσβέστης 27 ετών | ⚠ pyr_postfix_eu 2026-09-23: ελληνική πυρκαγιά. Η καταγεγραμμένη τιμή ήταν None ha. Ήδη προσμετράται στο φύλλο «Ελλάδα». Δεν διπλομετράται εδώ.</t>
  </si>
  <si>
    <t xml:space="preserve">2 πυροσβέστες νεκροί (29/7). Εξάπλωση 30/7 στα Ασώματα/Φαράγγι Κουρταλιώτικο (αεροπυρόσβεση διακόπηκε λόγω ανέμων). Καμένη ~40.050 στρ Μελάμπες + 7.600 στρ Πρέβελη ≈ 4.765 εκτ. Αναζωπύρωση Πρέβελη 31/7. | ⚠ pyr_postfix_eu 2026-09-23: ελληνική πυρκαγιά. Η καταγεγραμμένη τιμή ήταν 4765.0 ha. Ήδη προσμετράται στο φύλλο «Ελλάδα». Δεν διπλομετράται εδώ.</t>
  </si>
  <si>
    <t xml:space="preserve">2 νεκροί πυροσβέστες (Νέα Κρύα Βρύση). 45.000 στρ. = 4.500 ha. Εκκενώθηκαν: Τριόπετρα, Άγ. Γεώργιος, Άγ. Παύλος, Σακθουριά, Μελάβες, Κρύα Βρύση. Αεροπυρόσβεση διακόπηκε 30/7 λόγω ανέμων. Επέκταση 30/7 στα Ασώματα. | ⚠ pyr_postfix_eu 2026-09-23: ελληνική πυρκαγιά. Η καταγεγραμμένη τιμή ήταν 4500.0 ha. Ήδη προσμετράται στο φύλλο «Ελλάδα». Δεν διπλομετράται εδώ.</t>
  </si>
  <si>
    <t xml:space="preserve">Εκκενώθηκαν 10 χωριά: Τρυπητή, Γλύφα, Πυργάκι, Άσπρο Χωριό, Αγκαριά, Αγ. Χαράλαμπος, Κάμπος, Μπουγάδος, Ανεράτζια, Καμάρι. Συνελήφθησαν 4 άτομα συμπεριλαμβανομένου δημάρχου (30/7). 31/7: βελτίωση, Πάρος/Κάλυμνος/Άνδρος σε υψηλή επιφυλακή. | ⚠ pyr_postfix_eu 2026-09-23: ελληνική πυρκαγιά. Η καταγεγραμμένη τιμή ήταν 1000.0 ha. Ήδη προσμετράται στο φύλλο «Ελλάδα». Δεν διπλομετράται εδώ.</t>
  </si>
  <si>
    <t xml:space="preserve">10 χωριά εκκενώθηκαν. 4 συλληφθέντες μεταξύ αυτών ο δήμαρχος. 2 Canadair + 5 ελικόπτερα. | ⚠ pyr_postfix_eu 2026-09-23: ελληνική πυρκαγιά. Η καταγεγραμμένη τιμή ήταν None ha. Ήδη προσμετράται στο φύλλο «Ελλάδα». Δεν διπλομετράται εδώ.</t>
  </si>
  <si>
    <t xml:space="preserve">Κοντά στα ελληνοτουρκικά σύνορα. Δημοσίευση 28/7 14:25 EEST. | Αναφορά δημοσίευσης 14:25 EEST | ⚠ pyr_postfix_eu 2026-09-23: ελληνική πυρκαγιά. Η καταγεγραμμένη τιμή ήταν None ha. Ήδη προσμετράται στο φύλλο «Ελλάδα». Δεν διπλομετράται εδώ.</t>
  </si>
  <si>
    <t xml:space="preserve">Δασική πυρκαγιά Εύβοιας. Ανακαλύφθηκε ανεξάρτητα (1Β). | ⚠ pyr_postfix_eu 2026-09-23: ελληνική πυρκαγιά. Η καταγεγραμμένη τιμή ήταν None ha. Ήδη προσμετράται στο φύλλο «Ελλάδα». Δεν διπλομετράται εδώ.</t>
  </si>
  <si>
    <t xml:space="preserve">Ελαιώνες και καλλιέργειες. Ώρα πληροφορίας: 17:26 EEST. | Πυρκαγιά σε ελαιώνες και καλλιέργειες | ⚠ pyr_postfix_eu 2026-09-23: ελληνική πυρκαγιά. Η καταγεγραμμένη τιμή ήταν None ha. Ήδη προσμετράται στο φύλλο «Ελλάδα». Δεν διπλομετράται εδώ.</t>
  </si>
  <si>
    <t xml:space="preserve">Δασική έκταση Κινέτα Αττικής. Ανακαλύφθηκε ανεξάρτητα (1Β). | ⚠ pyr_postfix_eu 2026-09-23: ελληνική πυρκαγιά. Η καταγεγραμμένη τιμή ήταν None ha. Ήδη προσμετράται στο φύλλο «Ελλάδα». Δεν διπλομετράται εδώ.</t>
  </si>
  <si>
    <t xml:space="preserve">Ώρα πληροφορίας 16:47 EEST. | ⚠ pyr_postfix_eu 2026-09-23: ελληνική πυρκαγιά. Η καταγεγραμμένη τιμή ήταν None ha. Ήδη προσμετράται στο φύλλο «Ελλάδα». Δεν διπλομετράται εδώ.</t>
  </si>
  <si>
    <t xml:space="preserve">Δασική πυρκαγιά. Αναφέρθηκε σε άρθρο ertnews.gr εντός της περιόδου ανάλυσης. Χάρτης κινδύνου 19/07 δεν κατέβηκε. | ⚠ pyr_postfix_eu 2026-09-23: ελληνική πυρκαγιά. Η καταγεγραμμένη τιμή ήταν None ha. Ήδη προσμετράται στο φύλλο «Ελλάδα». Δεν διπλομετράται εδώ.</t>
  </si>
  <si>
    <t xml:space="preserve">~42.000 εκτ. Γιρόντ. Σύνολο Γαλλία: 116.000+ εκτ. Εκκενώσεις: 224.000 (84.000 επέστρεψαν έως 31/7). 1 πυροσβέστης νεκρός. Pyrocumulonimbus 28–29/7. Ουκρανικές δυνάμεις ανεπτύχθησαν 31/7 μέσω Μηχανισμού ΕΕ Πολιτικής Προστασίας. | ⚠ pyr_postfix_eu 2026-09-23: φέρουσα εγγραφή του συμβάντος «fr_gironde_landes_2026». Σύμπλεγμα Bordeaux/Gironde–Landes, έναρξη 22/07 στο Saumos. Οι σημειώσεις δηλώνουν ρητά «Ίδια πυρκαγιά με Bordeaux/Gironde wildfire» και «Gironde: 42.000 ha (επιβεβαιώθηκε)». Οι τιμές 12.500 και 25.000 ha είναι στιγμιότυπα της 23-24/07 της ίδιας πυρκαγιάς κοντά στο Cap-Ferret. Οι γραμμές 95, 107, 108, 109, 110, 111, 116, 119, 125 είναι εγγραφές της ίδιας πυρκαγιάς και δεν προσμετρώνται.</t>
  </si>
  <si>
    <t xml:space="preserve">Ενεργή από 23–25/07. Εκκενώσεις 197.000+ ατόμων. 240+ σπίτια κατεστραμμένα. 2 πυροσβέστες νεκροί. Δήλωση Μακρόν: «εντελώς άνευ προηγουμένου». Ενημέρωση Yutori 26/07 06:24 EEST. | Φωτιά Ζιρόντ αναφέρεται «περιεχόμενη» (contained) στις 28/7 από αρχές, με προειδοποίηση για δυσμενείς καιρικές συνθήκες. 2 νεκροί πυροσβέστες στη Γαλλία. &amp;gt;320.000 εκκενωθέντες (Γαλλία+Ισπανία). 240+ κατοικίες κατεστραμμένες (Λε Πορζ). Εναέρια ΕΕ: 2 Canadair GR, 2 Canadair IT, 1 Canadair HR, 2 Air Tractor PT, 2 Air Tractor TR, 2 ελικ. SE, 1 Black Hawk SK, 1 ελικ. CZ. 770+ πυροσβέστες από 14 χώρες ΕΕ. | ⚠ pyr_postfix_eu 2026-09-23: εγγραφή της ίδιας πυρκαγιάς «fr_gironde_landes_2026». Η καταγεγραμμένη τιμή ήταν 42000.0 ha. Φέρουσα εγγραφή: γραμμή 122.</t>
  </si>
  <si>
    <t xml:space="preserve">~42.000 ha καμένα. Εκκένωση ~224.000 κατοίκων. 1 νεκρός πυροσβέστης. | ⚠ pyr_postfix_eu 2026-09-23: εγγραφή της ίδιας πυρκαγιάς «fr_gironde_landes_2026». Η καταγεγραμμένη τιμή ήταν 42000.0 ha. Φέρουσα εγγραφή: γραμμή 122.</t>
  </si>
  <si>
    <t xml:space="preserve">&amp;gt;224.000 εκκενωμένοι· 42.000 ha· ουκρανικές μονάδες συμμετείχαν | ⚠ pyr_postfix_eu 2026-09-23: εγγραφή της ίδιας πυρκαγιάς «fr_gironde_landes_2026». Η καταγεγραμμένη τιμή ήταν 42000.0 ha. Φέρουσα εγγραφή: γραμμή 122.</t>
  </si>
  <si>
    <t xml:space="preserve">&amp;gt;197.000 εκκενωμένα άτομα (Γαλλία). &amp;gt;240 σπίτια κατεστραμμένα στη Γιρόντ. Pyrocumulonimbus 28-29/07. 2 πυροσβέστες νεκροί (Γαλλία). Μακρόν: «εντελώς άνευ προηγουμένου». Ενεργή από 23-25/07, συνεχίζεται 29/07. | 10 θάνατοι (Γαλλία συνολικά). 250.000 εκκενωμένοι. Gironde: 42.000 ha (επιβεβαιώθηκε). Landes/Biscarrosse ξεχωριστά: ~3.500 ha υπό έλεγχο. Pyrocumulonimbus (πυροκουμουλονίμβος) παρατηρήθηκε για πρώτη φορά στη Γαλλία. Στρατιωτικό A400M Atlas ως εναέρια δεξαμενή (20 τόνοι επιβραδυντικού). Διεθνής βοήθεια 8 χωρών ΕΕ (Κροατία, Τσεχία, Γερμανία, Πορτογαλία, Ρουμανία, Σλοβακία, Σουηδία, Τουρκία). Αιτία υπό διερεύνηση (καύσωνας 2026/El Niño). Στις 28/07 νέες εκκενώσεις 4.000 ατόμων, φωτιά αναζωπυρώθηκε. | 42.000 ha στη Γιρόντ. Εκκενώσεις 220.000+ ατόμων γύρω από Μπορντό (15-30χλμ). 240+ σπίτια κατεστράφηκαν. 1 νεκρός πυροσβέστης (Γιρόντ). Pyrocumulonimbus 28-29/7. Μακρόν: «εντελώς άνευ προηγουμένου». Συνολική καμένη έκταση Γαλλίας 2026: 116.000+ ha. | Μεγαλύτερη πυρκαγιά Γαλλίας μετά τον Β' Παγκόσμιο Πόλεμο (&amp;gt;42.000 ha Gironde έως 27/7). Πρώτη εμφάνιση pyrocumulonimbus στη Γαλλία (πυραντροποειδής σύννεφο που δημιούργησε κεραυνούς και νέες εστίες). Ενεργοποίηση Μηχανισμού Πολιτικής Προστασίας ΕΕ (Κροατία, Πορτογαλία, Τσεχία, Σλοβακία). Airbus A400M ως αεροπυροσβεστικό από 25/7. Εκκένωση ~250.000 κατοίκων Gironde–Landes. Νέες αναφλέξεις 28/7 (+4.000 εκκενώσεις τουριστικών χώρων). Εξακολουθεί σε εξέλιξη 30/7/2026. | ⚠ pyr_postfix_eu 2026-09-23: εγγραφή της ίδιας πυρκαγιάς «fr_gironde_landes_2026». Η καταγεγραμμένη τιμή ήταν 42000.0 ha. Φέρουσα εγγραφή: γραμμή 122.</t>
  </si>
  <si>
    <t xml:space="preserve">Εκκενώσεις &amp;gt;197.000 ατόμων· 240+ κατοικίες κατεστραμμένες· 2 νεκροί πυροσβέστες· pyrocumulonimbus 28–29/7 κοντά στο Μπορντό· ενεργή έως 29/7+ | Ίδια πυρκαγιά με Bordeaux/Gironde wildfire. &amp;gt;42.000 ha Gironde. Pyrocumulonimbus (πρώτη φορά Γαλλία). EU Civil Protection ενεργοποιήθηκε. Εκκένωση ~250.000. Σε εξέλιξη 30/7/2026. | ⚠ pyr_postfix_eu 2026-09-23: εγγραφή της ίδιας πυρκαγιάς «fr_gironde_landes_2026». Η καταγεγραμμένη τιμή ήταν 42000.0 ha. Φέρουσα εγγραφή: γραμμή 122.</t>
  </si>
  <si>
    <t xml:space="preserve">Εκκενώσεις 197.000+ ατόμων. 240+ σπίτια καταστράφηκαν στη Γιρόντ. 2 πυροσβέστες νεκροί. Μακρόν: 'εντελώς άνευ προηγουμένου'. ~42.000 ha καμένα έως 28/7. | 10 θάνατοι (Γαλλία συνολικά). 250.000 εκκενωμένοι. Gironde: 42.000 ha (επιβεβαιώθηκε). Landes/Biscarrosse: ~3.500 ha υπό έλεγχο. Pyrocumulonimbus πρώτη φορά στη Γαλλία. A400M Atlas ως εναέρια δεξαμενή. Βοήθεια 8 χωρών ΕΕ. Αιτία υπό διερεύνηση (καύσωνας/El Niño). Αναζωπύρωση 28/07. | Ίδια πυρκαγιά Bordeaux/Gironde. &amp;gt;42.000 ha Gironde έως 27/7. Pyrocumulonimbus (πρώτη φορά Γαλλία). Airbus A400M από 25/7. EU Civil Protection. Εκκένωση ~250.000. Σε εξέλιξη 30/7/2026. | ⚠ pyr_postfix_eu 2026-09-23: εγγραφή της ίδιας πυρκαγιάς «fr_gironde_landes_2026». Η καταγεγραμμένη τιμή ήταν 42000.0 ha. Φέρουσα εγγραφή: γραμμή 122.</t>
  </si>
  <si>
    <t xml:space="preserve">125 km² (≈12.500 ha) κοντά στο Καπ Φερέ. 110.000+ άτομα εκκενώθηκαν (24–25/7). Ενεργοποίηση Μηχανισμού Πολιτικής Προστασίας ΕΕ. Τα σύννεφα καπνού Μαδρίτης–Μπορντό ενώθηκαν. | 40.000+ εκκενώσεις (23-24/07) → 110.000+ (25/07). 12.500 ha (=125 km²) κοντά Καπ Φερέ. Αεροπορική ενίσχυση ΕΕ: Κροατία, Πορτογαλία, Τσεχία, Σλοβακία. Email 25/07: 19f99f93b937ff62. | Έκταση 42.000 ha στη Γιρόντ ως 26/07/2026 (αναθεώρηση από 12.500 ha αρχικής καταγραφής). Άνω των 220.000 εκκενωθέντες στη ΝΔ Γαλλία (320.000+ Γαλλία+Ισπανία). Αιτία: υπό διερεύνηση. Πέραν των 2.500 πυροσβεστών, επιχείρησαν 1.500 στρατιωτικοί + 1.200 αστυνομικοί/χωροφύλακες. Εναέρια: 5 αεροσκάφη + 2 ελικόπτερα EU rescEU, 2 Canadair Ιταλίας + συνδρομή Πορτογαλίας και Ελλάδας. Κατάσταση «εξαιρετικά άγρια και απρόβλεπτη» (Γάλλος ΥΠΕΣ). | Έναρξη 23/7· ενεργή έως 26/7· 12.500 ha κοντά στο Καπ Φερέ (25/7)· 197.000+ εκκενωμένοι· 240+ σπίτια κατεστραμμένα στη Γιρόντ· 15–30 χλμ. από Μπορντό· αεροπορική βοήθεια ΕΕ (Κροατία, Πορτογαλία, Τσεχία, Σλοβακία) | 197.000+ εκκενώσεις (26/7)· 240+ κατοικίες κατεστραμμένες στη Γιρόντ· 3.400+ ha κοντά στο Καπ-Φερέ ως 24/7 (πιθανώς μεγαλύτερο ως 26/7)· EU ERCC ενεργοποίηση· αεροπορική ενίσχυση από Κροατία, Πορτογαλία, Τσεχία, Σλοβακία | 197.000+ εκκενώσεις. 240+ σπίτια κατεστραμμένα στη Γιρόντ. Απόσταση 15–30 χλμ. από Μπορντό. Ενεργή έως 26/7/2026. 125 km² ≈ 12.500 ha καμένα κοντά στο Καπ Φερέ. | Εκκενώσεις &amp;gt;197.000 ατόμων. 240+ σπίτια κατεστραμμένα. 2 νεκροί πυροσβέστες. Μακρόν «εντελώς άνευ προηγουμένου». Ενεργή 23–28/7+. Ελλάδα έστειλε 2 Canadair CL-415 + C-27J στην Ισπανία (25/7). | Pyrocumulonimbus 28-29/7. Εκκενώσεις &amp;gt;197.000 ατόμων. 240+ σπίτια καταστράφηκαν στη Γιρόντ. Απόσταση από Μπορντό 15-30 χλμ. Μακρόν: «εντελώς άνευ προηγουμένου». | ⚠ pyr_postfix_eu 2026-09-23: εγγραφή της ίδιας πυρκαγιάς «fr_gironde_landes_2026». Η καταγεγραμμένη τιμή ήταν 42000.0 ha. Φέρουσα εγγραφή: γραμμή 122.</t>
  </si>
  <si>
    <t xml:space="preserve">40.000+ εκκενώθηκαν τη νύχτα 23–24/7. Ευρωπαϊκός Μηχανισμός Πολιτικής Προστασίας ενεργοποιήθηκε. Αεροπορική ενίσχυση από Κροατία, Πορτογαλία, Τσεχία, Σλοβακία. Ανεξέλεγκτο πύρινο μέτωπο στα Les Landes. | Πυρκαγιά παραβίασε γραμμή περιορισμού στη διάρκεια της νύχτας 23→24 Ιουλίου. Εκκενώθηκαν &amp;gt;40.000 άτομα από Cap Ferret (σύμφωνα με τον Υπουργό Εσωτερικών Laurent Nuñez). ~500-1.000 πυροσβέστες με εναέρια μέσα. Ζητήθηκε ευρωπαϊκή βοήθεια μέσω EU Civil Protection Mechanism. | 40.000+ εκκενώσεις το βράδυ 23–24/07. Ενεργοποίηση Μηχανισμού Πολιτικής Προστασίας ΕΕ. Αεροπορική ενίσχυση από Κροατία, Πορτογαλία, Τσεχία, Σλοβακία. | 3.400+ ha (23-24/07) → 125 km² / 12.500 ha κοντά Καπ Φερέ (25/07). 40.000+ εκκενώσεις 23-24/07, 110.000+ συνολικά 25/07. ΜΠΠΕΕ ΕΕ ενεργός. Αεροπορική ενίσχυση: Κροατία, Πορτογαλία, Τσεχία, Σλοβακία. | Ίδια πυρκαγιά με εκείνη της 22/7 (εκκίνηση Saumos). Στις 26/7 εξακολουθεί να βρίσκεται σε εξέλιξη και πλησιάζει το Μπορντό. Το Cap Ferret παραμένει κλειστό. 197.000 εκκενωθέντες συνολικά (Gironde + Landes). | Αύξηση δυνάμεων σε 1.000 πυροσβέστες (από 800 στις 22/7). Εκκένωση ολόκληρης χερσονήσου Cap-Ferret (&amp;gt;20.000 κάτοικοι/τουρίστες). Γαλλία ζήτησε ευρωπαϊκή βοήθεια μέσω ERCC. Πυρκαγιά εκδηλώθηκε αρχικά στο Saumos (22/7) και επεκτάθηκε μέσω πευκοδάσους προς Le Porge και Lège-Cap-Ferret. | ⚠ pyr_postfix_eu 2026-09-23: εγγραφή της ίδιας πυρκαγιάς «fr_gironde_landes_2026». Η καταγεγραμμένη τιμή ήταν 12500.0 ha. Φέρουσα εγγραφή: γραμμή 122.</t>
  </si>
  <si>
    <t xml:space="preserve">Έναρξη Τετάρτη 22/7 στο Saumos. Ραγδαία εξάπλωση 23–24/7. 40.000+ εκκενώσεις (ολόκληρη χερσόνησος Καπ-Φερέ). Ενεργοποιήθηκε Μηχανισμός Πολιτικής Προστασίας ΕΕ· αεροπορική ενίσχυση από Κροατία, Πορτογαλία, Τσεχία, Σλοβακία. Απειλείται το Μπορντό. | Η πυρκαγιά εκδηλώθηκε ~μεσημέρι 22/7 στο Saumos και εξαπλώθηκε με ταχύτητα ~1.000 ha/ώρα κατά τη διάρκεια της νύχτας μέσα στο πυκνό πευκοδάσος. Στις 26/7 βρίσκεται ~30 km από το Μπορντό πλήττοντας δυτικά προάστια. 197.000 εκκενωθέντες συνολικά (Gironde + Landes) – ήδη ~5× μεγαλύτερη από την πυρκαγιά του 2022 στην ίδια περιοχή. | Πυρκαγιά εκκίνησε στο Saumos και εξαπλώθηκε μέσω πευκοδάσους προς Le Porge και Lège-Cap-Ferret. Εκκένωση ολόκληρης χερσονήσου Cap-Ferret έως 24/7 (&amp;gt;20.000 κάτοικοι/τουρίστες). Γαλλία ζήτησε ευρωπαϊκή βοήθεια (ERCC). Συνολικά 330.000 εκτοπισμένοι στη ΝΔ Ευρώπη. Πυρκαγιά σταθεροποιήθηκε μετά νυκτερινές επιχειρήσεις (φλεγόμενα μέτωπα κοντά σε αμμόλοφους τέθηκαν υπό έλεγχο). | ⚠ pyr_postfix_eu 2026-09-23: εγγραφή της ίδιας πυρκαγιάς «fr_gironde_landes_2026». Η καταγεγραμμένη τιμή ήταν 25000.0 ha. Φέρουσα εγγραφή: γραμμή 122.</t>
  </si>
  <si>
    <t xml:space="preserve">Επαρχία Ávila, εξαπλώθηκε Madrid &amp;amp; Toledo. ~35.000 εκκενωθέντες. Μεγαλύτερη πυρκαγιά ιστορίας Ισπανίας (περίμετρος 160 χλμ). Διεθνής: Ελλάδα, Ιταλία, Πορτογαλία, Τουρκία, 50 Καταριανοί. Σταθεροποιήθηκε 6/8. | Χωρίς ενεργό μέτωπο/επέκταση εκτός περιμέτρου από 5/8· σταθεροποιήθηκε 6/8/2026. Πλήρης κατάσβεση αναμένεται σε ≥1 μήνα λόγω μεγέθους. &amp;gt;50.000 ha επιβεβαιώθηκαν. | Πυρκαγιά εκδηλώθηκε 22/7/2026 στις 13:00 στη Burgohondo (Ávila). Σταθεροποιήθηκε (estabilizado) στις 09:00 της 6/8/2026 μετά 15 ημέρες ενεργού δραστηριότητας. Περίμετρος ~160 χλμ. Μεγαλύτερη πυρκαγιά στην ιστορία της Ισπανίας (&amp;gt;50.000 ha). Η πλήρης κατάσβεση αναμένεται να απαιτήσει τουλάχιστον έναν επιπλέον μήνα επιτήρησης. Κατεστράφη φυσικό πάρκο Valle de Iruelas. | ⚠ pyr_postfix_eu 2026-09-23: φέρουσα εγγραφή του συμβάντος «es_burgohondo_avila_2026». Burgohondo / Sierra de Ávila, έναρξη 22/07, μεγαλύτερη καταγεγραμμένη πυρκαγιά στην ιστορία της Ισπανίας, περίμετρος 160 km, σταθεροποίηση 06/08. Τρεις ανεξάρτητες εγγραφές και οι σημειώσεις τεσσάρων ακόμη δίνουν ~50.000 ha. Η μοναδική τιμή 135.000 ha μιας εγγραφής δεν επιβεβαιώνεται από καμία άλλη και είναι ασύμβατη με το εθνικό σύνολο EFFIS των 207.000 ha· δεν υιοθετείται. Οι γραμμές 55, 126 είναι εγγραφές της ίδιας πυρκαγιάς και δεν προσμετρώνται.</t>
  </si>
  <si>
    <t xml:space="preserve">Μεγαλύτερη πυρκαγιά στην ιστορία Ισπανίας. Πυρκαγιές Ávila-Toledo-Madrid συνενώθηκαν σε ~80.000 ha έως 29/7. Περίμετρος 160 χλμ. Ακόμη ενεργή στις αρχές Αυγούστου κατά EFFIS (498.823 ha συνολικά ΕΕ έως 6/8/2026 από 1.514 πυρκαγιές). | Εθνική κατάσταση έκτακτης ανάγκης για Μαδρίτη, Ávila, Toledo άρθηκε 30/07/2026. Κατά 05/08 η πυρκαγιά σε φάση εκκαθάρισης εστιών (χαμηλότερος βαθμός συναγερμού). 63.152 εκτοπισμένοι συνολικά. Εκδηλώθηκε ~22/07/2026 (NASA). | Εκδήλωση: 2026-07-22 ~13:00. Σταθεροποιήθηκε 2026-08-06 (15η ημέρα) — περίμετρος 160 km, &amp;gt;50.000 ha. Μεγαλύτερη δασική πυρκαγιά στην ιστορία Ισπανίας. Αναμένεται &amp;gt;1 μήνας για πλήρη κατάσβεση. Εκκενώσεις χωριών, ανακηρύχθηκε εθνική έκτακτη ανάγκη (Ávila/Madrid/Toledo). | ⚠ pyr_postfix_eu 2026-09-23: εγγραφή της ίδιας πυρκαγιάς «es_burgohondo_avila_2026». Η καταγεγραμμένη τιμή ήταν 50000.0 ha. Φέρουσα εγγραφή: γραμμή 58.</t>
  </si>
  <si>
    <t xml:space="preserve">&amp;gt;135.000 ha καμένα· ενεργή κατά το παρακολουθούμενο διάστημα | ⚠ pyr_postfix_eu 2026-09-23: εγγραφή της ίδιας πυρκαγιάς «es_burgohondo_avila_2026». Η καταγεγραμμένη τιμή ήταν 135000.0 ha. Η τιμή αυτή είναι ασύμβατη με την τελική έκταση του συμβάντος και δεν επιβεβαιώνεται από άλλη εγγραφή. Φέρουσα εγγραφή: γραμμή 58.</t>
  </si>
  <si>
    <t xml:space="preserve">~100 χλμ. βόρεια της Μαδρίτης· ενεργή στις 19/07/2026 με δυσχέρειες στον έλεγχο· μέρος της ίδιας περιφερειακής έκτακτης ανάγκης με Zaragoza | Ενεργή ακόμα στις 2026-07-23. Δεύτερη μεγαλύτερη πυρκαγιά στην ιστορία της Ισπανίας. Μεγαλύτερη πυρκαγιά στην ιστορία Καστίλης-Λα Μάντσα. Περίμετρος &amp;gt;120 km. 34 κοινότητες εκκενώθηκαν, 1.200+ εκτοπισμένοι. Δευτερεύον μέτωπο στη Selas. | ⚠ pyr_postfix_eu 2026-09-23: φέρουσα εγγραφή του συμβάντος «es_sierra_norte_guadalajara_2026». Sierra Norte de Guadalajara (La Mierla), έναρξη 16/07. Οι σημειώσεις δύο εγγραφών δηλώνουν ρητά «Ίδια πυρκαγιά με Sierra Norte de Guadalajara». Η τιμή 32.000 ha είναι εκτίμηση της 23/07 και επαναλαμβάνεται σε έξι εγγραφές. Οι γραμμές 128, 133, 134, 135 είναι εγγραφές της ίδιας πυρκαγιάς και δεν προσμετρώνται.</t>
  </si>
  <si>
    <t xml:space="preserve">Μία από τις μεγαλύτερες πυρκαγιές στη σύγχρονη ιστορία Ισπανίας. Ξεκίνησε ~15-16/7, για 6η μέρα της στις 21/7 (εντός παραθύρου 3 ημερών). Κάηκαν &amp;gt;32.000 εκτάρια (22/7 ενημέρωση). Άνω από 1.200 άτομα εκκενώθηκαν. Θερμ. άνω 40°C. Παράλληλα στη Γαλλία (Gironde) σκοτώθηκαν 2 πυροσβέστες (21/7, ανεπαρκή στοιχεία για ξεχωριστή εγγραφή). | Έκτη ημέρα κατάσβεσης στις 21/7/2026. Πάνω από 600 πυροσβέστες και στρατιωτικοί, 29 αεροσκάφη. Στις 21/7 είχαν καεί ~29.000 εκτάρια πριν φτάσει η πυρκαγιά τα 32.000 ha. Χαρακτηρίστηκε «μία από τις μεγαλύτερες στη σύγχρονη ιστορία» από το ΥΠΕΝ Ισπανίας. | Γνωστή ως πυρκαγιά «La Mierla» – ξεκίνησε 16/7 στο Sierra Norte Natural Park. Η 2η μεγαλύτερη στην Ισπανία τον 21ο αιώνα. Εκκενώθηκαν 34 χωριά. Σταθεροποιήθηκε 23/7 αλλά δεν κατασβέστηκε πλήρως. | Σταθεροποιήθηκε Πέμπτη 23 Ιουλίου 2026 (Al Jazeera / Wikipedia). 2η μεγαλύτερη πυρκαγιά Ισπανίας 21ου αιώνα και ιστορικά μεγαλύτερη στην Καστίλη-Λα Μάντσα. Δεν αναφέρεται αιτία. | Σταθεροποιήθηκε 23/7/2026. Εκτοπισμένοι επέστρεψαν στις 29/7/2026. Δεύτερη μεγαλύτερη πυρκαγιά στην Ισπανία τα τελευταία 100 χρόνια· μεγαλύτερη ιστορικά στη Καστίλη-Λα Μάντσα. Ευρωπαϊκή ενίσχυση μέσω ERCC: 6 εναέρια μέσα (Ελλάδα, Ιταλία, Τουρκία), 134 πυροσβέστες + 41 οχήματα από Πορτογαλία. | ⚠ pyr_postfix_eu 2026-09-23: εγγραφή της ίδιας πυρκαγιάς «es_sierra_norte_guadalajara_2026». Η καταγεγραμμένη τιμή ήταν 32000.0 ha. Φέρουσα εγγραφή: γραμμή 132.</t>
  </si>
  <si>
    <t xml:space="preserve">Φυσικό Πάρκο Sierra Norte, ~100 χλμ βόρεια Μαδρίτης. Έναρξη 16/07/2026, ενεργή 19/07. &amp;gt;13.000 εκτ. Δύσκολη κατάσβεση. | ~100 χλμ. βόρεια Μαδρίτης, Φυσικό Πάρκο Sierra Norte. Ενεργή στις 19/7/2026, δύσκολη στον έλεγχο. &amp;gt;13.000 εκτάρια (πηγή Euractiv) / ~12.000 εκτάρια (πηγή SKAI/120.000 στρέμματα). | Φυσικό Πάρκο Sierra Norte, ~100 km βόρεια Μαδρίτης. &amp;gt;13.000 ha. Ενεργή 19/07, δύσκολη στον έλεγχο. | Ενεργή στις 19/7/2026· &amp;gt;13.000 εκτάρια· δύσκολη στον έλεγχο | Ενεργή στις 19/7· Φυσικό Πάρκο Sierra Norte ~100 km βόρεια Μαδρίτης· δύσκολη στον έλεγχο | Μεγαλύτερη πυρκαγιά στην ιστορία Καστίλης-Λα Μάντσα· κάηκε &amp;gt;90% Φυσικού Πάρκου Sierra Norte. Εκκενώθηκαν ~1.200 κάτοικοι από 34 δήμους. Δυνάμεις: UME + περιφερειακοί πυροσβέστες + δασοπυροσβέστες + &amp;gt;20 εναέρια. Γνωστή και ως πυρκαγιά La Mierla. Έκταση 32.000 ha εκτίμηση ημ. 23/07/2026. | ⚠ pyr_postfix_eu 2026-09-23: εγγραφή της ίδιας πυρκαγιάς «es_sierra_norte_guadalajara_2026». Η καταγεγραμμένη τιμή ήταν 32000.0 ha. Φέρουσα εγγραφή: γραμμή 132.</t>
  </si>
  <si>
    <t xml:space="preserve">Ενεργή στις 19/7. ~100 km βόρεια Μαδρίτης. Δύσκολος έλεγχος. Έκταση &amp;gt;13.000 ha. | Ίδια πυρκαγιά με Sierra Norte de Guadalajara (La Mierla). Μεγαλύτερη στην ιστορία Καστίλης-Λα Μάντσα· κάηκε &amp;gt;90% Φυσικού Πάρκου. Εκκενώθηκαν ~1.200 κάτοικοι από 34 δήμους. UME + &amp;gt;20 εναέρια. Έκταση 32.000 ha εκτίμηση ημ. 23/07/2026. | ⚠ pyr_postfix_eu 2026-09-23: εγγραφή της ίδιας πυρκαγιάς «es_sierra_norte_guadalajara_2026». Η καταγεγραμμένη τιμή ήταν 32000.0 ha. Φέρουσα εγγραφή: γραμμή 132.</t>
  </si>
  <si>
    <t xml:space="preserve">~100 χλμ βόρεια Μαδρίτης. Ενεργή και δύσκολη στον έλεγχο στις 19/7/2026. Μέρος περιφερειακής έκτακτης ανάγκης Αραγόν/Καστίλης. | Ίδια πυρκαγιά με Sierra Norte de Guadalajara (La Mierla). Κάηκε &amp;gt;90% Φυσικού Πάρκου Sierra Norte. Εκκενώθηκαν ~1.200 κάτοικοι από 34 δήμους. UME + &amp;gt;20 εναέρια. Έκταση 32.000 ha εκτίμηση ημ. 23/07/2026. | ⚠ pyr_postfix_eu 2026-09-23: εγγραφή της ίδιας πυρκαγιάς «es_sierra_norte_guadalajara_2026». Η καταγεγραμμένη τιμή ήταν 32000.0 ha. Φέρουσα εγγραφή: γραμμή 132.</t>
  </si>
  <si>
    <t xml:space="preserve">Έναρξη 6 Αυγούστου 2026. Καμένα ~4.000 ha στις 8 Αυγ (αυξήθηκαν σε ~8.000 ha ως 9 Αυγ). Εκκένωση ~400-467 ατόμων από Berrocal, El Membrillo, El Pozuelo, Marigenta. Συνεχείς μεταβολές ανέμου δυσχέραναν επιχειρήσεις. Ισπανία-ΕΕ. | Μία εκ των πλέον καταστροφικών πυρκαγιών Ανδαλουσίας 21ου αι.· εκδηλώθηκε 6/8/2026 στο Paraje de Raboconejo· η τιμή 8.000 ha αφορά κατάσταση ~10/8/2026 (αρχική 4.000 ha)· δεν είχε τεθεί υπό έλεγχο έως 11/8/2026. | Πυρκαγιά ξεκίνησε 2026-08-06, Raboconejo, βόρεια Niebla. Copernicus 09/08: 6.456,7 ha. Τελική έκταση 31.000 ha (13/08, ασθενέστερη). 718 εκκενωθέντες συνολικά. Αιτία: δεν επιβεβαιώθηκε. | Στιγμιότυπο 8/8: ~8.000 ha. Πυρκαγιά εκκίνησε 6/8/2026 (Raboconejo, Niebla, Huelva) και επεκτάθηκε σε &amp;gt;38.000 ha έως 14/8/2026 παραμένοντας ενεργή (INFOCA ΕΚ2). | Εισήλθε σε capacidad de extinción στις 14/8/2026. Στις 15/8 08:30 CEST ακόμη ενεργό σε ανατολικό τομέα (Status Operacional 2). Αρχική εκτίμηση 8.000 ha (8/8) — έκταση εξελίχθηκε σε 31.000 ha (13/8). Επιχειρησιακή εκτίμηση επηρεαζόμενης έκτασης &amp;gt;38.000 ha· τελικά καμένη αναμένεται χαμηλότερη. Δυνάμεις 14/8: 875 προσωπικό, 33 εναέρια, 352 οχήματα. Αιτία: άγνωστη. | Πυρκαγιά εκδηλώθηκε 06/08. Στις 13/08 καμένη έκταση ~31.000 ha (681 εκτοπισμένοι). Στις 16/08 παρέμενε σε Situación Operativa 2 με ενεργό ανατολικό μέτωπο. Αιτία δεν έχει επίσημα ανακοινωθεί. | Ίδια πυρκαγιά με εγγραφή 2026-08-09 Nieblá-Huelva (snapshot διαφορετικής ημέρας). Σταθεροποιήθηκε 16/8 ώρα 10:30· σε φάση εκκαθάρισης/παρακολούθησης ανά 17/8. Τελική καμένη έκταση χαμηλότερη των 31.000 ha (περίμετρος) κατά Junta. Αιτία δεν έχει δημοσιοποιηθεί. | ⚠ pyr_postfix_eu 2026-09-23: φέρουσα εγγραφή του συμβάντος «es_niebla_huelva_2026». Niebla, επαρχία Huelva, έναρξη 06-07/08. Οι σημειώσεις δίνουν την εξέλιξη ~4.000 ha (08/08) → ~8.000 ha (09/08) → 20.784 ha (10/08, δορυφορική αποτύπωση). Υιοθετείται η δορυφορική τιμή ως τελική. Οι γραμμές 43, 47, 49, 53 είναι εγγραφές της ίδιας πυρκαγιάς και δεν προσμετρώνται.</t>
  </si>
  <si>
    <t xml:space="preserve">Ισπανία, επαρχία Huelva. 474 εκκενωθέντες. 12 εκσκαφείς. 205 εξοπλισμός παντός τύπου. Yutori Scout 9/8 ανέφερε 40.000 ha για ευρύτερο σύμπλεγμα Ουέλβα. | Πυρκαγιά παρέμεινε ενεργή. Συνολική έκταση ~25.000 ha έως 11/08. Επεκτάθηκε στην επαρχία Σεβίλλης. UME κινητοποιήθηκε. | Στις 2026-08-13 09:15 CEST τεχνική ανάλυση (UME/τεχνικές πηγές) εκτιμά &amp;gt;31.000 ha καμένα, περίμετρος ~120 km· ~700 επαγγελματίες (350+ ΜΕΑ)· Κατάσταση 2 INFOCA· αναμένεται παρατεταμένη επιχείρηση λόγω απουσίας βελτίωσης καιρού· ~718 κάτοικοι εκκενωμένοι. | Εξελισσόμενη έκταση: ~8.000 ha (πρώιμο Aug 10) → &amp;gt;20.000 ha (αργότερα Aug 10) → 31.000+ ha (Aug 13). Ενεργή 14/8, επεκτείνεται προς Aznalcóllar (Σεβίλλη). Ρυθμός επιβράδυνσης: −12.000→−6.000→−3.000 ha/24h. | Πυρκαγιά εκδηλώθηκε 2026-08-06 στην περιοχή Raboconejo (Niebla). Στις 2026-08-15 για πρώτη φορά δεν σημειώθηκε νυχτερινή εξάπλωση σε κανένα μέτωπο· οι αρχές της Ανδαλουσίας μίλησαν για «αρχή του τέλους» της έκτακτης ανάγκης. Διαφυγούσα έκταση &amp;gt;38.000 ha (η πραγματική καμένη επιφάνεια εκτιμάται χαμηλότερη). 546 κάτοικοι παραμένουν σε προληπτική εκκένωση — 268 εξουσιοδοτήθηκαν να επιστρέψουν. Δυνάμεις αιχμής (2026-08-15): 1.116 επίγεια στελέχη, 337 οχήματα, 33 αεροσκάφη. Αναμένονταν ριπές ανέμου ~40 km/h απόγευμα 2026-08-16 — διατηρήθηκε μέγιστη επιφυλακή. | Σταθεροποιήθηκε στις 16/08 10:30 μετά από 36 ώρες χωρίς νέες εστίες σε περίμετρο ~210 χλμ. Δυνάμεις στη σταθεροποίηση: 875 πυροσβέστες, 33 εναέρια, 352 μηχανικά μέσα. Η UME άρχισε αποχώρηση. Δεν εκδόθηκε επίσημη ανακοίνωση «controlado» έως 08:10 17/08. Πλήρης κατάσβεση αναμένεται σε αρκετές εβδομάδες. | 15/08/2026: πρώτη νύχτα χωρίς εξέλιξη σε κανένα μέτωπο — σημείο καμπής. 114 κάτοικοι επέστρεψαν στα σπίτια τους (+ 60 προηγουμένως). Ακριβής ώρα ελέγχου/κατάσβεσης δεν επιβεβαιώθηκε. | ⚠ pyr_postfix_eu 2026-09-23: εγγραφή της ίδιας πυρκαγιάς «es_niebla_huelva_2026». Η καταγεγραμμένη τιμή ήταν 38000.0 ha. Η τιμή αυτή είναι ασύμβατη με την τελική έκταση του συμβάντος και δεν επιβεβαιώνεται από άλλη εγγραφή. Φέρουσα εγγραφή: γραμμή 50.</t>
  </si>
  <si>
    <t xml:space="preserve">&amp;gt;150 πυροσβέστες για σταθεροποίηση. Εκατοντάδες κάτοικοι απομακρύνθηκαν. Το εμβαδό 40.000 ha ενδέχεται να είναι σωρευτικό για την ευρύτερη ζώνη Ουέλβα (πολλαπλά μέτωπα). | Εκκίνηση 2026-08-06 στο Raboconejo, Niebla. Στις 2026-08-12 ακόμα ενεργή, ~25.000 ha επιβεβαιωμένα. Χαρακτηρίστηκε «fuera de capacidad de extinción». 681 άτομα εκκενώθηκαν. | Ξεκίνησε 2026-08-06, Raboconejo. Copernicus 09/08: 6.456,7 ha. Τελική έκταση (13/08): 31.000 ha, ασθενέστερη ισχύς. Αιτία: δεν επιβεβαιώθηκε. | Πυρκαγιά εκδηλώθηκε 6/8/2026 στην περιοχή Raboconejo βόρεια της Niebla. Παρέμεινε σε Επιχειρησιακή Κατάσταση 2 (INFOCA) έως 14/8/2026. Εκτιμώμενη καμένη έκταση &amp;gt;38.000 ha στις 14/8 (πραγματική επιφάνεια χαμηλότερη). Κυρίαρχο ενεργό μέτωπο: ανατολικός διάδρομος Aznalcóllar–El Álamo–El Castillo de las Guardas. Αιτία αδιευκρίνιστη. | Εισήλθε σε capacidad de extinción στις 14/8/2026. Στις 15/8 08:30 CEST ακόμη ενεργό σε ανατολικό τομέα (Status Operacional 2). Επιχειρησιακή εκτίμηση επηρεαζόμενης έκτασης &amp;gt;38.000 ha· τελικά καμένη αναμένεται χαμηλότερη. Δυνάμεις 14/8: 875 προσωπικό, 33 εναέρια, 352 οχήματα. Αιτία: άγνωστη. | Εκδήλωση 06/08 στο paraje Raboconejo, Niebla. Στις 16/08 08:35 CEST παρέμενε σε Situación Operativa 2 (φάση σταθεροποίησης· ενεργό μέτωπο στον ανατολικό τομέα). Λειτουργικό εκτιμώμενο εμβαδόν &amp;gt;38.000 ha· τελική πραγματικά καμένη έκταση αναμένεται σημαντικά μικρότερη. Αιτία δεν έχει επίσημα ανακοινωθεί. Ώρα πλήρους κατάσβεσης/ελέγχου δεν έχει καθοριστεί. | Εκδηλώθηκε 2026-08-06 (Raboconejo, Niebla)· σταθεροποιήθηκε 2026-08-16 10:30 (Επίπεδο 1)· ~38.000 ha διασχίστηκαν· αιτία αγνώστη | Ξεκίνησε 06/08/2026 στο Raboconejo, Niebla. Σταθεροποίηση 16/08/2026 (10 ημέρες). Εκκένωση ~800 κατοίκων. Ιστορική ξηρασία επιδείνωσε συνθήκες. Περίμετρος ~210 χλμ. | ⚠ pyr_postfix_eu 2026-09-23: εγγραφή της ίδιας πυρκαγιάς «es_niebla_huelva_2026». Η καταγεγραμμένη τιμή ήταν 40000.0 ha. Η τιμή αυτή είναι ασύμβατη με την τελική έκταση του συμβάντος και δεν επιβεβαιώνεται από άλλη εγγραφή. Φέρουσα εγγραφή: γραμμή 50.</t>
  </si>
  <si>
    <t xml:space="preserve">&amp;gt;40.000 ha· κάτοικοι εγκαταλείπουν σπίτια | Πραγματική έναρξη 6 Αυγ. 2026 στην περιοχή Raboconejo. Επίπεδο 2 έκτακτης ανάγκης (10 Αυγ.). ΜΜΕ-αρωγή: UME με 113 μέλη ενεργοποιήθηκε. Συνολικά 600 πυρ/στές (αρχική τιμή 150 ήταν ημέρα έναρξης καταγραφής). 467 άτομα σε εκκένωση. Πηγές 9-10 Αυγ. αναφέρουν 8.000–20.000 ha — το καταγεγραμμένο 40.000 ha πιθανόν από μεταγενέστερη/άλλη εκτίμηση. | Εκκίνηση 2026-08-06 στο Raboconejo, Niebla. Στις 2026-08-12 ακόμα ενεργή, ~25.000 ha επιβεβαιωμένα (έναντι 40.000 εκτιμώμενων). Χαρακτηρίστηκε «fuera de capacidad de extinción». 681 άτομα εκκενώθηκαν. | Ξεκίνησε 2026-08-06, Raboconejo. Copernicus 09/08: 6.456,7 ha. 31.000 ha (13/08). Αιτία: δεν επιβεβαιώθηκε. | Πυρκαγιά εκκίνησε 6/8/2026 στη Raboconejo (βόρεια Niebla). Εκτός ικανότητας κατάσβεσης από 10/8 λόγω συναγωγικής συμπεριφοράς (convective behavior). Στις 14/8 δεν θεωρείται πλέον εκτός ικανότητας αλλά παραμένει ενεργή (ΕΚ2). Εκτιμώμενη καμένη έκταση &amp;gt;38.000 ha (πραγματική χαμηλότερη). Αιτία αδιευκρίνιστη. | Εισήλθε σε capacidad de extinción στις 14/8/2026. Στις 15/8 08:30 CEST ακόμη ενεργό σε ανατολικό τομέα (Status Operacional 2). Επιχειρησιακή εκτίμηση επηρεαζόμενης έκτασης &amp;gt;38.000 ha· τελικά καμένη αναμένεται χαμηλότερη. Δυνάμεις 14/8: 875 προσωπικό, 33 εναέρια, 352 οχήματα. Αιτία: άγνωστη. | Εκδήλωση 06/08 στο Raboconejo. Στις 16/08 08:35 CEST παρέμενε σε Situación Operativa 2 (ενεργό ανατολικό μέτωπο, φάση σταθεροποίησης βόρεια/κεντρικά). Εκτιμώμενο λειτουργικό εμβαδόν &amp;gt;38.000 ha (τελική καμένη σημαντικά μικρότερη). Αιτία δεν έχει επίσημα ανακοινωθεί. | Σταθεροποιήθηκε (estabilizado) 16/8 ώρα 10:30· δεν κηρύχθηκε επίσημα «υπό έλεγχο» ανά 17/8 08:10 — σε φάση εκκαθάρισης/παρακολούθησης. Τεχνική ανάλυση Tecnobosque: ~38.000 ha εντός περιμέτρου 210 km· η Junta διευκρινίζει ότι η πραγματικά καμένη έκταση είναι χαμηλότερη. Αιτία δεν έχει δημοσιοποιηθεί. | Ξεκίνησε 06/08/2026 στο Raboconejo, Niebla. Σταθεροποίηση 16/08/2026 (10 ημέρες). Εκκένωση ~800 κατοίκων. Ακραία ξηρασία, άνεμοι NW, ραβδωτές χαράδρες. Δεν κηρύχθηκε 'ελεγχόμενη' ως 16/08. | ⚠ pyr_postfix_eu 2026-09-23: εγγραφή της ίδιας πυρκαγιάς «es_niebla_huelva_2026». Η καταγεγραμμένη τιμή ήταν 40000.0 ha. Η τιμή αυτή είναι ασύμβατη με την τελική έκταση του συμβάντος και δεν επιβεβαιώνεται από άλλη εγγραφή. Φέρουσα εγγραφή: γραμμή 50.</t>
  </si>
  <si>
    <t xml:space="preserve">Ξεκίνησε 07/08, άνεμοι 40-50 km/h. ~4.000 ha (08/08) → ~8.000 ha (09/08) → 20.784 ha (10/08 satellite). 467 εκκενωθέντες (283 από Berrocal). Κοντά σε UNESCO Doñana. Ανεπίσημη αρχική καμένη έκταση δεν έχει τεκμηριωθεί αμιγώς για 07/08. | Πυρκαγιά άρχισε 06/08/2026. Η μεγαλύτερη πυρκαγιά στη σύγχρονη ιστορία της Ισπανίας. Επεκτάθηκε στην επαρχία Σεβίλλης έως 11/08. ~800 εκτοπισμένοι. UME κινητοποιήθηκε. Παρέμεινε ενεργή έως τουλάχιστον 11/08/2026. | Τελευταία επιβεβαιωμένη έκταση (Aug 13): 31.000+ ha — ξεπέρασε την αρχική εκτίμηση 25.000 ha. Ενεργή στις 14/8, επεκτείνεται και σε τμήμα επαρχίας Σεβίλλης (Aznalcóllar). Αρχή πυρκαγιάς: 6 Αυγούστου 2026, παραχή Raboconejo, Niebla. ~718 εκκενωμένοι κάτοικοι (Huelva+Seville). | Πυρκαγιά ξεκίνησε 06/08 στην περιοχή Raboconejo. Εισήλθε σε δυνατότητα κατάσβεσης 14/08. Δεν εξελίχθηκε σε κανένα μέτωπο κατά τη νύχτα 14–15/08 (πρώτη φορά από έναρξης). Επέστρεψαν 114 εκκενωθέντες. Εξακολουθούν ενεργά hot spots ανατολικού τομέα (El Álamo–Aznalcóllar). Ανακεφαλαιωτικά δυνάμεις (15/08): 1.116 εφόδιμα, 337 επίγεια μέσα (incl. 21 autobomba + 18 βαριά μηχανήματα), 33 αεροσκάφη. Αιτία: υπό διερεύνηση (ύποπτο τσιγάρο – Guardia Civil/BIIF). Εισήλθε στην επαρχία Σεβίλης (Aznalcóllar). | ⚠ pyr_postfix_eu 2026-09-23: εγγραφή της ίδιας πυρκαγιάς «es_niebla_huelva_2026». Η καταγεγραμμένη τιμή ήταν 38000.0 ha. Η τιμή αυτή είναι ασύμβατη με την τελική έκταση του συμβάντος και δεν επιβεβαιώνεται από άλλη εγγραφή. Φέρουσα εγγραφή: γραμμή 50.</t>
  </si>
  <si>
    <t xml:space="preserve">Κοντά στο Orés, Zaragoza. Ενεργή στις 19/7/2026. Μέρος της ίδιας περιφερειακής έκτακτης ανάγκης της Αραγωνίας με το Guadalajara. | Κοντά στο Orés, Zaragoza. Ενεργή 19/7/2026. Μέρος ίδιας περιφερειακής έκτακτης ανάγκης με Guadalajara. | Κοντά στο Orés, ~15.400 ha. Ενεργή 19/07. Μέρος ίδιας περιφερειακής έκτακτης ανάγκης Αραγωνίας. | Σταθεροποίηση ανακοινώθηκε 2026-07-19 (αντιπρόεδρος Αραγωνίας Mar Vaquero). Εκκενώθηκαν 5 δήμοι: Orés, Asín, Malpica de Arba, Luesia, Uncastillo. Αιτία μη επιβεβαιωμένη. Περίμετρος 78 km. | ⚠ pyr_postfix_eu 2026-09-23: φέρουσα εγγραφή του συμβάντος «es_ores_zaragoza_2026». Orés, Ζαραγόζα, Αραγονία. Τρεις εγγραφές· οι σημειώσεις και των τριών δίνουν ~15.400 ha με περίμετρο ~60 km. Το 16.000 μιας εγγραφής είναι στρογγυλοποίηση της ίδιας τιμής κατά τη δική της σημείωση. Οι γραμμές 130, 164 είναι εγγραφές της ίδιας πυρκαγιάς και δεν προσμετρώνται.</t>
  </si>
  <si>
    <t xml:space="preserve">Κοντά στο Orés, Ζαραγόζα. ~15.400 εκτ. Μέρος της ίδιας περιφερειακής κατάστασης έκτακτης ανάγκης Αραγονίας. | Μεγαλύτερη πυρκαγιά 2026 στην Ισπανία· 15.400 ha, περίμετρος ~60 km. Άνω 450 πυροσβέστες + Στρατιωτική Μονάδα Εκτάκτων (UME) + εξειδικευμένα συνεργεία από άλλες περιοχές. Άνω 20 εναέρια μέσα. Εκκένωση 7 κοινοτήτων. Ισχυροί άνεμοι και χαμηλή υγρασία επιδείνωσαν την εξέλιξη. Ακόμα σε εξέλιξη 18–19/07/2026. | Μέρος ίδιας περιφερειακής έκτακτης ανάγκης με Sierra Norte. Ενεργή 19/7. ~15.400 ha. | Έκταση αυξήθηκε από 15.400→16.000 ha πριν σταματήσει η εξάπλωση (okdiario.com). The Local (20/07): 'remains active, even though it is now under control' — κάτοικοι Orés/Asín/Malpica de Arba/Luesia/Uncastillo επέστρεψαν στα σπίτια τους. Η ημ/νία βάσης 2026-07-19 πιθανόν αφορά ημ/νία αναφοράς, ενώ η έναρξη ήταν ~15-16/07. | Ενεργή στις 19/7/2026· μέρος ευρύτερης έκτακτης ανάγκης Αραγώνας· ~15.400 εκτάρια | Πυρκαγιά ξεκίνησε 15/07/2026. Βραδινά 19/07 η κυβέρνηση Αραγωνίας ανακοίνωσε προσωρινή σταθεροποίηση (~14.400 ha). Στη διάρκεια της νύχτας 19-20/07 επεκτάθηκε εκ νέου: &amp;gt;26.000 ha στις 20/07. Στις 20/07 ανέβηκε σε 655 πυροσβέστες, 33 αεροσκάφη, 33 ground crews. Μεγαλύτερη πυρκαγιά Ισπανίας 2026. | ⚠ pyr_postfix_eu 2026-09-23: εγγραφή της ίδιας πυρκαγιάς «es_ores_zaragoza_2026». Η καταγεγραμμένη τιμή ήταν 16000.0 ha. Φέρουσα εγγραφή: γραμμή 131.</t>
  </si>
  <si>
    <t xml:space="preserve">Ενεργή στις 19/07/2026· μέρος της ίδιας περιφερειακής έκτακτης ανάγκης Αραγονίας με Guadalajara· ημερομηνία έναρξης άγνωστη | ~15.400 εκτάρια. Ενεργή στις 19/7/2026. Μέρος της ίδιας περιφερειακής έκτακτης ανάγκης Αραγωνίας. Ημερομηνία έναρξης άγνωστη. | Ενεργή στις 19/7· μέρος της ίδιας περιφερειακής έκτακτης ανάγκης με Guadalajara | ⚠ pyr_postfix_eu 2026-09-23: εγγραφή της ίδιας πυρκαγιάς «es_ores_zaragoza_2026». Η καταγεγραμμένη τιμή ήταν 15400.0 ha. Φέρουσα εγγραφή: γραμμή 131.</t>
  </si>
  <si>
    <t xml:space="preserve">&amp;gt;6.000 εκτ. 5 ελαφρά τραύματα. | ⚠ pyr_postfix_eu 2026-09-23: φέρουσα εγγραφή του συμβάντος «pt_valpacos_2026». Valpaços, Trás-os-Montes. Τρεις πανομοιότυπες εγγραφές, &gt;6.000 ha, 5 τραυματίες. Οι γραμμές 90, 93 είναι εγγραφές της ίδιας πυρκαγιάς και δεν προσμετρώνται.</t>
  </si>
  <si>
    <t xml:space="preserve">&amp;gt;6.000 ha. 5 τραυματίες. | ⚠ pyr_postfix_eu 2026-09-23: εγγραφή της ίδιας πυρκαγιάς «pt_valpacos_2026». Η καταγεγραμμένη τιμή ήταν 6000.0 ha. Φέρουσα εγγραφή: γραμμή 89.</t>
  </si>
  <si>
    <t xml:space="preserve">&amp;gt;6.000 ha | ⚠ pyr_postfix_eu 2026-09-23: εγγραφή της ίδιας πυρκαγιάς «pt_valpacos_2026». Η καταγεγραμμένη τιμή ήταν 6000.0 ha. Φέρουσα εγγραφή: γραμμή 89.</t>
  </si>
  <si>
    <t xml:space="preserve">Εκδηλώθηκε 31/7, αναζωπύρωση 1–2/8 λόγω Μιστράλ. ~10 km² (1.000 ha) κάηκαν σε 6 ώρες. 1.300 πυροσβέστες. Ταυτόχρονα πυρκαγιά Gironde (42.000 ha) ήταν σχεδόν περιορισμένη με 2.500 εκτοπισμένους ακόμη στις 2/8. Ισπανία (Burgohondo/Ávila &amp;gt;135.000 ha, La Mierla/Guadalajara 32.000 ha, Orés/Zaragoza 4.450 ha) περιορισμένες. Σύνολο καμένα ΕΕ 2026: ~464.344 ha (EFFIS/Euronews, ενημέρωση 1-8-2026). | Πυρκαγιά με αφετηρία 21/7 στο Pontevès· ελέγχθηκε 28/7· αναζωπυρώθηκε 31/7 λόγω Μιστράλ· σταθεροποιήθηκε ('fixée') στις 7/8/2026 μετά από 18 ημέρες επιχειρήσεων. Τελική καμένη έκταση ~6.300 ha. Εμπρησμός: 23χρονος συνελήφθη βάσει πλάνων κλειστής κυκλοφορίας. | ⚠ pyr_postfix_eu 2026-09-23: φέρουσα εγγραφή του συμβάντος «fr_var_gros_bessillon_2026». Gros Bessillon (Montfort-sur-Argens, Carcès, Correns), Var. Εκδηλώθηκε 31/07, αναζωπύρωση 01-02/08 με Μιστράλ. Οι τιμές 1.000 και 1.800 ha είναι στιγμιότυπα της 02-03/08· η σημείωση της 04/08 δίνει τελική έκταση 5.700-6.300 ha. Οι γραμμές 56, 59, 60, 77 είναι εγγραφές της ίδιας πυρκαγιάς και δεν προσμετρώνται.</t>
  </si>
  <si>
    <t xml:space="preserve">Τεκμηριώθηκε από Yutori Scout email 4/8/2026 (περ. πυρκαγιές 3 Αυγ). ~18 τ.χλμ. = ~1.800 ha. 1.500 πυροσβέστες. Δεν είχε περιεχθεί στις 3/8. Η κατάσταση στις 5/8 συνάγεται από συνέχεια κρίσης. | Περίμετρος σταθεροποιήθηκε πρωί 2/8/2026 (Préfet du Var)· 4 Canadair + 2 Dash (σταθερής πτέρυγας) + 5 ελικόπτερα· εκκενώσεις αρθείσαν 2/8/2026· επιχειρήσεις σε θερμά σημεία συνεχίστηκαν. | Επέκταση πυρκαγιάς σταμάτησε το πρωί Κυριακής 2/8/2026. Πυρκαγιά παρέμεινε ενεργή με εστίες χωρίς νέα επέκταση περιμέτρου κατά τη δήλωση νομάρχη. Εναέρια: 4 Canadair + 2 Dash αεροσκάφη + 5 ελικόπτερα. Εκκενώθηκαν ~400 κάτοικοι από Cotignac, Montfort-sur-Argens, Correns, Sillans-la-Cascade, Pontevès. Διοικητής E. Grohin: «καμία μεταβολή στην περίμετρο». | ⚠ pyr_postfix_eu 2026-09-23: εγγραφή της ίδιας πυρκαγιάς «fr_var_gros_bessillon_2026». Η καταγεγραμμένη τιμή ήταν 1800.0 ha. Φέρουσα εγγραφή: γραμμή 63.</t>
  </si>
  <si>
    <t xml:space="preserve">~6.000 εκκενωθέντες. 41 κτίρια κατεστραμμένα. 3.800 εναέριες ρίψεις νερού. Σύνολο δυνάμεων: 4.250 πυρ. Var + 6.870 ενισχύσεις + 100 Ευρωπαίοι + 200 χωρ. + 335 στρατ. μηχ. Τελική έκταση 5.700–6.300 εκτ. Μεγαλύτερη 6ήμερη πυρκαγιά στην ιστορία πυρ. Var. | Η πυρκαγιά κηρύχθηκε 'fixé' (σταθεροποιημένη) την 7η Αυγούστου 2026 μετά 18 ημέρες κινητοποίησης. Κατά τη φάση σταθεροποίησης παρέμεναν 450 πυροσβέστες επί τόπου για αποτροπή αναζωπυρώσεων. Εκκενώθηκαν ~6.000 κάτοικοι συνολικά. Επλήγησαν 70 κατοικίες, εκ των οποίων 41 κατεστράφησαν ολοσχερώς. Δήμοι που επλήγησαν: Pontevès, Correns, Cotignac, Carcès, Montfort-sur-Argens, Châteauvert, Barjols. | Έναρξη πυρκαγιάς: 21 Ιουλίου 2026 (Pontèves, Var). Κηρύχθηκε «fixé» (οριοθετήθηκε) στις 7 Αυγούστου μετά 18 ημέρες κινητοποίησης. Τελική καμένη έκταση Copernicus/pompiers: 6.300 ha (αρχικά εκτιμηθέντα 5.700 ha). Η κοινότητα Correns επλήγη με 52% της έκτασής της καμένη. 23χρονος κατηγορείται για εμπρησμό/επιδείνωση. Πλήρης κατάσβεση αναμενόταν αρκετές ημέρες μετά την οριοθέτηση. | ⚠ pyr_postfix_eu 2026-09-23: εγγραφή της ίδιας πυρκαγιάς «fr_var_gros_bessillon_2026». Η καταγεγραμμένη τιμή ήταν 6300.0 ha. Φέρουσα εγγραφή: γραμμή 63.</t>
  </si>
  <si>
    <t xml:space="preserve">18 τ.χλμ. καμένα· 1.500 πυροσβέστες | 6 εναέρια (4 Canadair + 2 Dash-8) + 5 ελικόπτερα + πυροσβεστική μονάδα Παρισιού. 2.500 εκκενωθέντες. Εξάπλωση σταμάτησε 2 Αυγ. πρωί — περίμετρος αμετάβλητη. Περιοχή Gros Bessillon (Montfort-sur-Argens, Carcès, Correns). Αιτία αδιευκρίνιστη. Κακή χρονιά για Γαλλία: &amp;gt;117.000 ha καμένα εθνικά το 2026. | ⚠ pyr_postfix_eu 2026-09-23: εγγραφή της ίδιας πυρκαγιάς «fr_var_gros_bessillon_2026». Η καταγεγραμμένη τιμή ήταν 1800.0 ha. Φέρουσα εγγραφή: γραμμή 63.</t>
  </si>
  <si>
    <t xml:space="preserve">1.300 πυροσβέστες επιχειρούσαν | ⚠ pyr_postfix_eu 2026-09-23: εγγραφή της ίδιας πυρκαγιάς «fr_var_gros_bessillon_2026». Η καταγεγραμμένη τιμή ήταν None ha. Φέρουσα εγγραφή: γραμμή 63.</t>
  </si>
  <si>
    <t xml:space="preserve">Εκκένωση 10.000 ατόμων. 2 τραυματίες. Αεροσκάφη rescEU από Κύπρο και Σουηδία. Στοιχεία έως 8/7 10:00 τοπική. Επηρέασε ισπανικό έδαφος κοντά στα σύνορα. | Εκκένωση &amp;gt;10.000 ατόμων. 2 τραυματίες. Αεροσκάφη rescEU από Κύπρο και Σουηδία. Κοντά στα ισπανικά σύνορα. Ενεργή στις 08/07 (10:00 τοπ./11:00 EEST). | Εκκένωση ~10.000 ατόμων. 2 τραυματίες. ΕΕ ανέπτυξε αεροσκάφη rescEU από Κύπρο και Σουηδία. Επηρέασε ισπανικό έδαφος. Στοιχεία ενημερωμένα ως 08/07 (4.900 ha, 750 πυροσβέστες). | Εκκένωση &amp;gt;10.000 ατόμων. 2 τραυματίες. Επηρεάζει ισπανική επικράτεια. rescEU αεροσκάφη ΕΕ από Κύπρο και Σουηδία. Στοιχεία 4.900 ha από ενημέρωση 8/7. | 10.000+ εκκενώσεις. 2 τραυματίες. rescEU αεροσκάφη από Κύπρο και Σουηδία. 4.900 ha καμένα ως 8/7 10:00 τοπική. Επηρεάζει ισπανικό έδαφος (La Junquera). Δεν έχει πλήρως περιοριστεί ως 8/7 11:00 EEST. | Η πυρκαγιά ξεκίνησε 04/07/2026 19:31 (Tarerach/Trévillach). Επίσημα οριοθετήθηκε (fixée) 11/07/2026 18:30 — Point de situation n°18. Τελικό προσωπικό: 860. Εκκένωση ~12.000 κατοίκων από 26 κοινότητες. Τελική έκταση ~4.900 ha. | ⚠ pyr_postfix_eu 2026-09-23: φέρουσα εγγραφή του συμβάντος «fr_trevillach_2026». Trevillach, Pyrénées-Orientales. Τρεις εγγραφές· η τιμή 4.900 ha επαναλαμβάνεται σε δύο, ενώ η εγγραφή της 04/07 δηλώνει στη σημείωσή της «&gt;1.000 εκτάρια», δηλαδή είναι πρώιμο στιγμιότυπο. Οι γραμμές 139, 146 είναι εγγραφές της ίδιας πυρκαγιάς και δεν προσμετρώνται.</t>
  </si>
  <si>
    <t xml:space="preserve">Εκκένωση ~10.000 ατόμων. 2 τραυματίες. Ώρα ανακοίνωσης: 10:00 τοπική / 11:00 EEST. Μεγαλύτερη πυρκαγιά της ΕΕ στο πλαίσιο κύματος θερμότητας Νότιας Ευρώπης. | Ώρα 10:00 τοπική (11:00 EEST). Εκκένωση 10.000 ατόμων. 2 τραυματίες. Δεν είχε πλήρως περιοριστεί στις 8/7. | Εκκένωση ~10.000 ατόμων. 2 τραυματίες. Ώρα ενημέρωσης 10:00 τοπική (11:00 EEST) 8 Ιουλίου 2026. Μέρος ευρύτερης κρίσης νότιας Ευρώπης: &amp;gt;20.000 ha καμένα συνολικά. | Επίσημα οριοθετήθηκε (fixée) 11/07/2026 18:30 — Point de situation n°18. Πυρκαγιά ξεκίνησε 04/07/2026 19:31 (Tarerach/Trévillach). Τελικό προσωπικό 860 πυροσβέστες (29 διαμερίσματα + ευρωπαϊκές μονάδες). Τελική έκταση ~4.900 ha. Εκκένωση ~12.000 κατοίκων 26 κοινοτήτων. | ⚠ pyr_postfix_eu 2026-09-23: εγγραφή της ίδιας πυρκαγιάς «fr_trevillach_2026». Η καταγεγραμμένη τιμή ήταν 4900.0 ha. Φέρουσα εγγραφή: γραμμή 144.</t>
  </si>
  <si>
    <t xml:space="preserve">Άνοιγμα καταφυγίων. Επιβεβαίωση πρόωρης έναρξης εποχής πυρκαγιών. Ώρα εκδήλωσης ~22:30 EEST. Ταυτόχρονα με τη φωτιά Drôme (~300 πυρ.). | &amp;gt;1.000 εκτάρια. ~600 πυροσβέστες. Επιβεβαίωση πρόωρης έναρξης πυρκαγικής περιόδου. Άνοιγμα καταφυγίων. | &amp;gt;1.000 εκτάρια. Άνοιγμα καταφυγίων. Επιβεβαίωση πρόωρης έναρξης αντιπυρικής περιόδου 2026. Ενεργοποίηση Ευρωπαϊκού Μηχανισμού Πολιτικής Προστασίας. | &amp;gt;1.000 εκτάρια (ελάχιστο). &amp;gt;10.000 εκκενωθέντες. ΕΕ ανέπτυξε 4 υδροβόμβες (Κύπρος + Σουηδία) μέσω ERCC. Πλήττει και ισπανικό έδαφος. Ώρα έναρξης κατά προσέγγιση. | Έναρξη ~22:30 EEST 4/7. Εκκένωση &amp;gt;10.000 κατοίκων. ΕΕ ανέπτυξε 4 waterbombers (Κύπρος &amp;amp; Σουηδία). Επέδρασε και σε ισπανικό έδαφος. | Μεγαλύτερη πυρκαγιά Pyrénées-Orientales τα τελευταία 50 χρόνια. Κορύφωση: 860 πυροσβέστες, 7 Canadair + 6 air-tractors + 4 ελικόπτερα. Ενισχύσεις από 29 γαλλικά τμήματα + Κύπρος, Σουηδία, Ισπανία. Εκκενώθηκαν έως 26 κοινότητες. Έναρξη: 04/07 19:31. | ⚠ pyr_postfix_eu 2026-09-23: εγγραφή της ίδιας πυρκαγιάς «fr_trevillach_2026». Η καταγεγραμμένη τιμή ήταν 5000.0 ha. Φέρουσα εγγραφή: γραμμή 144.</t>
  </si>
  <si>
    <t xml:space="preserve">Πάνω από 2.000 εκτάρια. Εκκένωση δύο κατασκηνώσεων. Φωτιά διαδιδόταν κατά την αναφορά. | Εκκένωση δύο κατασκηνώσεων. &amp;gt;2.000 ha καμένα. Πυρκαγιά ενεργή και διαδιδόμενη. | Εκκένωση 2 κατασκηνώσεων. Ελάχιστη καμένη έκταση &amp;gt;2.000 εκτάρια, εξαπλωνόταν κατά 08/07. | Εκκένωση 2 κατασκηνώσεων. Καμένη έκταση &amp;gt;2.000 εκτάρια. | &amp;gt;2.000 εκτάρια. Εκκένωση 2 κατασκηνώσεων. Πυρκαγιά ενεργή και εξαπλωνόταν ως 8/7 απόγευμα. | Έκταση &amp;gt;2.000 ha (ελάχιστο). Εκκενώθηκαν 2 κατασκηνώσεις. Φωτιά σε εξέλιξη και εξαπλωνόταν ενεργά. | &amp;gt;2.000 εκτάρια, εκκένωση 2 κατασκηνώσεων. Συνεχιζόταν εξάπλωση στις 8/7. burned_area_ha = ελάχιστο τεκμηριωμένο. | Εκκένωση 2 κατασκηνώσεων. &amp;gt;2.000 εκτάρια κατά τη στιγμή αναφοράς 8 Ιουλίου 2026. Ώρα ενημέρωσης: δεν αναφέρεται. | Φωτιά ξεκίνησε νύχτα 2-3 Ιουλίου στο μάζα Justin, ύψη Die. Μεγαλύτερη πυρκαγιά Drôme εδώ και 30 χρόνια. Τελική έκταση &amp;gt;4.000 ha (ενδιάμεσο 9/7: &amp;gt;3.000 ha). Feux fixés (οριοθετημένα). | Τελική έκταση: 4.400 ha parcourus (εκ των οποίων ~2.700 ha πλήρως καμένα). Η πυρκαγιά εκδηλώθηκε ~2-3 Ιουλίου 2026 (feuxdeforet.fr: die-02-07-2026) και «fixé» (οριοθετήθηκε) μετά από περίπου 15 ημέρες μάχης (~17-18 Ιουλίου). Μεγαλύτερη πυρκαγιά στη Drôme εδώ και 30 χρόνια. | ⚠ pyr_postfix_eu 2026-09-23: φέρουσα εγγραφή του συμβάντος «fr_drome_2026». Πυρκαγιά Drôme, ταυτόχρονη με Trevillach. Δύο εγγραφές της ίδιας πυρκαγιάς σε διαφορετικά στάδια. Υιοθετείται η μέγιστη τεκμηριωμένη τιμή· και οι δύο σημειώσεις δίνουν μικρότερα κατώτατα όρια, οπότε η τιμή παραμένει προς έλεγχο. Οι γραμμές 148 είναι εγγραφές της ίδιας πυρκαγιάς και δεν προσμετρώνται.</t>
  </si>
  <si>
    <t xml:space="preserve">Δεύτερο μεγάλο μέτωπο στη Γαλλία. Ταυτόχρονα με Trevillach. | Δεύτερη ταυτόχρονη μεγάλη πυρκαγιά στο τμήμα Drôme. ~300 πυροσβέστες. | Δεύτερη ενεργή εστία Γαλλίας. ~300 πυροσβέστες. Ταυτόχρονη ανάπτυξη με Trevillach. | Δεύτερη μεγάλη εστία Γαλλίας — ~300 πυροσβέστες. Δεν αναφέρεται ακριβής τοποθεσία εντός Drôme. | Δεύτερη μεγάλη γαλλική πυρκαγιά (παράλληλη με Trevillach). Άνοιγμα καταφυγίων. | Πυρκαγιά εκδηλώθηκε νύχτα 2-3 Ιουλίου κοντά στη Die (Diois, Drôme) από κεραυνό. Μεγαλύτερη πυρκαγιά Drôme σε 30 χρόνια. Στις 9/7: &amp;gt;3.000 ha και 480 πυροσβέστες/στρατιωτικοί. Τελική εκτίμηση &amp;gt;4.000 ha καμένης δασικής έκτασης. | ⚠ pyr_postfix_eu 2026-09-23: εγγραφή της ίδιας πυρκαγιάς «fr_drome_2026». Η καταγεγραμμένη τιμή ήταν 3000.0 ha. Φέρουσα εγγραφή: γραμμή 142.</t>
  </si>
  <si>
    <t xml:space="preserve">Σταθεροποίηση 5/7. Μία από τις 14 μεγάλες πυρκαγιές (&amp;gt;500 εκτ.) στην Ισπανία το 2026 (σύνολο ~50.000 εκτ.). | Σταθεροποίηση 5/7. Μία από τις 14 μεγάλες πυρκαγιές (&amp;gt;500 ha) του 2026 στην Ισπανία. Συνολικά ~50.000 ha καμένα στην Ισπανία το 2026. | &amp;gt;2.200 εκτάρια. Σταθεροποίηση 5/7. Costa Brava, Girona. Στις 6/7 αναφέρονται και άλλες ενεργές εστίες στην Catalonia και Castellón. | ⚠ pyr_postfix_eu 2026-09-23: φέρουσα εγγραφή του συμβάντος «es_bisbal_emporda_2026». La Bisbal d'Empordà, Girona, Costa Brava. Σταθεροποίηση 05/07. Τρεις εγγραφές, &gt;2.200 ha. Οι γραμμές 143, 145 είναι εγγραφές της ίδιας πυρκαγιάς και δεν προσμετρώνται.</t>
  </si>
  <si>
    <t xml:space="preserve">Μέρος ευρύτερης κρίσης πυρκαγιών Καταλωνίας-Castellón 6/7/2026. Περιοχή Costa Brava. | Πυρκαγιά στην Costa Brava (La Bisbal d'Empordà). Ταυτόχρονα ενεργές φωτιές σε Castellón. Trevillach blaze Γαλλίας επηρέασε ισπανικό έδαφος. | ⚠ pyr_postfix_eu 2026-09-23: εγγραφή της ίδιας πυρκαγιάς «es_bisbal_emporda_2026». Η καταγεγραμμένη τιμή ήταν None ha. Φέρουσα εγγραφή: γραμμή 149.</t>
  </si>
  <si>
    <t xml:space="preserve">&amp;gt;2.200 εκτάρια. Σταθεροποίηση 05/07/2026. Ισπανία: ~50.000 εκτάρια συνολικά το 2026, 14 μεγάλες πυρκαγιές &amp;gt;500 ha. | Σταθεροποίηση 5/7. Μέρος ευρύτερης κρίσης Ισπανίας 2026: 14 μεγάλες πυρκαγιές (&amp;gt;500 εκτ.), ~50.000 εκτ. συνολικά. | ⚠ pyr_postfix_eu 2026-09-23: εγγραφή της ίδιας πυρκαγιάς «es_bisbal_emporda_2026». Η καταγεγραμμένη τιμή ήταν 2200.0 ha. Φέρουσα εγγραφή: γραμμή 149.</t>
  </si>
  <si>
    <t xml:space="preserve">Ενεργή 12–14/7/2026. &amp;gt;1.300 εκτάρια. Περίπου 60χλμ νοτιοανατολικά Παρισιού. Κατάσβεση συνεχιζόταν στις 14/07. | Δύο ξεχωριστά μέτωπα στο ίδιο δάσος: 1η πυρκαγιά ξεκίνησε 12/7 (Κυριακή) ~1.600 εκτ. · 2η ξεκίνησε 13/7 (Δευτέρα) ~450 εκτ. · σύνολο &amp;gt;2.050 εκτ. Εκκενώθηκαν ~1.000 κάτοικοι. «Περιορισμένες αλλά όχι κατασβεσμένες» κατά τον νομάρχη (14/7). Canadair αεροσκάφη χρησιμοποιήθηκαν. Αποστολή αστυνομίας — ένας εκ των δύο συλληφθέντων αφέθηκε ελεύθερος. | Ενεργή 12–14/7/2026. Πάνω από 1.300 εκτάρια. Δάσος UNESCO ~60χλμ ΝΑ Παρισιού. Κατάσβεση σε εξέλιξη στις 14/7. | Δάσος Fontainebleau ~60 χλμ. ΝΑ Παρισίου. Έναρξη 12/7, ενεργή 13–14/7/2026. Κατάσβεση σε εξέλιξη στις 14/7 (ημερομηνία email). &amp;gt;1.300 εκτάρια καμένα. | Οριοθετήθηκε 14 Ιουλίου 2026 μετά από 48ωρη επιχείρηση. Εθελοντής πυροσβέστης παραδέχθηκε χρήση αναπτήρα+βενζίνης· δεύτερος ύποπτος πέταξε αναμμένο τσιγάρο. Σύνολο 6 συλλήψεις. Εναέρια μέσα: 3 Canadair, 1 Dash, 2 ελικόπτερα. | Ενεργή 12–14 Ιουλίου 2026, ~60 χλμ. ΝΑ Παρισιού. &amp;gt;1.300 εκτάρια καμένα. Κατάσβεση σε εξέλιξη στις 14/7. Δύο ύποπτοι για εμπρησμό συνελήφθησαν. | Έναρξη 12/07/2026· ενεργή 13–14/07. Yutori Scout (email 14/07): &amp;gt;1.300 ha καμένα, κατάσβεση σε εξέλιξη. Δύο ύποπτοι συνελήφθησαν για εμπρησμό. | Υπό έλεγχο μετά από ~48 ώρες κατάσβεσης (βράδυ Τρίτης 14/07/2026). Η 'υπό έλεγχο' κατάσταση σημαίνει ότι δεν προχωρεί αλλά δεν έχει κατασβεστεί· κίνδυνος 'zombie fires' (σβουρμένα κάρβουνα σε τύρφη). ~800-950 πυροσβέστες σε επιφυλακή. | Οριοθέτηση (containment) επιτεύχθηκε βραδινές ώρες 14/7/2026 (~48 ώρες μετά την έναρξη). Δεν είχε κατασβεστεί πλήρως έως 15/7 – εκτεταμένες εργασίες noyage (κατάσβεση υπόγειων ανθρακιών) λόγω τυρφώδους εδάφους. ~800 πυροσβέστες παρέμεναν αναπτυγμένοι. | Ορθή νομαρχία: Seine-et-Marne. Φωτιά ετέθη υπό έλεγχο μετά από ~48 ώρες μάχης (περ. 14/07/2026). Δεν είχε κατασβεσθεί πλήρως στις 15/07. | ⚠ pyr_postfix_eu 2026-09-23: φέρουσα εγγραφή του συμβάντος «fr_fontainebleau_2026». Δάσος Fontainebleau. Δύο μέτωπα στο ίδιο δάσος (12/07 ~1.600 ha, 13/07 ~450 ha), σύνολο &gt;2.050 ha κατά τη σημείωση. Δύο εγγραφές. Οι γραμμές 137 είναι εγγραφές της ίδιας πυρκαγιάς και δεν προσμετρώνται.</t>
  </si>
  <si>
    <t xml:space="preserve">Κατεγράφη χωρίς ενεργό μέτωπο το βράδυ Τρίτης 14/07 (~48ωρη επιχείρηση από 12/07). Δεν είχε κατασβεστεί πλήρως ως 15/07 λόγω υπόγειων εστιών τύρφης. 800 πυροσβέστες παρέμειναν σε επιφυλακή για επανεξάψεις. Εναέρια: 3 Canadair + 1 Dash (ρίψεις νερού) + 2 ελικόπτερα ρίψεων + 1 ελικόπτερο διοίκησης. | Υπό έλεγχο μετά από ~48 ώρες κατάσβεσης (βράδυ Τρίτης 14/07/2026). Η 'υπό έλεγχο' κατάσταση σημαίνει ότι δεν προχωρεί αλλά δεν έχει κατασβεστεί· κίνδυνος 'zombie fires'. ~800-950 πυροσβέστες σε επιφυλακή. | Οριοθέτηση (containment) επιτεύχθηκε βραδινές ώρες 14/7/2026 (~48 ώρες μετά την έναρξη). Δεν είχε κατασβεστεί πλήρως έως 15/7 – εκτεταμένες εργασίες noyage (κατάσβεση υπόγειων ανθρακιών) λόγω τυρφώδους εδάφους. ~800 πυροσβέστες παρέμεναν αναπτυγμένοι. | Φωτιά ετέθη υπό έλεγχο μετά από ~48 ώρες (περ. 14/07/2026). Στις 15/07 παρέμεναν ~800 πυροσβέστες σε ετοιμότητα· δεν είχε κατασβεσθεί πλήρως. Ύπαρξη εκ των υστέρων ανάλυσης France24 ('as the smoke clears') υποδηλώνει τελική κατάσβεση. | ⚠ pyr_postfix_eu 2026-09-23: εγγραφή της ίδιας πυρκαγιάς «fr_fontainebleau_2026». Η καταγεγραμμένη τιμή ήταν 2050.0 ha. Φέρουσα εγγραφή: γραμμή 136.</t>
  </si>
  <si>
    <t xml:space="preserve">Πυρκαγιά Monte Barone κοντά Biella. Στοιχεία περιορισμένα. | Μέτωπο 9 χλμ. Έκταση 1.000 ha αφορά κατάσταση στις 12/8/2026 (9η ημέρα). Άνω 120 ρίψεων νερού από εναέρια μέσα. Κίνδυνος για ορειβατικό καταφύγιο Monte Barone. Επιχειρήσεις από εδάφους και αέρος. | Η πυρκαγιά ξεκίνησε 3 Αυγούστου 2026 από κεραυνό σε υψηλό υψόμετρο (Coggiola, Biella). Έως την 9η ημέρα (12/8) εκτιμάται ~1.000 εκτάρια με μέτωπο 9 χλμ. Επιχειρούσαν Canadair (1) και περιφερειακό ελικόπτερο (~120 ρίψεις νερού) καθώς και ~25 εθελοντές δασοπυροσβέστες από Τορίνο και Νοβάρα. Απειλήθηκαν τα ορεινά καταφύγια Monte Barone και Ciota. Ανώμαλο ανάγλυφο και ξηρή βλάστηση δυσχέραιναν την κατάσβεση. Τελική κατάσταση μετά 12/8 δεν τεκμηριώθηκε. | Πυρκαγιά από 2026-08-03 (αστραπή). Ημ.9 (12/8): ~1.000 ha. Ημ.11 (14/8): &amp;gt;1.000 ha, εξακολουθεί. Ημ.14 (17/8): ακόμη σε εξέλιξη (newsbiella.it 17/8). Επίγειες ομάδες AIB Biella+Torino 37 εθελοντές + Πυροσβεστική. 2 Canadair + 1 ελικόπτερο. Βάση λογιστικής στήριξης Coggiola (130 γεύματα/ημέρα). | Παραμένει σε εξέλιξη 15 ημέρες μετά την έναρξη (2026-08-03). Εδαφολογικά δύσβατα σημεία χωρίς πεζή πρόσβαση. 58 ρίψεις νερού (ελικόπτερο + Canadair). Δεν εντοπίστηκε ώρα οριοθέτησης/κατάσβεσης. | Πυρκαγιά εκδηλώθηκε 2026-08-03 από αστραπή. Στις 2026-08-18 «το χειρότερο πέρασε» (newsbiella.it) αλλά δεν είχε πλήρως κατασβεστεί — εντοπίστηκε νέα εστία πίσω από το φράγμα Piancone. Επί τόπου 23 εθελοντές AIB, πυροσβέστες, 2 ομάδες Τορίνο, βυτιοφόρο Novara. Μέτωπο 9 χλμ. | ⚠ pyr_postfix_eu 2026-09-23: φέρουσα εγγραφή του συμβάντος «it_monte_barone_2026». Monte Barone / Coggiola, κοντά στη Biella, Πεδεμόντιο. Τέσσερις εγγραφές της ίδιας πυρκαγιάς με πανομοιότυπη σημείωση: μέτωπο 9 km, ~1.000 ha κατά την 9η ημέρα (12/08). Οι γραμμές 39, 40, 41 είναι εγγραφές της ίδιας πυρκαγιάς και δεν προσμετρώνται.</t>
  </si>
  <si>
    <t xml:space="preserve">Πυρκαγιά στο Monte Barone κοντά στο Biella (Πεδεμόντιο). Αναφέρεται σε ευρύτερη RTÉ κάλυψη καύσωνα Ευρώπης 10/8. | Μέτωπο 9 χλμ. Έκταση 1.000 ha αφορά κατάσταση στις 12/8/2026 (9η ημέρα). Άνω 120 ρίψεων νερού από εναέρια μέσα. Επιχειρήσεις από εδάφους και αέρος. | Αναφερόμενο στο πλαίσιο ευρωπαϊκού θερμικού κύματος Αυγούστου 2026. | 2026-08-12 (9η ημέρα): μέτωπο 9 km, ~1.000 ha καμένα. Εναέρια: 1 Canadair + 1 ελικόπτερο Πιεδμόντ — 120+ εναέριοι βομβαρδισμοί συνολικά. Υπουργός Περιβάλλοντος επισκέφθηκε βάση. Απειλήθηκαν ορεινά καταφύγια και αγροικίες. | Ταυτόσημο με «Monte Barone Wildfire» / «Mount Barone Wildfire» — τριπλή καταγραφή ίδιου συμβάντος. Πυρκαγιά από 2026-08-03 (αστραπή). Ημ.11 (14/8): &amp;gt;1.000 ha. Ημ.14 (17/8): ακόμη σε εξέλιξη. 2 Canadair + 1 ελικόπτερο, 37 εθελοντές AIB + Πυροσβεστική. | Παραμένει σε εξέλιξη 15 ημέρες μετά την έναρξη (2026-08-03). Εδαφολογικά δύσβατα σημεία χωρίς πεζή πρόσβαση. 58 ρίψεις νερού (ελικόπτερο + Canadair). Δεν εντοπίστηκε ώρα οριοθέτησης/κατάσβεσης. | Πυρκαγιά εκδηλώθηκε 2026-08-03 από αστραπή. Στις 2026-08-18 «το χειρότερο πέρασε» αλλά δεν είχε πλήρως κατασβεστεί — εντοπίστηκε νέα εστία πίσω από το φράγμα Piancone. Επί τόπου 23 εθελοντές AIB, πυροσβέστες, 2 ομάδες Τορίνο, βυτιοφόρο Novara. Μέτωπο 9 χλμ. | ⚠ pyr_postfix_eu 2026-09-23: εγγραφή της ίδιας πυρκαγιάς «it_monte_barone_2026». Η καταγεγραμμένη τιμή ήταν 1000.0 ha. Φέρουσα εγγραφή: γραμμή 38.</t>
  </si>
  <si>
    <t xml:space="preserve">Περιοχή Coggiola κοντά στη Biella (βόρεια Ιταλία). Αναφορά μέσω RTE στο πλαίσιο Ευρωπαϊκού καύσωνα Αυγ. 2026. | Μέτωπο 9 χλμ. Έκταση 1.000 ha αφορά κατάσταση στις 12/8/2026 (9η ημέρα). Άνω 120 ρίψεων νερού από εναέρια μέσα. Επιχειρήσεις από εδάφους και αέρος. | 2026-08-12 (9η ημέρα): μέτωπο 9 km, ~1.000 ha καμένα. Εναέρια: 1 Canadair + 1 ελικόπτερο Πιεδμόντ — 120+ εναέριοι βομβαρδισμοί συνολικά. | Ταυτόσημο με «Monte Barone Wildfire» / «Monte Barone – Coggiola» — τριπλή καταγραφή ίδιου συμβάντος. Πυρκαγιά από 2026-08-03 (αστραπή). Ημ.11 (14/8): &amp;gt;1.000 ha. Ημ.14 (17/8): ακόμη σε εξέλιξη. 2 Canadair + 1 ελικόπτερο, 37 εθελοντές AIB + Πυροσβεστική. | Παραμένει σε εξέλιξη 15 ημέρες μετά την έναρξη (2026-08-03). Εδαφολογικά δύσβατα σημεία χωρίς πεζή πρόσβαση. 58 ρίψεις νερού (ελικόπτερο + Canadair). Δεν εντοπίστηκε ώρα οριοθέτησης/κατάσβεσης. | Ως 18/08/2026 υπό έλεγχο στην πλευρά Biella (sotto controllo) — δεν κηρύχθηκε επίσημα κατεσβεσμένη. 23 εθελοντές/πυροσβέστες συνεχίζουν παρακολούθηση. Νέα εστία κοντά στο φράγμα Piancone υπό παρακολούθηση. | ⚠ pyr_postfix_eu 2026-09-23: εγγραφή της ίδιας πυρκαγιάς «it_monte_barone_2026». Η καταγεγραμμένη τιμή ήταν 1000.0 ha. Φέρουσα εγγραφή: γραμμή 38.</t>
  </si>
  <si>
    <t xml:space="preserve">Αναφορά στο πλαίσιο κάλυψης κύματος καύσωνα ΕΕ (RTÉ). Ελάχιστα στοιχεία διαθέσιμα. | Αναφέρθηκε στο πλαίσιο ευρωπαϊκού καύσωνα· μοναδική πηγή RTÉ | Αναφορά μέσω RTÉ στο πλαίσιο κάλυψης θερμοκρασιακού κύματος Ευρώπης Αυγ 2026. | Κοντά στο Biella, Piemonte. Αναφέρθηκε από RTÉ στο πλαίσιο ευρωπαϊκής κάλυψης θερμικού κύματος 2026. | Μέτωπο 9 χλμ. Έκταση 1.000 ha αφορά κατάσταση στις 12/8/2026 (9η ημέρα). Άνω 120 ρίψεων νερού από εναέρια μέσα. Επιχειρήσεις από εδάφους και αέρος. | 2026-08-12 (9η ημέρα): μέτωπο 9 km, ~1.000 ha καμένα. Εναέρια: 1 Canadair + 1 ελικόπτερο Πιεδμόντ — 120+ εναέριοι βομβαρδισμοί συνολικά. | Παραμένει σε εξέλιξη 15 ημέρες μετά την έναρξη (2026-08-03). Εδαφολογικά δύσβατα σημεία χωρίς πεζή πρόσβαση. 58 ρίψεις νερού (ελικόπτερο + Canadair). Δεν εντοπίστηκε ώρα οριοθέτησης/κατάσβεσης. | Ως 18/08/2026 υπό έλεγχο στην πλευρά Biella (sotto controllo) — δεν κηρύχθηκε επίσημα κατεσβεσμένη. 23 εθελοντές/πυροσβέστες συνεχίζουν παρακολούθηση. Νέα εστία κοντά στο φράγμα Piancone υπό παρακολούθηση. | ⚠ pyr_postfix_eu 2026-09-23: εγγραφή της ίδιας πυρκαγιάς «it_monte_barone_2026». Η καταγεγραμμένη τιμή ήταν 1000.0 ha. Φέρουσα εγγραφή: γραμμή 38.</t>
  </si>
  <si>
    <t xml:space="preserve">Έναρξη Παρασκευή 7 Αυγούστου 2026 απόγευμα. Ενεργή στις 8 Αυγ. Εκκένωση ~700 κατοίκων δήμου Κατί. Αεροπυροσβεστικά δεν μπόρεσαν να επιχειρήσουν αρχικά λόγω ισχυρών ριπών. Ισπανία-ΕΕ. | Αναθεωρημένη τελική έκταση 754 ha (404 Tírig + 350 Catí, 617 ha δασική). Υποβάθμιση σε situación 1 στις 10/8. Κάτοικοι Catí επέστρεψαν χωρίς περιορισμούς. | Σταθεροποίηση 2026-08-10 16:42· τελικός έλεγχος (controlado) 2026-08-11 10:52· εκ των 810 ha, 617 ha δασική έκταση· άρθηκαν όλες οι εκκενώσεις 10/08 βράδυ· αιτία κεραυνός (εργαζόμενη υπόθεση Seprona, επιβεβαιώθηκε ηλεκτρική καταιγίδα). | Αρχική αναφορά 810 ha ήταν ενδιάμεσο μέγεθος κατά την τρίτη νύχτα. Σταθεροποίηση (estabilizado) 10/8/2026· ανύψωση εκκένωσης Κατί ~13:00. Πλήρης έλεγχος (controlado) 11/8/2026· τελική καμένη έκταση 754 ha, περίμετρος 22,8 km. UME αποχώρησε μετά σταθεροποίηση. | Οριοθετήθηκε 11 Αυγ. 2026 στις 10:52 (4η ημέρα). Τελική έκταση 754 εκτ.: 404 στο Tírig + 350 στο Catí. Εκκένωση &amp;gt;700 κατοίκων. Κατά την οριοθέτηση δεν είχε πλήρως κατασβεστεί — αναμενόταν νεότερη ανακοίνωση. | ⚠ pyr_postfix_eu 2026-09-23: φέρουσα εγγραφή του συμβάντος «es_tirig_castellon_2026». Tírig, επαρχία Castellón, έναρξη 07/08. Δύο εγγραφές (810 ha στις 08/08, 684 ha στις 10/08). Καμένη έκταση δεν μειώνεται, οπότε υιοθετείται η μέγιστη. Οι γραμμές 44 είναι εγγραφές της ίδιας πυρκαγιάς και δεν προσμετρώνται.</t>
  </si>
  <si>
    <t xml:space="preserve">Ισπανία, επαρχία Castellón. ~700 εκκενωθέντες από Catí. 19 εναέρια μέσα (fixed-wing + ελικόπτερα, ανάλυση άγνωστη). Αξιοποίηση νυκτερινής υγρασίας για κατάσβεση. | Εκδηλώθηκε 2026-08-08· οριοθετήθηκε 2026-08-12 10:52· δασική έκταση 617 ha εκ συνολικών 810 ha· Tírig 404 ha + Catí ~350 ha· αιτία αδιευκρίνιστη | 21 medios aéreos και &amp;gt;50 medios terrestres (castelloninformacion.com). Αιτία δεν επιβεβαιώθηκε από διαθέσιμες πηγές. | Επίγειες δυνάμεις: Κοιν. Βαλένθια — 11 επίγειες ομάδες, 5 αερομεταφερόμενες ομάδες, 11 πυροσβεστικά. Επαρχία Καστεγιόν — 4 ομάδες, 8 πυροσβεστικά, 4 Ειδικές Δασοπυρικές Μονάδες (EPRIF). Αιτία πυρκαγιάς: αδιευκρίνιστη (δεν επιβεβαιώθηκε από πηγές). | ⚠ pyr_postfix_eu 2026-09-23: εγγραφή της ίδιας πυρκαγιάς «es_tirig_castellon_2026». Η καταγεγραμμένη τιμή ήταν 810.0 ha. Φέρουσα εγγραφή: γραμμή 51.</t>
  </si>
  <si>
    <t xml:space="preserve">~90 πυροσβέστες. Κήρυξη κατάστασης έκτακτης ανάγκης. | ⚠ pyr_postfix_eu 2026-09-23: εγγραφή της ίδιας πυρκαγιάς «uk_dunwich_heath_2026». Φέρουσα εγγραφή: γραμμή 78.</t>
  </si>
  <si>
    <t xml:space="preserve">Εκκενώσεις ~3.000 ατόμων. Επιχειρούν Canadair. 1 πυροσβέστης νεκρός (Ιταλία). Yutori 15:48 EEST 28/07. | Εκκενώσεις ~3.000 ατόμων. Αεροσκάφη Canadair. 1 πυροσβέστης νεκρός. | Εκκενώσεις ~3.000 ατόμων. Canadair. 1 νεκρός πυροσβέστης. | ~3.000 εκκενωμένα άτομα. Canadair αεροσκάφη επιχειρούσαν. 1 πυροσβέστης νεκρός (Ιταλία). | Εκκενώσεις ~3.000 ατόμων. Canadair αεροσκάφη. 1 νεκρός πυροσβέστης. | Εκκενώσεις ~3.000 ατόμων· Canadair αεροσκάφη επιχείρησαν· 1 νεκρός πυροσβέστης στην Ιταλία (Καλαβρία ή Τοσκάνη — υπό επαλήθευση) | Εκκενώσεις ~3.000 ατόμων. Canadair αεροσκάφη στην επιχείρηση. 1 νεκρός πυροσβέστης (Ιταλία, εντός ευρωπαϊκού συνολικού απολογισμού 30/7). | ⚠ pyr_postfix_eu 2026-09-23: εγγραφή της ίδιας πυρκαγιάς «it_toscana_2026». Φέρουσα εγγραφή: γραμμή 88.</t>
  </si>
  <si>
    <t xml:space="preserve">Εκκένωση ~3.000 κατοίκων | ⚠ pyr_postfix_eu 2026-09-23: εγγραφή της ίδιας πυρκαγιάς «it_toscana_2026». Φέρουσα εγγραφή: γραμμή 88.</t>
  </si>
  <si>
    <t xml:space="preserve">Κοντά στο Φυσικό Πάρκο La Brena. Εκκενώσεις. Κλειστοί δρόμοι A-372 και CA-9123. | Κοντά στο Φυσικό Πάρκο La Brena. Εκκενώσεις τουριστών. Οδοί A-372 και CA-9123 κλειστές. | Κοντά στο Φυσικό Πάρκο La Brena. Εκκενώσεις. Κλειστές οδοί A-372 και CA-9123. Ώρα πληροφορίας 8 Ιουλίου 2026. | ⚠ pyr_postfix_eu 2026-09-23: εγγραφή της ίδιας πυρκαγιάς «es_alamillo_2026». Φέρουσα εγγραφή: γραμμή 140.</t>
  </si>
  <si>
    <t xml:space="preserve">Εντός Φυσικού Πάρκου Despeñaperros. Μέρος πολλαπλών εστιών Ισπανίας κατά είσοδο στην αιχμή περιόδου. | ⚠ pyr_postfix_eu 2026-09-23: εγγραφή της ίδιας πυρκαγιάς «es_despenaperros_2026». Φέρουσα εγγραφή: γραμμή 150.</t>
  </si>
  <si>
    <t xml:space="preserve">Μέρος κύματος πυρκαγιών θερμικού θόλου στη Ν. Ευρώπη 27/6/2026. | Πυρκαγιά κοντά στη Νίκαια (Côte d'Azur) στο πλαίσιο ευρωπαϊκού καύσωνα. | ⚠ pyr_postfix_eu 2026-09-23: εγγραφή της ίδιας πυρκαγιάς «fr_colomars_2026». Φέρουσα εγγραφή: γραμμή 156.</t>
  </si>
  <si>
    <t xml:space="preserve">50+ πυρκαγιές στη Σικελία και 160+ στην Καλαβρία· 6.000 διασώστες ανεπτυγμένοι στις 24/7. Έρευνα για εμπρησμό Καλαβρία 25/7 (Yutori email). | 50+ πυρκαγιές Σικελία, 160+ Καλαβρία. 6.000 διασώστες ανεπτυγμένοι 24/07. Έρευνα εμπρησμού 25/07. | 3 νεκροί πυροσβέστες στη Νότια Ευρώπη (Ισπανία/Γαλλία/Ιταλία) ως 23 Ιουλίου. Σικελία αθροιστικά: 24.451 ha ως 21/7, 87 περιστατικά την εβδομάδα 15–21/7. Ιταλία 2026 συνολικά: 65.680 ha (+15% έναντι 20ετούς μέσου όρου). Δεν εντοπίστηκαν ανά-περιστατικό δεδομένα για 23/7 ειδικά. | ⚠ pyr_postfix_eu 2026-09-23: εγγραφή της ίδιας πυρκαγιάς «it_sicilia_calabria_2026». Φέρουσα εγγραφή: γραμμή 106.</t>
  </si>
</sst>
</file>

<file path=xl/styles.xml><?xml version="1.0" encoding="utf-8"?>
<styleSheet xmlns="http://schemas.openxmlformats.org/spreadsheetml/2006/main">
  <numFmts count="2">
    <numFmt numFmtId="164" formatCode="yyyy-mm-dd"/>
    <numFmt numFmtId="165" formatCode="#,##0.0"/>
  </numFmts>
  <fonts count="6">
    <font>
      <sz val="11"/>
      <color theme="1"/>
      <name val="Calibri"/>
      <family val="2"/>
      <scheme val="minor"/>
    </font>
    <font>
      <b/>
      <sz val="11"/>
      <color rgb="FFFFFFFF"/>
      <name val="Calibri"/>
      <family val="2"/>
      <scheme val="minor"/>
    </font>
    <font>
      <b/>
      <sz val="11"/>
      <color theme="1"/>
      <name val="Calibri"/>
      <family val="2"/>
      <scheme val="minor"/>
    </font>
    <font>
      <b/>
      <sz val="15"/>
      <color rgb="FF922B21"/>
      <name val="Calibri"/>
      <family val="2"/>
      <scheme val="minor"/>
    </font>
    <font>
      <i/>
      <sz val="11"/>
      <color rgb="FF7B7D7D"/>
      <name val="Calibri"/>
      <family val="2"/>
      <scheme val="minor"/>
    </font>
    <font>
      <b/>
      <sz val="13"/>
      <color theme="1"/>
      <name val="Calibri"/>
      <family val="2"/>
      <scheme val="minor"/>
    </font>
  </fonts>
  <fills count="6">
    <fill>
      <patternFill patternType="none"/>
    </fill>
    <fill>
      <patternFill patternType="gray125"/>
    </fill>
    <fill>
      <patternFill patternType="solid">
        <fgColor rgb="FF34495E"/>
        <bgColor indexed="64"/>
      </patternFill>
    </fill>
    <fill>
      <patternFill patternType="solid">
        <fgColor rgb="FFFFFFFF"/>
        <bgColor indexed="64"/>
      </patternFill>
    </fill>
    <fill>
      <patternFill patternType="solid">
        <fgColor rgb="FFFDEBD0"/>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164" fontId="0" fillId="0" borderId="0" xfId="0" applyNumberFormat="1"/>
    <xf numFmtId="0" fontId="0" fillId="0" borderId="0" xfId="0" applyAlignment="1">
      <alignment vertical="top" wrapText="1"/>
    </xf>
    <xf numFmtId="0" fontId="2" fillId="0" borderId="0" xfId="0" applyFont="1"/>
    <xf numFmtId="0" fontId="3" fillId="0" borderId="0" xfId="0" applyFont="1"/>
    <xf numFmtId="0" fontId="4" fillId="0" borderId="0" xfId="0" applyFont="1" applyAlignment="1">
      <alignment wrapText="1"/>
    </xf>
    <xf numFmtId="0" fontId="0" fillId="3" borderId="1" xfId="0" applyFill="1" applyBorder="1" applyAlignment="1">
      <alignment horizontal="center"/>
    </xf>
    <xf numFmtId="0" fontId="2" fillId="0" borderId="0" xfId="0" applyFont="1" applyAlignment="1">
      <alignment horizontal="right" vertical="center"/>
    </xf>
    <xf numFmtId="0" fontId="5" fillId="4" borderId="1" xfId="0" applyFont="1" applyFill="1" applyBorder="1" applyAlignment="1">
      <alignment horizontal="center"/>
    </xf>
    <xf numFmtId="0" fontId="0" fillId="0" borderId="0" xfId="0">
      <extLst>
        <ext xmlns:xfpb="http://schemas.microsoft.com/office/spreadsheetml/2022/featurepropertybag" uri="{C7286773-470A-42A8-94C5-96B5CB345126}">
          <xfpb:xfComplement i="0"/>
        </ext>
      </extLst>
    </xf>
    <xf numFmtId="0" fontId="2" fillId="5" borderId="1" xfId="0" applyFont="1" applyFill="1" applyBorder="1" applyAlignment="1">
      <alignment horizontal="center"/>
    </xf>
    <xf numFmtId="0" fontId="0" fillId="0" borderId="1" xfId="0" applyBorder="1"/>
    <xf numFmtId="1" fontId="0" fillId="0" borderId="1" xfId="0" applyNumberFormat="1" applyBorder="1" applyAlignment="1">
      <alignment horizontal="center"/>
    </xf>
    <xf numFmtId="165" fontId="0" fillId="0" borderId="1" xfId="0" applyNumberFormat="1" applyBorder="1" applyAlignment="1">
      <alignment horizontal="center"/>
    </xf>
  </cellXfs>
  <cellStyles count="1">
    <cellStyle name="Normal" xfId="0" builtinId="0"/>
  </cellStyles>
  <dxfs count="5">
    <dxf>
      <fill>
        <patternFill>
          <bgColor rgb="FFA9DFBF"/>
        </patternFill>
      </fill>
    </dxf>
    <dxf>
      <fill>
        <patternFill>
          <bgColor rgb="FFAED6F1"/>
        </patternFill>
      </fill>
    </dxf>
    <dxf>
      <fill>
        <patternFill>
          <bgColor rgb="FFF9E79F"/>
        </patternFill>
      </fill>
    </dxf>
    <dxf>
      <fill>
        <patternFill>
          <bgColor rgb="FFF5B041"/>
        </patternFill>
      </fill>
    </dxf>
    <dxf>
      <fill>
        <patternFill>
          <bgColor rgb="FFEC706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microsoft.com/office/2022/11/relationships/FeaturePropertyBag" Target="featurePropertyBag/featurePropertyBag.xml"/><Relationship Id="rId8"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l-GR"/>
              <a:t>Δυνάμεις — σύνολο (όλες οι καταγραφές)</a:t>
            </a:r>
          </a:p>
        </c:rich>
      </c:tx>
      <c:overlay val="0"/>
    </c:title>
    <c:autoTitleDeleted val="0"/>
    <c:plotArea>
      <c:layout/>
      <c:barChart>
        <c:barDir val="col"/>
        <c:grouping val="clustered"/>
        <c:varyColors val="0"/>
        <c:ser>
          <c:idx val="0"/>
          <c:order val="0"/>
          <c:tx>
            <c:strRef>
              <c:f>Dashboard!$C$76</c:f>
              <c:strCache>
                <c:ptCount val="1"/>
                <c:pt idx="0">
                  <c:v>Σύνολο</c:v>
                </c:pt>
              </c:strCache>
            </c:strRef>
          </c:tx>
          <c:spPr>
            <a:ln>
              <a:prstDash val="solid"/>
            </a:ln>
          </c:spPr>
          <c:invertIfNegative val="0"/>
          <c:cat>
            <c:strRef>
              <c:f>Dashboard!$B$77:$B$80</c:f>
              <c:strCache>
                <c:ptCount val="4"/>
                <c:pt idx="0">
                  <c:v>Πυροσβέστες</c:v>
                </c:pt>
                <c:pt idx="1">
                  <c:v>Οχήματα</c:v>
                </c:pt>
                <c:pt idx="2">
                  <c:v>Αεροσκάφη</c:v>
                </c:pt>
                <c:pt idx="3">
                  <c:v>Ελικόπτερα</c:v>
                </c:pt>
              </c:strCache>
            </c:strRef>
          </c:cat>
          <c:val>
            <c:numRef>
              <c:f>Dashboard!$C$77:$C$80</c:f>
              <c:numCache>
                <c:formatCode>0</c:formatCode>
                <c:ptCount val="4"/>
                <c:pt idx="0">
                  <c:v>5481</c:v>
                </c:pt>
                <c:pt idx="1">
                  <c:v>1481</c:v>
                </c:pt>
                <c:pt idx="2">
                  <c:v>428</c:v>
                </c:pt>
                <c:pt idx="3">
                  <c:v>173</c:v>
                </c:pt>
              </c:numCache>
            </c:numRef>
          </c:val>
          <c:extLst>
            <c:ext xmlns:c16="http://schemas.microsoft.com/office/drawing/2014/chart" uri="{C3380CC4-5D6E-409C-BE32-E72D297353CC}">
              <c16:uniqueId val="{00000000-5B7C-B146-A565-A1A6BAAB81EE}"/>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 sourceLinked="1"/>
        <c:majorTickMark val="none"/>
        <c:minorTickMark val="none"/>
        <c:tickLblPos val="nextTo"/>
        <c:crossAx val="10"/>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l-GR"/>
              <a:t>Επεισόδια &amp; καμμένη έκταση ανά μήνα</a:t>
            </a:r>
          </a:p>
        </c:rich>
      </c:tx>
      <c:overlay val="0"/>
    </c:title>
    <c:autoTitleDeleted val="0"/>
    <c:plotArea>
      <c:layout/>
      <c:barChart>
        <c:barDir val="col"/>
        <c:grouping val="clustered"/>
        <c:varyColors val="0"/>
        <c:ser>
          <c:idx val="0"/>
          <c:order val="0"/>
          <c:tx>
            <c:strRef>
              <c:f>Dashboard!$C$83</c:f>
              <c:strCache>
                <c:ptCount val="1"/>
                <c:pt idx="0">
                  <c:v>Επεισόδια</c:v>
                </c:pt>
              </c:strCache>
            </c:strRef>
          </c:tx>
          <c:spPr>
            <a:ln>
              <a:prstDash val="solid"/>
            </a:ln>
          </c:spPr>
          <c:invertIfNegative val="0"/>
          <c:cat>
            <c:strRef>
              <c:f>Dashboard!$B$84:$B$95</c:f>
              <c:strCache>
                <c:ptCount val="12"/>
                <c:pt idx="0">
                  <c:v>Ιαν</c:v>
                </c:pt>
                <c:pt idx="1">
                  <c:v>Φεβ</c:v>
                </c:pt>
                <c:pt idx="2">
                  <c:v>Μαρ</c:v>
                </c:pt>
                <c:pt idx="3">
                  <c:v>Απρ</c:v>
                </c:pt>
                <c:pt idx="4">
                  <c:v>Μάι</c:v>
                </c:pt>
                <c:pt idx="5">
                  <c:v>Ιούν</c:v>
                </c:pt>
                <c:pt idx="6">
                  <c:v>Ιούλ</c:v>
                </c:pt>
                <c:pt idx="7">
                  <c:v>Αύγ</c:v>
                </c:pt>
                <c:pt idx="8">
                  <c:v>Σεπ</c:v>
                </c:pt>
                <c:pt idx="9">
                  <c:v>Οκτ</c:v>
                </c:pt>
                <c:pt idx="10">
                  <c:v>Νοέ</c:v>
                </c:pt>
                <c:pt idx="11">
                  <c:v>Δεκ</c:v>
                </c:pt>
              </c:strCache>
            </c:strRef>
          </c:cat>
          <c:val>
            <c:numRef>
              <c:f>Dashboard!$C$84:$C$95</c:f>
              <c:numCache>
                <c:formatCode>0</c:formatCode>
                <c:ptCount val="12"/>
                <c:pt idx="0">
                  <c:v>1</c:v>
                </c:pt>
                <c:pt idx="1">
                  <c:v>0</c:v>
                </c:pt>
                <c:pt idx="2">
                  <c:v>5</c:v>
                </c:pt>
                <c:pt idx="3">
                  <c:v>4</c:v>
                </c:pt>
                <c:pt idx="4">
                  <c:v>3</c:v>
                </c:pt>
                <c:pt idx="5">
                  <c:v>66</c:v>
                </c:pt>
                <c:pt idx="6">
                  <c:v>57</c:v>
                </c:pt>
                <c:pt idx="7">
                  <c:v>#N/A</c:v>
                </c:pt>
                <c:pt idx="8">
                  <c:v>#N/A</c:v>
                </c:pt>
                <c:pt idx="9">
                  <c:v>#N/A</c:v>
                </c:pt>
                <c:pt idx="10">
                  <c:v>#N/A</c:v>
                </c:pt>
                <c:pt idx="11">
                  <c:v>#N/A</c:v>
                </c:pt>
              </c:numCache>
            </c:numRef>
          </c:val>
          <c:extLst>
            <c:ext xmlns:c16="http://schemas.microsoft.com/office/drawing/2014/chart" uri="{C3380CC4-5D6E-409C-BE32-E72D297353CC}">
              <c16:uniqueId val="{00000000-00DC-4546-A889-05B71A47940D}"/>
            </c:ext>
          </c:extLst>
        </c:ser>
        <c:dLbls>
          <c:showLegendKey val="0"/>
          <c:showVal val="0"/>
          <c:showCatName val="0"/>
          <c:showSerName val="0"/>
          <c:showPercent val="0"/>
          <c:showBubbleSize val="0"/>
        </c:dLbls>
        <c:gapWidth val="150"/>
        <c:axId val="10"/>
        <c:axId val="100"/>
      </c:barChart>
      <c:lineChart>
        <c:grouping val="standard"/>
        <c:varyColors val="0"/>
        <c:ser>
          <c:idx val="1"/>
          <c:order val="1"/>
          <c:tx>
            <c:strRef>
              <c:f>Dashboard!$D$83</c:f>
              <c:strCache>
                <c:ptCount val="1"/>
                <c:pt idx="0">
                  <c:v>Καμμ. έκταση (ha)</c:v>
                </c:pt>
              </c:strCache>
            </c:strRef>
          </c:tx>
          <c:spPr>
            <a:ln>
              <a:prstDash val="solid"/>
            </a:ln>
          </c:spPr>
          <c:marker>
            <c:symbol val="none"/>
          </c:marker>
          <c:val>
            <c:numRef>
              <c:f>Dashboard!$D$84:$D$95</c:f>
              <c:numCache>
                <c:formatCode>#,##0.0</c:formatCode>
                <c:ptCount val="12"/>
                <c:pt idx="0">
                  <c:v>0</c:v>
                </c:pt>
                <c:pt idx="1">
                  <c:v>0</c:v>
                </c:pt>
                <c:pt idx="2">
                  <c:v>2500</c:v>
                </c:pt>
                <c:pt idx="3">
                  <c:v>1.5</c:v>
                </c:pt>
                <c:pt idx="4">
                  <c:v>2</c:v>
                </c:pt>
                <c:pt idx="5">
                  <c:v>161</c:v>
                </c:pt>
                <c:pt idx="6">
                  <c:v>190</c:v>
                </c:pt>
                <c:pt idx="7">
                  <c:v>#N/A</c:v>
                </c:pt>
                <c:pt idx="8">
                  <c:v>#N/A</c:v>
                </c:pt>
                <c:pt idx="9">
                  <c:v>#N/A</c:v>
                </c:pt>
                <c:pt idx="10">
                  <c:v>#N/A</c:v>
                </c:pt>
                <c:pt idx="11">
                  <c:v>#N/A</c:v>
                </c:pt>
              </c:numCache>
            </c:numRef>
          </c:val>
          <c:smooth val="0"/>
          <c:extLst>
            <c:ext xmlns:c16="http://schemas.microsoft.com/office/drawing/2014/chart" uri="{C3380CC4-5D6E-409C-BE32-E72D297353CC}">
              <c16:uniqueId val="{00000001-00DC-4546-A889-05B71A47940D}"/>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l-GR"/>
                  <a:t>Επεισόδια</a:t>
                </a:r>
              </a:p>
            </c:rich>
          </c:tx>
          <c:overlay val="0"/>
        </c:title>
        <c:numFmt formatCode="0" sourceLinked="1"/>
        <c:majorTickMark val="none"/>
        <c:minorTickMark val="none"/>
        <c:tickLblPos val="nextTo"/>
        <c:crossAx val="10"/>
        <c:crosses val="autoZero"/>
        <c:crossBetween val="between"/>
      </c:valAx>
      <c:valAx>
        <c:axId val="200"/>
        <c:scaling>
          <c:orientation val="minMax"/>
        </c:scaling>
        <c:delete val="0"/>
        <c:axPos val="r"/>
        <c:majorGridlines/>
        <c:title>
          <c:tx>
            <c:rich>
              <a:bodyPr/>
              <a:lstStyle/>
              <a:p>
                <a:pPr>
                  <a:defRPr/>
                </a:pPr>
                <a:r>
                  <a:rPr lang="en-US"/>
                  <a:t>ha</a:t>
                </a:r>
              </a:p>
            </c:rich>
          </c:tx>
          <c:overlay val="0"/>
        </c:title>
        <c:numFmt formatCode="#,##0.0" sourceLinked="1"/>
        <c:majorTickMark val="none"/>
        <c:minorTickMark val="none"/>
        <c:tickLblPos val="nextTo"/>
        <c:crossAx val="10"/>
        <c:crosses val="max"/>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l-GR"/>
              <a:t>Δυνάμεις ανά μήνα</a:t>
            </a:r>
          </a:p>
        </c:rich>
      </c:tx>
      <c:overlay val="0"/>
    </c:title>
    <c:autoTitleDeleted val="0"/>
    <c:plotArea>
      <c:layout/>
      <c:lineChart>
        <c:grouping val="standard"/>
        <c:varyColors val="0"/>
        <c:ser>
          <c:idx val="0"/>
          <c:order val="0"/>
          <c:tx>
            <c:strRef>
              <c:f>Dashboard!$E$83</c:f>
              <c:strCache>
                <c:ptCount val="1"/>
                <c:pt idx="0">
                  <c:v>Πυροσβέστες</c:v>
                </c:pt>
              </c:strCache>
            </c:strRef>
          </c:tx>
          <c:spPr>
            <a:ln>
              <a:prstDash val="solid"/>
            </a:ln>
          </c:spPr>
          <c:marker>
            <c:symbol val="none"/>
          </c:marker>
          <c:cat>
            <c:strRef>
              <c:f>Dashboard!$B$84:$B$95</c:f>
              <c:strCache>
                <c:ptCount val="12"/>
                <c:pt idx="0">
                  <c:v>Ιαν</c:v>
                </c:pt>
                <c:pt idx="1">
                  <c:v>Φεβ</c:v>
                </c:pt>
                <c:pt idx="2">
                  <c:v>Μαρ</c:v>
                </c:pt>
                <c:pt idx="3">
                  <c:v>Απρ</c:v>
                </c:pt>
                <c:pt idx="4">
                  <c:v>Μάι</c:v>
                </c:pt>
                <c:pt idx="5">
                  <c:v>Ιούν</c:v>
                </c:pt>
                <c:pt idx="6">
                  <c:v>Ιούλ</c:v>
                </c:pt>
                <c:pt idx="7">
                  <c:v>Αύγ</c:v>
                </c:pt>
                <c:pt idx="8">
                  <c:v>Σεπ</c:v>
                </c:pt>
                <c:pt idx="9">
                  <c:v>Οκτ</c:v>
                </c:pt>
                <c:pt idx="10">
                  <c:v>Νοέ</c:v>
                </c:pt>
                <c:pt idx="11">
                  <c:v>Δεκ</c:v>
                </c:pt>
              </c:strCache>
            </c:strRef>
          </c:cat>
          <c:val>
            <c:numRef>
              <c:f>Dashboard!$E$84:$E$95</c:f>
              <c:numCache>
                <c:formatCode>0</c:formatCode>
                <c:ptCount val="12"/>
                <c:pt idx="0">
                  <c:v>0</c:v>
                </c:pt>
                <c:pt idx="1">
                  <c:v>0</c:v>
                </c:pt>
                <c:pt idx="2">
                  <c:v>54</c:v>
                </c:pt>
                <c:pt idx="3">
                  <c:v>149</c:v>
                </c:pt>
                <c:pt idx="4">
                  <c:v>18</c:v>
                </c:pt>
                <c:pt idx="5">
                  <c:v>2111</c:v>
                </c:pt>
                <c:pt idx="6">
                  <c:v>3149</c:v>
                </c:pt>
                <c:pt idx="7">
                  <c:v>#N/A</c:v>
                </c:pt>
                <c:pt idx="8">
                  <c:v>#N/A</c:v>
                </c:pt>
                <c:pt idx="9">
                  <c:v>#N/A</c:v>
                </c:pt>
                <c:pt idx="10">
                  <c:v>#N/A</c:v>
                </c:pt>
                <c:pt idx="11">
                  <c:v>#N/A</c:v>
                </c:pt>
              </c:numCache>
            </c:numRef>
          </c:val>
          <c:smooth val="0"/>
          <c:extLst>
            <c:ext xmlns:c16="http://schemas.microsoft.com/office/drawing/2014/chart" uri="{C3380CC4-5D6E-409C-BE32-E72D297353CC}">
              <c16:uniqueId val="{00000000-DB2F-4840-96F2-C5F40A10E19C}"/>
            </c:ext>
          </c:extLst>
        </c:ser>
        <c:ser>
          <c:idx val="1"/>
          <c:order val="1"/>
          <c:tx>
            <c:strRef>
              <c:f>Dashboard!$F$83</c:f>
              <c:strCache>
                <c:ptCount val="1"/>
                <c:pt idx="0">
                  <c:v>Οχήματα</c:v>
                </c:pt>
              </c:strCache>
            </c:strRef>
          </c:tx>
          <c:spPr>
            <a:ln>
              <a:prstDash val="solid"/>
            </a:ln>
          </c:spPr>
          <c:marker>
            <c:symbol val="none"/>
          </c:marker>
          <c:cat>
            <c:strRef>
              <c:f>Dashboard!$B$84:$B$95</c:f>
              <c:strCache>
                <c:ptCount val="12"/>
                <c:pt idx="0">
                  <c:v>Ιαν</c:v>
                </c:pt>
                <c:pt idx="1">
                  <c:v>Φεβ</c:v>
                </c:pt>
                <c:pt idx="2">
                  <c:v>Μαρ</c:v>
                </c:pt>
                <c:pt idx="3">
                  <c:v>Απρ</c:v>
                </c:pt>
                <c:pt idx="4">
                  <c:v>Μάι</c:v>
                </c:pt>
                <c:pt idx="5">
                  <c:v>Ιούν</c:v>
                </c:pt>
                <c:pt idx="6">
                  <c:v>Ιούλ</c:v>
                </c:pt>
                <c:pt idx="7">
                  <c:v>Αύγ</c:v>
                </c:pt>
                <c:pt idx="8">
                  <c:v>Σεπ</c:v>
                </c:pt>
                <c:pt idx="9">
                  <c:v>Οκτ</c:v>
                </c:pt>
                <c:pt idx="10">
                  <c:v>Νοέ</c:v>
                </c:pt>
                <c:pt idx="11">
                  <c:v>Δεκ</c:v>
                </c:pt>
              </c:strCache>
            </c:strRef>
          </c:cat>
          <c:val>
            <c:numRef>
              <c:f>Dashboard!$F$84:$F$95</c:f>
              <c:numCache>
                <c:formatCode>0</c:formatCode>
                <c:ptCount val="12"/>
                <c:pt idx="0">
                  <c:v>0</c:v>
                </c:pt>
                <c:pt idx="1">
                  <c:v>0</c:v>
                </c:pt>
                <c:pt idx="2">
                  <c:v>12</c:v>
                </c:pt>
                <c:pt idx="3">
                  <c:v>35</c:v>
                </c:pt>
                <c:pt idx="4">
                  <c:v>7</c:v>
                </c:pt>
                <c:pt idx="5">
                  <c:v>633</c:v>
                </c:pt>
                <c:pt idx="6">
                  <c:v>794</c:v>
                </c:pt>
                <c:pt idx="7">
                  <c:v>#N/A</c:v>
                </c:pt>
                <c:pt idx="8">
                  <c:v>#N/A</c:v>
                </c:pt>
                <c:pt idx="9">
                  <c:v>#N/A</c:v>
                </c:pt>
                <c:pt idx="10">
                  <c:v>#N/A</c:v>
                </c:pt>
                <c:pt idx="11">
                  <c:v>#N/A</c:v>
                </c:pt>
              </c:numCache>
            </c:numRef>
          </c:val>
          <c:smooth val="0"/>
          <c:extLst>
            <c:ext xmlns:c16="http://schemas.microsoft.com/office/drawing/2014/chart" uri="{C3380CC4-5D6E-409C-BE32-E72D297353CC}">
              <c16:uniqueId val="{00000001-DB2F-4840-96F2-C5F40A10E19C}"/>
            </c:ext>
          </c:extLst>
        </c:ser>
        <c:ser>
          <c:idx val="2"/>
          <c:order val="2"/>
          <c:tx>
            <c:strRef>
              <c:f>Dashboard!$G$83</c:f>
              <c:strCache>
                <c:ptCount val="1"/>
                <c:pt idx="0">
                  <c:v>Αεροσκάφη</c:v>
                </c:pt>
              </c:strCache>
            </c:strRef>
          </c:tx>
          <c:spPr>
            <a:ln>
              <a:prstDash val="solid"/>
            </a:ln>
          </c:spPr>
          <c:marker>
            <c:symbol val="none"/>
          </c:marker>
          <c:cat>
            <c:strRef>
              <c:f>Dashboard!$B$84:$B$95</c:f>
              <c:strCache>
                <c:ptCount val="12"/>
                <c:pt idx="0">
                  <c:v>Ιαν</c:v>
                </c:pt>
                <c:pt idx="1">
                  <c:v>Φεβ</c:v>
                </c:pt>
                <c:pt idx="2">
                  <c:v>Μαρ</c:v>
                </c:pt>
                <c:pt idx="3">
                  <c:v>Απρ</c:v>
                </c:pt>
                <c:pt idx="4">
                  <c:v>Μάι</c:v>
                </c:pt>
                <c:pt idx="5">
                  <c:v>Ιούν</c:v>
                </c:pt>
                <c:pt idx="6">
                  <c:v>Ιούλ</c:v>
                </c:pt>
                <c:pt idx="7">
                  <c:v>Αύγ</c:v>
                </c:pt>
                <c:pt idx="8">
                  <c:v>Σεπ</c:v>
                </c:pt>
                <c:pt idx="9">
                  <c:v>Οκτ</c:v>
                </c:pt>
                <c:pt idx="10">
                  <c:v>Νοέ</c:v>
                </c:pt>
                <c:pt idx="11">
                  <c:v>Δεκ</c:v>
                </c:pt>
              </c:strCache>
            </c:strRef>
          </c:cat>
          <c:val>
            <c:numRef>
              <c:f>Dashboard!$G$84:$G$95</c:f>
              <c:numCache>
                <c:formatCode>0</c:formatCode>
                <c:ptCount val="12"/>
                <c:pt idx="0">
                  <c:v>0</c:v>
                </c:pt>
                <c:pt idx="1">
                  <c:v>0</c:v>
                </c:pt>
                <c:pt idx="2">
                  <c:v>0</c:v>
                </c:pt>
                <c:pt idx="3">
                  <c:v>7</c:v>
                </c:pt>
                <c:pt idx="4">
                  <c:v>0</c:v>
                </c:pt>
                <c:pt idx="5">
                  <c:v>126</c:v>
                </c:pt>
                <c:pt idx="6">
                  <c:v>295</c:v>
                </c:pt>
                <c:pt idx="7">
                  <c:v>#N/A</c:v>
                </c:pt>
                <c:pt idx="8">
                  <c:v>#N/A</c:v>
                </c:pt>
                <c:pt idx="9">
                  <c:v>#N/A</c:v>
                </c:pt>
                <c:pt idx="10">
                  <c:v>#N/A</c:v>
                </c:pt>
                <c:pt idx="11">
                  <c:v>#N/A</c:v>
                </c:pt>
              </c:numCache>
            </c:numRef>
          </c:val>
          <c:smooth val="0"/>
          <c:extLst>
            <c:ext xmlns:c16="http://schemas.microsoft.com/office/drawing/2014/chart" uri="{C3380CC4-5D6E-409C-BE32-E72D297353CC}">
              <c16:uniqueId val="{00000002-DB2F-4840-96F2-C5F40A10E19C}"/>
            </c:ext>
          </c:extLst>
        </c:ser>
        <c:ser>
          <c:idx val="3"/>
          <c:order val="3"/>
          <c:tx>
            <c:strRef>
              <c:f>Dashboard!$H$83</c:f>
              <c:strCache>
                <c:ptCount val="1"/>
                <c:pt idx="0">
                  <c:v>Ελικόπτερα</c:v>
                </c:pt>
              </c:strCache>
            </c:strRef>
          </c:tx>
          <c:spPr>
            <a:ln>
              <a:prstDash val="solid"/>
            </a:ln>
          </c:spPr>
          <c:marker>
            <c:symbol val="none"/>
          </c:marker>
          <c:cat>
            <c:strRef>
              <c:f>Dashboard!$B$84:$B$95</c:f>
              <c:strCache>
                <c:ptCount val="12"/>
                <c:pt idx="0">
                  <c:v>Ιαν</c:v>
                </c:pt>
                <c:pt idx="1">
                  <c:v>Φεβ</c:v>
                </c:pt>
                <c:pt idx="2">
                  <c:v>Μαρ</c:v>
                </c:pt>
                <c:pt idx="3">
                  <c:v>Απρ</c:v>
                </c:pt>
                <c:pt idx="4">
                  <c:v>Μάι</c:v>
                </c:pt>
                <c:pt idx="5">
                  <c:v>Ιούν</c:v>
                </c:pt>
                <c:pt idx="6">
                  <c:v>Ιούλ</c:v>
                </c:pt>
                <c:pt idx="7">
                  <c:v>Αύγ</c:v>
                </c:pt>
                <c:pt idx="8">
                  <c:v>Σεπ</c:v>
                </c:pt>
                <c:pt idx="9">
                  <c:v>Οκτ</c:v>
                </c:pt>
                <c:pt idx="10">
                  <c:v>Νοέ</c:v>
                </c:pt>
                <c:pt idx="11">
                  <c:v>Δεκ</c:v>
                </c:pt>
              </c:strCache>
            </c:strRef>
          </c:cat>
          <c:val>
            <c:numRef>
              <c:f>Dashboard!$H$84:$H$95</c:f>
              <c:numCache>
                <c:formatCode>0</c:formatCode>
                <c:ptCount val="12"/>
                <c:pt idx="0">
                  <c:v>0</c:v>
                </c:pt>
                <c:pt idx="1">
                  <c:v>0</c:v>
                </c:pt>
                <c:pt idx="2">
                  <c:v>0</c:v>
                </c:pt>
                <c:pt idx="3">
                  <c:v>0</c:v>
                </c:pt>
                <c:pt idx="4">
                  <c:v>0</c:v>
                </c:pt>
                <c:pt idx="5">
                  <c:v>66</c:v>
                </c:pt>
                <c:pt idx="6">
                  <c:v>107</c:v>
                </c:pt>
                <c:pt idx="7">
                  <c:v>#N/A</c:v>
                </c:pt>
                <c:pt idx="8">
                  <c:v>#N/A</c:v>
                </c:pt>
                <c:pt idx="9">
                  <c:v>#N/A</c:v>
                </c:pt>
                <c:pt idx="10">
                  <c:v>#N/A</c:v>
                </c:pt>
                <c:pt idx="11">
                  <c:v>#N/A</c:v>
                </c:pt>
              </c:numCache>
            </c:numRef>
          </c:val>
          <c:smooth val="0"/>
          <c:extLst>
            <c:ext xmlns:c16="http://schemas.microsoft.com/office/drawing/2014/chart" uri="{C3380CC4-5D6E-409C-BE32-E72D297353CC}">
              <c16:uniqueId val="{00000003-DB2F-4840-96F2-C5F40A10E19C}"/>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Ημερήσια εξέλιξη (τελευταίες 30 ημέρες)</a:t>
            </a:r>
          </a:p>
        </rich>
      </tx>
    </title>
    <plotArea>
      <barChart>
        <barDir val="col"/>
        <grouping val="stacked"/>
        <ser>
          <idx val="0"/>
          <order val="0"/>
          <tx>
            <strRef>
              <f>'Dashboard'!G98</f>
            </strRef>
          </tx>
          <spPr>
            <a:solidFill xmlns:a="http://schemas.openxmlformats.org/drawingml/2006/main">
              <a:srgbClr val="A9DFBF"/>
            </a:solidFill>
            <a:ln xmlns:a="http://schemas.openxmlformats.org/drawingml/2006/main">
              <a:solidFill>
                <a:srgbClr val="A9DFBF"/>
              </a:solidFill>
              <a:prstDash val="solid"/>
            </a:ln>
          </spPr>
          <cat>
            <numRef>
              <f>'Dashboard'!$B$99:$B$128</f>
            </numRef>
          </cat>
          <val>
            <numRef>
              <f>'Dashboard'!$G$99:$G$128</f>
            </numRef>
          </val>
        </ser>
        <ser>
          <idx val="1"/>
          <order val="1"/>
          <tx>
            <strRef>
              <f>'Dashboard'!H98</f>
            </strRef>
          </tx>
          <spPr>
            <a:solidFill xmlns:a="http://schemas.openxmlformats.org/drawingml/2006/main">
              <a:srgbClr val="AED6F1"/>
            </a:solidFill>
            <a:ln xmlns:a="http://schemas.openxmlformats.org/drawingml/2006/main">
              <a:solidFill>
                <a:srgbClr val="AED6F1"/>
              </a:solidFill>
              <a:prstDash val="solid"/>
            </a:ln>
          </spPr>
          <cat>
            <numRef>
              <f>'Dashboard'!$B$99:$B$128</f>
            </numRef>
          </cat>
          <val>
            <numRef>
              <f>'Dashboard'!$H$99:$H$128</f>
            </numRef>
          </val>
        </ser>
        <ser>
          <idx val="2"/>
          <order val="2"/>
          <tx>
            <strRef>
              <f>'Dashboard'!I98</f>
            </strRef>
          </tx>
          <spPr>
            <a:solidFill xmlns:a="http://schemas.openxmlformats.org/drawingml/2006/main">
              <a:srgbClr val="F9E79F"/>
            </a:solidFill>
            <a:ln xmlns:a="http://schemas.openxmlformats.org/drawingml/2006/main">
              <a:solidFill>
                <a:srgbClr val="F9E79F"/>
              </a:solidFill>
              <a:prstDash val="solid"/>
            </a:ln>
          </spPr>
          <cat>
            <numRef>
              <f>'Dashboard'!$B$99:$B$128</f>
            </numRef>
          </cat>
          <val>
            <numRef>
              <f>'Dashboard'!$I$99:$I$128</f>
            </numRef>
          </val>
        </ser>
        <ser>
          <idx val="3"/>
          <order val="3"/>
          <tx>
            <strRef>
              <f>'Dashboard'!J98</f>
            </strRef>
          </tx>
          <spPr>
            <a:solidFill xmlns:a="http://schemas.openxmlformats.org/drawingml/2006/main">
              <a:srgbClr val="F5B041"/>
            </a:solidFill>
            <a:ln xmlns:a="http://schemas.openxmlformats.org/drawingml/2006/main">
              <a:solidFill>
                <a:srgbClr val="F5B041"/>
              </a:solidFill>
              <a:prstDash val="solid"/>
            </a:ln>
          </spPr>
          <cat>
            <numRef>
              <f>'Dashboard'!$B$99:$B$128</f>
            </numRef>
          </cat>
          <val>
            <numRef>
              <f>'Dashboard'!$J$99:$J$128</f>
            </numRef>
          </val>
        </ser>
        <ser>
          <idx val="4"/>
          <order val="4"/>
          <tx>
            <strRef>
              <f>'Dashboard'!K98</f>
            </strRef>
          </tx>
          <spPr>
            <a:solidFill xmlns:a="http://schemas.openxmlformats.org/drawingml/2006/main">
              <a:srgbClr val="EC7063"/>
            </a:solidFill>
            <a:ln xmlns:a="http://schemas.openxmlformats.org/drawingml/2006/main">
              <a:solidFill>
                <a:srgbClr val="EC7063"/>
              </a:solidFill>
              <a:prstDash val="solid"/>
            </a:ln>
          </spPr>
          <cat>
            <numRef>
              <f>'Dashboard'!$B$99:$B$128</f>
            </numRef>
          </cat>
          <val>
            <numRef>
              <f>'Dashboard'!$K$99:$K$128</f>
            </numRef>
          </val>
        </ser>
        <ser>
          <idx val="5"/>
          <order val="5"/>
          <tx>
            <strRef>
              <f>'Dashboard'!L98</f>
            </strRef>
          </tx>
          <spPr>
            <a:solidFill xmlns:a="http://schemas.openxmlformats.org/drawingml/2006/main">
              <a:srgbClr val="BFBFBF"/>
            </a:solidFill>
            <a:ln xmlns:a="http://schemas.openxmlformats.org/drawingml/2006/main">
              <a:solidFill>
                <a:srgbClr val="BFBFBF"/>
              </a:solidFill>
              <a:prstDash val="solid"/>
            </a:ln>
          </spPr>
          <cat>
            <numRef>
              <f>'Dashboard'!$B$99:$B$128</f>
            </numRef>
          </cat>
          <val>
            <numRef>
              <f>'Dashboard'!$L$99:$L$128</f>
            </numRef>
          </val>
        </ser>
        <gapWidth val="40"/>
        <overlap val="100"/>
        <axId val="10"/>
        <axId val="100"/>
      </barChart>
      <lineChart>
        <grouping val="standard"/>
        <ser>
          <idx val="6"/>
          <order val="6"/>
          <tx>
            <strRef>
              <f>'Dashboard'!E98</f>
            </strRef>
          </tx>
          <spPr>
            <a:ln xmlns:a="http://schemas.openxmlformats.org/drawingml/2006/main" w="28575">
              <a:solidFill>
                <a:srgbClr val="1F3864"/>
              </a:solidFill>
              <a:prstDash val="solid"/>
            </a:ln>
          </spPr>
          <marker>
            <symbol val="none"/>
            <spPr>
              <a:ln xmlns:a="http://schemas.openxmlformats.org/drawingml/2006/main">
                <a:prstDash val="solid"/>
              </a:ln>
            </spPr>
          </marker>
          <cat>
            <numRef>
              <f>'Dashboard'!$B$99:$B$128</f>
            </numRef>
          </cat>
          <val>
            <numRef>
              <f>'Dashboard'!$E$99:$E$128</f>
            </numRef>
          </val>
          <smooth val="0"/>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Επεισόδια (ανά επίπεδο κινδύνου)</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Πυροσβέστες</a:t>
                </a:r>
              </a:p>
            </rich>
          </tx>
        </title>
        <majorTickMark val="none"/>
        <minorTickMark val="none"/>
        <crossAx val="10"/>
        <crosses val="max"/>
      </valAx>
    </plotArea>
    <legend>
      <legendPos val="b"/>
    </legend>
    <plotVisOnly val="1"/>
    <dispBlanksAs val="gap"/>
  </chart>
</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l-GR"/>
              <a:t>Επεισόδια ανά Περιφέρεια</a:t>
            </a:r>
          </a:p>
        </c:rich>
      </c:tx>
      <c:overlay val="0"/>
    </c:title>
    <c:autoTitleDeleted val="0"/>
    <c:plotArea>
      <c:layout/>
      <c:barChart>
        <c:barDir val="bar"/>
        <c:grouping val="clustered"/>
        <c:varyColors val="0"/>
        <c:ser>
          <c:idx val="0"/>
          <c:order val="0"/>
          <c:tx>
            <c:strRef>
              <c:f>Dashboard!$C$131</c:f>
              <c:strCache>
                <c:ptCount val="1"/>
                <c:pt idx="0">
                  <c:v>Επεισόδια</c:v>
                </c:pt>
              </c:strCache>
            </c:strRef>
          </c:tx>
          <c:spPr>
            <a:ln>
              <a:prstDash val="solid"/>
            </a:ln>
          </c:spPr>
          <c:invertIfNegative val="0"/>
          <c:cat>
            <c:strRef>
              <c:f>Dashboard!$B$132:$B$144</c:f>
              <c:strCache>
                <c:ptCount val="13"/>
                <c:pt idx="0">
                  <c:v>Αττική</c:v>
                </c:pt>
                <c:pt idx="1">
                  <c:v>Κεντρική Μακεδονία</c:v>
                </c:pt>
                <c:pt idx="2">
                  <c:v>Δυτική Μακεδονία</c:v>
                </c:pt>
                <c:pt idx="3">
                  <c:v>Θεσσαλία</c:v>
                </c:pt>
                <c:pt idx="4">
                  <c:v>Δυτική Ελλάδα</c:v>
                </c:pt>
                <c:pt idx="5">
                  <c:v>Στερεά Ελλάδα</c:v>
                </c:pt>
                <c:pt idx="6">
                  <c:v>Πελοπόννησος</c:v>
                </c:pt>
                <c:pt idx="7">
                  <c:v>Ήπειρος</c:v>
                </c:pt>
                <c:pt idx="8">
                  <c:v>Ιόνια Νησιά</c:v>
                </c:pt>
                <c:pt idx="9">
                  <c:v>Βόρειο Αιγαίο</c:v>
                </c:pt>
                <c:pt idx="10">
                  <c:v>Νότιο Αιγαίο</c:v>
                </c:pt>
                <c:pt idx="11">
                  <c:v>Κρήτη</c:v>
                </c:pt>
                <c:pt idx="12">
                  <c:v>Αν. Μακεδονία &amp; Θράκη</c:v>
                </c:pt>
              </c:strCache>
            </c:strRef>
          </c:cat>
          <c:val>
            <c:numRef>
              <c:f>Dashboard!$C$132:$C$144</c:f>
              <c:numCache>
                <c:formatCode>0</c:formatCode>
                <c:ptCount val="13"/>
                <c:pt idx="0">
                  <c:v>22</c:v>
                </c:pt>
                <c:pt idx="1">
                  <c:v>28</c:v>
                </c:pt>
                <c:pt idx="2">
                  <c:v>2</c:v>
                </c:pt>
                <c:pt idx="3">
                  <c:v>5</c:v>
                </c:pt>
                <c:pt idx="4">
                  <c:v>10</c:v>
                </c:pt>
                <c:pt idx="5">
                  <c:v>22</c:v>
                </c:pt>
                <c:pt idx="6">
                  <c:v>18</c:v>
                </c:pt>
                <c:pt idx="7">
                  <c:v>9</c:v>
                </c:pt>
                <c:pt idx="8">
                  <c:v>1</c:v>
                </c:pt>
                <c:pt idx="9">
                  <c:v>4</c:v>
                </c:pt>
                <c:pt idx="10">
                  <c:v>4</c:v>
                </c:pt>
                <c:pt idx="11">
                  <c:v>3</c:v>
                </c:pt>
                <c:pt idx="12">
                  <c:v>8</c:v>
                </c:pt>
              </c:numCache>
            </c:numRef>
          </c:val>
          <c:extLst>
            <c:ext xmlns:c16="http://schemas.microsoft.com/office/drawing/2014/chart" uri="{C3380CC4-5D6E-409C-BE32-E72D297353CC}">
              <c16:uniqueId val="{00000000-B168-B940-BBF8-57F32D9674D9}"/>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b"/>
        <c:majorGridlines/>
        <c:numFmt formatCode="0" sourceLinked="1"/>
        <c:majorTickMark val="none"/>
        <c:minorTickMark val="none"/>
        <c:tickLblPos val="nextTo"/>
        <c:crossAx val="10"/>
        <c:crosses val="autoZero"/>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l-GR"/>
              <a:t>Καμμένη έκταση (</a:t>
            </a:r>
            <a:r>
              <a:rPr lang="en-US"/>
              <a:t>ha) </a:t>
            </a:r>
            <a:r>
              <a:rPr lang="el-GR"/>
              <a:t>ανά Περιφέρεια</a:t>
            </a:r>
          </a:p>
        </c:rich>
      </c:tx>
      <c:overlay val="0"/>
    </c:title>
    <c:autoTitleDeleted val="0"/>
    <c:plotArea>
      <c:layout/>
      <c:barChart>
        <c:barDir val="bar"/>
        <c:grouping val="clustered"/>
        <c:varyColors val="0"/>
        <c:ser>
          <c:idx val="0"/>
          <c:order val="0"/>
          <c:tx>
            <c:strRef>
              <c:f>Dashboard!$D$131</c:f>
              <c:strCache>
                <c:ptCount val="1"/>
                <c:pt idx="0">
                  <c:v>Καμμ. έκταση (ha)</c:v>
                </c:pt>
              </c:strCache>
            </c:strRef>
          </c:tx>
          <c:spPr>
            <a:ln>
              <a:prstDash val="solid"/>
            </a:ln>
          </c:spPr>
          <c:invertIfNegative val="0"/>
          <c:cat>
            <c:strRef>
              <c:f>Dashboard!$B$132:$B$144</c:f>
              <c:strCache>
                <c:ptCount val="13"/>
                <c:pt idx="0">
                  <c:v>Αττική</c:v>
                </c:pt>
                <c:pt idx="1">
                  <c:v>Κεντρική Μακεδονία</c:v>
                </c:pt>
                <c:pt idx="2">
                  <c:v>Δυτική Μακεδονία</c:v>
                </c:pt>
                <c:pt idx="3">
                  <c:v>Θεσσαλία</c:v>
                </c:pt>
                <c:pt idx="4">
                  <c:v>Δυτική Ελλάδα</c:v>
                </c:pt>
                <c:pt idx="5">
                  <c:v>Στερεά Ελλάδα</c:v>
                </c:pt>
                <c:pt idx="6">
                  <c:v>Πελοπόννησος</c:v>
                </c:pt>
                <c:pt idx="7">
                  <c:v>Ήπειρος</c:v>
                </c:pt>
                <c:pt idx="8">
                  <c:v>Ιόνια Νησιά</c:v>
                </c:pt>
                <c:pt idx="9">
                  <c:v>Βόρειο Αιγαίο</c:v>
                </c:pt>
                <c:pt idx="10">
                  <c:v>Νότιο Αιγαίο</c:v>
                </c:pt>
                <c:pt idx="11">
                  <c:v>Κρήτη</c:v>
                </c:pt>
                <c:pt idx="12">
                  <c:v>Αν. Μακεδονία &amp; Θράκη</c:v>
                </c:pt>
              </c:strCache>
            </c:strRef>
          </c:cat>
          <c:val>
            <c:numRef>
              <c:f>Dashboard!$D$132:$D$144</c:f>
              <c:numCache>
                <c:formatCode>#,##0.0</c:formatCode>
                <c:ptCount val="13"/>
                <c:pt idx="0">
                  <c:v>66</c:v>
                </c:pt>
                <c:pt idx="1">
                  <c:v>242</c:v>
                </c:pt>
                <c:pt idx="2">
                  <c:v>0</c:v>
                </c:pt>
                <c:pt idx="3">
                  <c:v>1.5</c:v>
                </c:pt>
                <c:pt idx="4">
                  <c:v>0.4</c:v>
                </c:pt>
                <c:pt idx="5">
                  <c:v>20</c:v>
                </c:pt>
                <c:pt idx="6">
                  <c:v>12</c:v>
                </c:pt>
                <c:pt idx="7">
                  <c:v>10</c:v>
                </c:pt>
                <c:pt idx="8">
                  <c:v>0</c:v>
                </c:pt>
                <c:pt idx="9">
                  <c:v>2501</c:v>
                </c:pt>
                <c:pt idx="10">
                  <c:v>0.1</c:v>
                </c:pt>
                <c:pt idx="11">
                  <c:v>0</c:v>
                </c:pt>
                <c:pt idx="12">
                  <c:v>1.5</c:v>
                </c:pt>
              </c:numCache>
            </c:numRef>
          </c:val>
          <c:extLst>
            <c:ext xmlns:c16="http://schemas.microsoft.com/office/drawing/2014/chart" uri="{C3380CC4-5D6E-409C-BE32-E72D297353CC}">
              <c16:uniqueId val="{00000000-18F7-764D-8053-0647C1220344}"/>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b"/>
        <c:majorGridlines/>
        <c:numFmt formatCode="#,##0.0" sourceLinked="1"/>
        <c:majorTickMark val="none"/>
        <c:minorTickMark val="none"/>
        <c:tickLblPos val="nextTo"/>
        <c:crossAx val="10"/>
        <c:crosses val="autoZero"/>
        <c:crossBetween val="between"/>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l-GR"/>
              <a:t>Κατανομή κατάστασης</a:t>
            </a:r>
          </a:p>
        </c:rich>
      </c:tx>
      <c:overlay val="0"/>
    </c:title>
    <c:autoTitleDeleted val="0"/>
    <c:plotArea>
      <c:layout/>
      <c:pieChart>
        <c:varyColors val="1"/>
        <c:ser>
          <c:idx val="0"/>
          <c:order val="0"/>
          <c:tx>
            <c:strRef>
              <c:f>Dashboard!$C$147</c:f>
              <c:strCache>
                <c:ptCount val="1"/>
                <c:pt idx="0">
                  <c:v>Πλήθος</c:v>
                </c:pt>
              </c:strCache>
            </c:strRef>
          </c:tx>
          <c:spPr>
            <a:ln>
              <a:prstDash val="solid"/>
            </a:ln>
          </c:spPr>
          <c:dLbls>
            <c:spPr>
              <a:noFill/>
              <a:ln>
                <a:noFill/>
              </a:ln>
              <a:effectLst/>
            </c:spPr>
            <c:showLegendKey val="0"/>
            <c:showVal val="0"/>
            <c:showCatName val="0"/>
            <c:showSerName val="0"/>
            <c:showPercent val="1"/>
            <c:showBubbleSize val="0"/>
            <c:showLeaderLines val="0"/>
            <c:extLst>
              <c:ext xmlns:c15="http://schemas.microsoft.com/office/drawing/2012/chart" uri="{CE6537A1-D6FC-4f65-9D91-7224C49458BB}"/>
            </c:extLst>
          </c:dLbls>
          <c:cat>
            <c:strRef>
              <c:f>Dashboard!$B$148:$B$153</c:f>
              <c:strCache>
                <c:ptCount val="6"/>
                <c:pt idx="0">
                  <c:v>Σε εξέλιξη</c:v>
                </c:pt>
                <c:pt idx="1">
                  <c:v>Υπό έλεγχο</c:v>
                </c:pt>
                <c:pt idx="2">
                  <c:v>Οριοθετήθηκε</c:v>
                </c:pt>
                <c:pt idx="3">
                  <c:v>Κατασβέστηκε</c:v>
                </c:pt>
                <c:pt idx="4">
                  <c:v>Σε ύφεση</c:v>
                </c:pt>
                <c:pt idx="5">
                  <c:v>Άγνωστη/λοιπά</c:v>
                </c:pt>
              </c:strCache>
            </c:strRef>
          </c:cat>
          <c:val>
            <c:numRef>
              <c:f>Dashboard!$C$148:$C$153</c:f>
              <c:numCache>
                <c:formatCode>0</c:formatCode>
                <c:ptCount val="6"/>
                <c:pt idx="0">
                  <c:v>21</c:v>
                </c:pt>
                <c:pt idx="1">
                  <c:v>59</c:v>
                </c:pt>
                <c:pt idx="2">
                  <c:v>22</c:v>
                </c:pt>
                <c:pt idx="3">
                  <c:v>15</c:v>
                </c:pt>
                <c:pt idx="4">
                  <c:v>5</c:v>
                </c:pt>
                <c:pt idx="5">
                  <c:v>14</c:v>
                </c:pt>
              </c:numCache>
            </c:numRef>
          </c:val>
          <c:extLst>
            <c:ext xmlns:c16="http://schemas.microsoft.com/office/drawing/2014/chart" uri="{C3380CC4-5D6E-409C-BE32-E72D297353CC}">
              <c16:uniqueId val="{00000000-0BCF-DD42-98B3-8EDF1FE298E0}"/>
            </c:ext>
          </c:extLst>
        </c:ser>
        <c:dLbls>
          <c:showLegendKey val="0"/>
          <c:showVal val="0"/>
          <c:showCatName val="0"/>
          <c:showSerName val="0"/>
          <c:showPercent val="1"/>
          <c:showBubbleSize val="0"/>
          <c:showLeaderLines val="0"/>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0</xdr:col>
      <xdr:colOff>0</xdr:colOff>
      <xdr:row>9</xdr:row>
      <xdr:rowOff>114300</xdr:rowOff>
    </xdr:from>
    <xdr:ext cx="7239000" cy="27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9</xdr:row>
      <xdr:rowOff>127000</xdr:rowOff>
    </xdr:from>
    <xdr:ext cx="7340600" cy="270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25</xdr:row>
      <xdr:rowOff>0</xdr:rowOff>
    </xdr:from>
    <xdr:ext cx="7277100" cy="2700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9</xdr:col>
      <xdr:colOff>0</xdr:colOff>
      <xdr:row>25</xdr:row>
      <xdr:rowOff>0</xdr:rowOff>
    </xdr:from>
    <xdr:ext cx="10782300" cy="2700000"/>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56</xdr:row>
      <xdr:rowOff>101600</xdr:rowOff>
    </xdr:from>
    <xdr:ext cx="7239000" cy="3060000"/>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863600</xdr:colOff>
      <xdr:row>56</xdr:row>
      <xdr:rowOff>0</xdr:rowOff>
    </xdr:from>
    <xdr:ext cx="7378700" cy="3060000"/>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38100</xdr:colOff>
      <xdr:row>40</xdr:row>
      <xdr:rowOff>101600</xdr:rowOff>
    </xdr:from>
    <xdr:ext cx="5689600" cy="2700000"/>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id="1" name="tblGR" displayName="tblGR" ref="A1:AA640" totalsRowShown="0">
  <autoFilter ref="A1:AA640"/>
  <tableColumns count="27">
    <tableColumn id="1" name="Ημερομηνία"/>
    <tableColumn id="2" name="Ώρα έναρξης"/>
    <tableColumn id="3" name="Ώρα ελέγχου"/>
    <tableColumn id="4" name="Ώρα κατάσβεσης"/>
    <tableColumn id="5" name="Πυρκαγιά / Περιοχή"/>
    <tableColumn id="6" name="Περιφέρεια"/>
    <tableColumn id="7" name="Νομός"/>
    <tableColumn id="8" name="Δήμος"/>
    <tableColumn id="9" name="Πυροσβέστες"/>
    <tableColumn id="10" name="Οχήματα"/>
    <tableColumn id="11" name="Αεροσκάφη"/>
    <tableColumn id="12" name="Ελικόπτερα"/>
    <tableColumn id="13" name="Επίγειες ομάδες"/>
    <tableColumn id="14" name="Δήμοι/Περιφέρειες"/>
    <tableColumn id="15" name="Εθελοντές"/>
    <tableColumn id="16" name="Καμμένη έκταση (ha)"/>
    <tableColumn id="17" name="Κίνδυνος (1-5)"/>
    <tableColumn id="18" name="Κατηγορία κινδύνου"/>
    <tableColumn id="19" name="Κατάσταση"/>
    <tableColumn id="20" name="Αιτία"/>
    <tableColumn id="21" name="112 (Εκκ./Προειδ.)"/>
    <tableColumn id="22" name="Πηγές"/>
    <tableColumn id="23" name="Σημειώσεις"/>
    <tableColumn id="24" name="Ενημερώθηκε"/>
    <tableColumn id="25" name="_μήνας"/>
    <tableColumn id="26" name="_έκταση0"/>
    <tableColumn id="27" name="_επιλ"/>
  </tableColumns>
  <tableStyleInfo name="TableStyleMedium9" showFirstColumn="0" showLastColumn="0" showRowStripes="1" showColumnStripes="0"/>
</table>
</file>

<file path=xl/tables/table2.xml><?xml version="1.0" encoding="utf-8"?>
<table xmlns="http://schemas.openxmlformats.org/spreadsheetml/2006/main" id="2" name="tblEU" displayName="tblEU" ref="A1:X164" totalsRowShown="0">
  <autoFilter ref="A1:X164"/>
  <tableColumns count="24">
    <tableColumn id="1" name="Ημερομηνία"/>
    <tableColumn id="2" name="Ώρα έναρξης"/>
    <tableColumn id="3" name="Ώρα ελέγχου"/>
    <tableColumn id="4" name="Ώρα κατάσβεσης"/>
    <tableColumn id="5" name="Πυρκαγιά / Περιοχή"/>
    <tableColumn id="6" name="Περιφέρεια"/>
    <tableColumn id="7" name="Νομός"/>
    <tableColumn id="8" name="Δήμος"/>
    <tableColumn id="9" name="Πυροσβέστες"/>
    <tableColumn id="10" name="Οχήματα"/>
    <tableColumn id="11" name="Αεροσκάφη"/>
    <tableColumn id="12" name="Ελικόπτερα"/>
    <tableColumn id="13" name="Επίγειες ομάδες"/>
    <tableColumn id="14" name="Δήμοι/Περιφέρειες"/>
    <tableColumn id="15" name="Εθελοντές"/>
    <tableColumn id="16" name="Καμμένη έκταση (ha)"/>
    <tableColumn id="17" name="Κίνδυνος (1-5)"/>
    <tableColumn id="18" name="Κατηγορία κινδύνου"/>
    <tableColumn id="19" name="Κατάσταση"/>
    <tableColumn id="20" name="Αιτία"/>
    <tableColumn id="21" name="112 (Εκκ./Προειδ.)"/>
    <tableColumn id="22" name="Πηγές"/>
    <tableColumn id="23" name="Σημειώσεις"/>
    <tableColumn id="24" name="Ενημερώθηκε"/>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A640"/>
  <sheetViews>
    <sheetView tabSelected="1" workbookViewId="0">
      <pane ySplit="1" topLeftCell="A2" activePane="bottomLeft" state="frozen"/>
      <selection pane="bottomLeft"/>
    </sheetView>
  </sheetViews>
  <sheetFormatPr defaultRowHeight="15"/>
  <cols>
    <col min="1" max="1" width="12.7109375" customWidth="1"/>
    <col min="2" max="3" width="10.7109375" customWidth="1"/>
    <col min="4" max="4" width="11.7109375" customWidth="1"/>
    <col min="5" max="5" width="28.7109375" customWidth="1"/>
    <col min="6" max="6" width="20.7109375" customWidth="1"/>
    <col min="7" max="7" width="16.7109375" customWidth="1"/>
    <col min="8" max="8" width="18.7109375" customWidth="1"/>
    <col min="9" max="12" width="9.7109375" customWidth="1"/>
    <col min="13" max="14" width="22.7109375" customWidth="1"/>
    <col min="15" max="15" width="12.7109375" customWidth="1"/>
    <col min="16" max="17" width="9.7109375" customWidth="1"/>
    <col min="18" max="18" width="16.7109375" customWidth="1"/>
    <col min="19" max="19" width="13.7109375" customWidth="1"/>
    <col min="20" max="20" width="22.7109375" customWidth="1"/>
    <col min="21" max="21" width="46.7109375" customWidth="1"/>
    <col min="22" max="22" width="40.7109375" customWidth="1"/>
    <col min="23" max="23" width="50.7109375" customWidth="1"/>
    <col min="24" max="24" width="12.7109375" customWidth="1"/>
    <col min="25" max="27" width="9.7109375" hidden="1" customWidth="1"/>
  </cols>
  <sheetData>
    <row r="1" spans="1:27">
      <c r="A1" s="1" t="s">
        <v>3699</v>
      </c>
      <c r="B1" s="1" t="s">
        <v>3700</v>
      </c>
      <c r="C1" s="1" t="s">
        <v>3701</v>
      </c>
      <c r="D1" s="1" t="s">
        <v>3702</v>
      </c>
      <c r="E1" s="1" t="s">
        <v>3703</v>
      </c>
      <c r="F1" s="1" t="s">
        <v>3704</v>
      </c>
      <c r="G1" s="1" t="s">
        <v>3705</v>
      </c>
      <c r="H1" s="1" t="s">
        <v>3706</v>
      </c>
      <c r="I1" s="1" t="s">
        <v>3707</v>
      </c>
      <c r="J1" s="1" t="s">
        <v>3708</v>
      </c>
      <c r="K1" s="1" t="s">
        <v>3709</v>
      </c>
      <c r="L1" s="1" t="s">
        <v>3710</v>
      </c>
      <c r="M1" s="1" t="s">
        <v>3711</v>
      </c>
      <c r="N1" s="1" t="s">
        <v>3712</v>
      </c>
      <c r="O1" s="1" t="s">
        <v>850</v>
      </c>
      <c r="P1" s="1" t="s">
        <v>3713</v>
      </c>
      <c r="Q1" s="1" t="s">
        <v>3714</v>
      </c>
      <c r="R1" s="1" t="s">
        <v>3715</v>
      </c>
      <c r="S1" s="1" t="s">
        <v>3716</v>
      </c>
      <c r="T1" s="1" t="s">
        <v>3717</v>
      </c>
      <c r="U1" s="1" t="s">
        <v>3718</v>
      </c>
      <c r="V1" s="1" t="s">
        <v>3719</v>
      </c>
      <c r="W1" s="1" t="s">
        <v>3720</v>
      </c>
      <c r="X1" s="1" t="s">
        <v>3721</v>
      </c>
      <c r="Y1" s="1" t="s">
        <v>3722</v>
      </c>
      <c r="Z1" s="1" t="s">
        <v>3723</v>
      </c>
      <c r="AA1" s="1" t="s">
        <v>3724</v>
      </c>
    </row>
    <row r="2" spans="1:27">
      <c r="A2" s="2">
        <v>46288</v>
      </c>
      <c r="B2" t="s">
        <v>0</v>
      </c>
      <c r="C2" t="s">
        <v>1</v>
      </c>
      <c r="D2" t="s">
        <v>1</v>
      </c>
      <c r="E2" t="s">
        <v>2</v>
      </c>
      <c r="F2" t="s">
        <v>3</v>
      </c>
      <c r="G2" t="s">
        <v>4</v>
      </c>
      <c r="H2" t="s">
        <v>5</v>
      </c>
      <c r="I2">
        <v>10</v>
      </c>
      <c r="J2">
        <v>1</v>
      </c>
      <c r="K2">
        <v>0</v>
      </c>
      <c r="L2">
        <v>1</v>
      </c>
      <c r="M2" t="s">
        <v>6</v>
      </c>
      <c r="N2" t="s">
        <v>1</v>
      </c>
      <c r="O2" t="s">
        <v>1</v>
      </c>
      <c r="P2" t="s">
        <v>4617</v>
      </c>
      <c r="Q2">
        <v>1</v>
      </c>
      <c r="R2" t="s">
        <v>7</v>
      </c>
      <c r="S2" t="s">
        <v>8</v>
      </c>
      <c r="T2" t="s">
        <v>9</v>
      </c>
      <c r="U2" s="3" t="s">
        <v>1</v>
      </c>
      <c r="V2" s="3" t="s">
        <v>10</v>
      </c>
      <c r="W2" s="3" t="s">
        <v>4618</v>
      </c>
      <c r="X2" t="s">
        <v>12</v>
      </c>
      <c r="Y2">
        <v>9</v>
      </c>
      <c r="Z2">
        <v>0</v>
      </c>
      <c r="AA2">
        <f>IF('Στατιστικά'!$C$6,1,IFERROR(INDEX('Στατιστικά'!$C$10:$C$83,MATCH(G2,'Στατιστικά'!$B$10:$B$83,0))*1,0))</f>
        <v>1</v>
      </c>
    </row>
    <row r="3" spans="1:27">
      <c r="A3" s="2">
        <v>46287</v>
      </c>
      <c r="B3" t="s">
        <v>13</v>
      </c>
      <c r="C3" t="s">
        <v>1</v>
      </c>
      <c r="D3" t="s">
        <v>1</v>
      </c>
      <c r="E3" t="s">
        <v>14</v>
      </c>
      <c r="F3" t="s">
        <v>15</v>
      </c>
      <c r="G3" t="s">
        <v>15</v>
      </c>
      <c r="H3" t="s">
        <v>16</v>
      </c>
      <c r="J3">
        <v>4</v>
      </c>
      <c r="K3">
        <v>0</v>
      </c>
      <c r="L3">
        <v>0</v>
      </c>
      <c r="M3" t="s">
        <v>1</v>
      </c>
      <c r="N3" t="s">
        <v>1</v>
      </c>
      <c r="O3" t="s">
        <v>1</v>
      </c>
      <c r="Q3">
        <v>2</v>
      </c>
      <c r="R3" t="s">
        <v>17</v>
      </c>
      <c r="S3" t="s">
        <v>1</v>
      </c>
      <c r="T3" t="s">
        <v>9</v>
      </c>
      <c r="U3" s="3" t="s">
        <v>1</v>
      </c>
      <c r="V3" s="3" t="s">
        <v>18</v>
      </c>
      <c r="W3" s="3" t="s">
        <v>19</v>
      </c>
      <c r="X3" t="s">
        <v>12</v>
      </c>
      <c r="Y3">
        <v>9</v>
      </c>
      <c r="Z3">
        <v>0</v>
      </c>
      <c r="AA3">
        <f>IF('Στατιστικά'!$C$6,1,IFERROR(INDEX('Στατιστικά'!$C$10:$C$83,MATCH(G3,'Στατιστικά'!$B$10:$B$83,0))*1,0))</f>
        <v>1</v>
      </c>
    </row>
    <row r="4" spans="1:27">
      <c r="A4" s="2">
        <v>46287</v>
      </c>
      <c r="B4" t="s">
        <v>20</v>
      </c>
      <c r="C4" t="s">
        <v>1</v>
      </c>
      <c r="D4" t="s">
        <v>1</v>
      </c>
      <c r="E4" t="s">
        <v>21</v>
      </c>
      <c r="F4" t="s">
        <v>22</v>
      </c>
      <c r="G4" t="s">
        <v>23</v>
      </c>
      <c r="H4" t="s">
        <v>24</v>
      </c>
      <c r="K4">
        <v>0</v>
      </c>
      <c r="L4">
        <v>0</v>
      </c>
      <c r="M4" t="s">
        <v>1</v>
      </c>
      <c r="N4" t="s">
        <v>1</v>
      </c>
      <c r="O4" t="s">
        <v>1</v>
      </c>
      <c r="Q4">
        <v>2</v>
      </c>
      <c r="R4" t="s">
        <v>17</v>
      </c>
      <c r="S4" t="s">
        <v>1</v>
      </c>
      <c r="T4" t="s">
        <v>1</v>
      </c>
      <c r="U4" s="3" t="s">
        <v>1</v>
      </c>
      <c r="V4" s="3" t="s">
        <v>25</v>
      </c>
      <c r="W4" s="3" t="s">
        <v>26</v>
      </c>
      <c r="X4" t="s">
        <v>12</v>
      </c>
      <c r="Y4">
        <v>9</v>
      </c>
      <c r="Z4">
        <v>0</v>
      </c>
      <c r="AA4">
        <f>IF('Στατιστικά'!$C$6,1,IFERROR(INDEX('Στατιστικά'!$C$10:$C$83,MATCH(G4,'Στατιστικά'!$B$10:$B$83,0))*1,0))</f>
        <v>1</v>
      </c>
    </row>
    <row r="5" spans="1:27">
      <c r="A5" s="2">
        <v>46287</v>
      </c>
      <c r="B5" t="s">
        <v>20</v>
      </c>
      <c r="C5" t="s">
        <v>1</v>
      </c>
      <c r="D5" t="s">
        <v>1</v>
      </c>
      <c r="E5" t="s">
        <v>27</v>
      </c>
      <c r="F5" t="s">
        <v>28</v>
      </c>
      <c r="G5" t="s">
        <v>29</v>
      </c>
      <c r="H5" t="s">
        <v>24</v>
      </c>
      <c r="M5" t="s">
        <v>1</v>
      </c>
      <c r="N5" t="s">
        <v>1</v>
      </c>
      <c r="O5" t="s">
        <v>1</v>
      </c>
      <c r="Q5">
        <v>2</v>
      </c>
      <c r="R5" t="s">
        <v>17</v>
      </c>
      <c r="S5" t="s">
        <v>1</v>
      </c>
      <c r="T5" t="s">
        <v>1</v>
      </c>
      <c r="U5" s="3" t="s">
        <v>1</v>
      </c>
      <c r="V5" s="3" t="s">
        <v>30</v>
      </c>
      <c r="W5" s="3" t="s">
        <v>4518</v>
      </c>
      <c r="X5" t="s">
        <v>12</v>
      </c>
      <c r="Y5">
        <v>9</v>
      </c>
      <c r="Z5">
        <v>0</v>
      </c>
      <c r="AA5">
        <f>IF('Στατιστικά'!$C$6,1,IFERROR(INDEX('Στατιστικά'!$C$10:$C$83,MATCH(G5,'Στατιστικά'!$B$10:$B$83,0))*1,0))</f>
        <v>1</v>
      </c>
    </row>
    <row r="6" spans="1:27">
      <c r="A6" s="2">
        <v>46287</v>
      </c>
      <c r="B6" t="s">
        <v>1</v>
      </c>
      <c r="C6" t="s">
        <v>1</v>
      </c>
      <c r="D6" t="s">
        <v>1</v>
      </c>
      <c r="E6" t="s">
        <v>32</v>
      </c>
      <c r="F6" t="s">
        <v>33</v>
      </c>
      <c r="G6" t="s">
        <v>4</v>
      </c>
      <c r="H6" t="s">
        <v>5</v>
      </c>
      <c r="I6">
        <v>10</v>
      </c>
      <c r="J6">
        <v>1</v>
      </c>
      <c r="K6">
        <v>1</v>
      </c>
      <c r="L6">
        <v>1</v>
      </c>
      <c r="M6" t="s">
        <v>34</v>
      </c>
      <c r="N6" t="s">
        <v>1</v>
      </c>
      <c r="O6" t="s">
        <v>1</v>
      </c>
      <c r="P6" t="s">
        <v>4619</v>
      </c>
      <c r="Q6">
        <v>2</v>
      </c>
      <c r="R6" t="s">
        <v>17</v>
      </c>
      <c r="S6" t="s">
        <v>8</v>
      </c>
      <c r="T6" t="s">
        <v>9</v>
      </c>
      <c r="U6" s="3" t="s">
        <v>1</v>
      </c>
      <c r="V6" s="3" t="s">
        <v>35</v>
      </c>
      <c r="W6" s="3" t="s">
        <v>4620</v>
      </c>
      <c r="X6" t="s">
        <v>12</v>
      </c>
      <c r="Y6">
        <v>9</v>
      </c>
      <c r="Z6">
        <v>0</v>
      </c>
      <c r="AA6">
        <f>IF('Στατιστικά'!$C$6,1,IFERROR(INDEX('Στατιστικά'!$C$10:$C$83,MATCH(G6,'Στατιστικά'!$B$10:$B$83,0))*1,0))</f>
        <v>1</v>
      </c>
    </row>
    <row r="7" spans="1:27">
      <c r="A7" s="2">
        <v>46287</v>
      </c>
      <c r="B7" t="s">
        <v>1</v>
      </c>
      <c r="C7" t="s">
        <v>1</v>
      </c>
      <c r="D7" t="s">
        <v>1</v>
      </c>
      <c r="E7" t="s">
        <v>37</v>
      </c>
      <c r="F7" t="s">
        <v>38</v>
      </c>
      <c r="G7" t="s">
        <v>15</v>
      </c>
      <c r="H7" t="s">
        <v>39</v>
      </c>
      <c r="M7" t="s">
        <v>1</v>
      </c>
      <c r="N7" t="s">
        <v>1</v>
      </c>
      <c r="O7" t="s">
        <v>1</v>
      </c>
      <c r="Q7">
        <v>2</v>
      </c>
      <c r="R7" t="s">
        <v>17</v>
      </c>
      <c r="S7" t="s">
        <v>8</v>
      </c>
      <c r="T7" t="s">
        <v>9</v>
      </c>
      <c r="U7" s="3" t="s">
        <v>1</v>
      </c>
      <c r="V7" s="3" t="s">
        <v>40</v>
      </c>
      <c r="W7" s="3" t="s">
        <v>41</v>
      </c>
      <c r="X7" t="s">
        <v>12</v>
      </c>
      <c r="Y7">
        <v>9</v>
      </c>
      <c r="Z7">
        <v>0</v>
      </c>
      <c r="AA7">
        <f>IF('Στατιστικά'!$C$6,1,IFERROR(INDEX('Στατιστικά'!$C$10:$C$83,MATCH(G7,'Στατιστικά'!$B$10:$B$83,0))*1,0))</f>
        <v>1</v>
      </c>
    </row>
    <row r="8" spans="1:27">
      <c r="A8" s="2">
        <v>46286</v>
      </c>
      <c r="B8" t="s">
        <v>42</v>
      </c>
      <c r="C8" t="s">
        <v>1</v>
      </c>
      <c r="D8" t="s">
        <v>1</v>
      </c>
      <c r="E8" t="s">
        <v>43</v>
      </c>
      <c r="F8" t="s">
        <v>44</v>
      </c>
      <c r="G8" t="s">
        <v>45</v>
      </c>
      <c r="H8" t="s">
        <v>1</v>
      </c>
      <c r="I8">
        <v>26</v>
      </c>
      <c r="J8">
        <v>9</v>
      </c>
      <c r="K8">
        <v>0</v>
      </c>
      <c r="L8">
        <v>1</v>
      </c>
      <c r="M8" t="s">
        <v>46</v>
      </c>
      <c r="N8" t="s">
        <v>1</v>
      </c>
      <c r="O8" t="s">
        <v>1</v>
      </c>
      <c r="Q8">
        <v>2</v>
      </c>
      <c r="R8" t="s">
        <v>17</v>
      </c>
      <c r="S8" t="s">
        <v>47</v>
      </c>
      <c r="T8" t="s">
        <v>48</v>
      </c>
      <c r="U8" s="3" t="s">
        <v>1</v>
      </c>
      <c r="V8" s="3" t="s">
        <v>49</v>
      </c>
      <c r="W8" s="3" t="s">
        <v>50</v>
      </c>
      <c r="X8" t="s">
        <v>12</v>
      </c>
      <c r="Y8">
        <v>9</v>
      </c>
      <c r="Z8">
        <v>0</v>
      </c>
      <c r="AA8">
        <f>IF('Στατιστικά'!$C$6,1,IFERROR(INDEX('Στατιστικά'!$C$10:$C$83,MATCH(G8,'Στατιστικά'!$B$10:$B$83,0))*1,0))</f>
        <v>1</v>
      </c>
    </row>
    <row r="9" spans="1:27">
      <c r="A9" s="2">
        <v>46286</v>
      </c>
      <c r="B9" t="s">
        <v>51</v>
      </c>
      <c r="C9" t="s">
        <v>1</v>
      </c>
      <c r="D9" t="s">
        <v>1</v>
      </c>
      <c r="E9" t="s">
        <v>52</v>
      </c>
      <c r="F9" t="s">
        <v>53</v>
      </c>
      <c r="G9" t="s">
        <v>54</v>
      </c>
      <c r="H9" t="s">
        <v>55</v>
      </c>
      <c r="I9">
        <v>52</v>
      </c>
      <c r="J9">
        <v>17</v>
      </c>
      <c r="K9">
        <v>2</v>
      </c>
      <c r="L9">
        <v>2</v>
      </c>
      <c r="M9" t="s">
        <v>56</v>
      </c>
      <c r="N9" t="s">
        <v>57</v>
      </c>
      <c r="O9" t="s">
        <v>1</v>
      </c>
      <c r="P9">
        <v>20</v>
      </c>
      <c r="Q9">
        <v>2</v>
      </c>
      <c r="R9" t="s">
        <v>17</v>
      </c>
      <c r="S9" t="s">
        <v>58</v>
      </c>
      <c r="T9" t="s">
        <v>59</v>
      </c>
      <c r="U9" s="3" t="s">
        <v>1</v>
      </c>
      <c r="V9" s="3" t="s">
        <v>60</v>
      </c>
      <c r="W9" s="3" t="s">
        <v>61</v>
      </c>
      <c r="X9" t="s">
        <v>12</v>
      </c>
      <c r="Y9">
        <v>9</v>
      </c>
      <c r="Z9">
        <v>20</v>
      </c>
      <c r="AA9">
        <f>IF('Στατιστικά'!$C$6,1,IFERROR(INDEX('Στατιστικά'!$C$10:$C$83,MATCH(G9,'Στατιστικά'!$B$10:$B$83,0))*1,0))</f>
        <v>1</v>
      </c>
    </row>
    <row r="10" spans="1:27">
      <c r="A10" s="2">
        <v>46285</v>
      </c>
      <c r="B10" t="s">
        <v>62</v>
      </c>
      <c r="C10" t="s">
        <v>1</v>
      </c>
      <c r="D10" t="s">
        <v>1</v>
      </c>
      <c r="E10" t="s">
        <v>63</v>
      </c>
      <c r="F10" t="s">
        <v>64</v>
      </c>
      <c r="G10" t="s">
        <v>65</v>
      </c>
      <c r="H10" t="s">
        <v>66</v>
      </c>
      <c r="I10">
        <v>16</v>
      </c>
      <c r="J10">
        <v>2</v>
      </c>
      <c r="L10">
        <v>3</v>
      </c>
      <c r="M10" t="s">
        <v>67</v>
      </c>
      <c r="N10" t="s">
        <v>68</v>
      </c>
      <c r="O10" t="s">
        <v>1</v>
      </c>
      <c r="P10" t="s">
        <v>4621</v>
      </c>
      <c r="Q10">
        <v>2</v>
      </c>
      <c r="R10" t="s">
        <v>17</v>
      </c>
      <c r="S10" t="s">
        <v>8</v>
      </c>
      <c r="T10" t="s">
        <v>69</v>
      </c>
      <c r="U10" s="3" t="s">
        <v>1</v>
      </c>
      <c r="V10" s="3" t="s">
        <v>70</v>
      </c>
      <c r="W10" s="3" t="s">
        <v>4622</v>
      </c>
      <c r="X10" t="s">
        <v>12</v>
      </c>
      <c r="Y10">
        <v>9</v>
      </c>
      <c r="Z10">
        <v>0</v>
      </c>
      <c r="AA10">
        <f>IF('Στατιστικά'!$C$6,1,IFERROR(INDEX('Στατιστικά'!$C$10:$C$83,MATCH(G10,'Στατιστικά'!$B$10:$B$83,0))*1,0))</f>
        <v>1</v>
      </c>
    </row>
    <row r="11" spans="1:27">
      <c r="A11" s="2">
        <v>46285</v>
      </c>
      <c r="B11" t="s">
        <v>72</v>
      </c>
      <c r="C11" t="s">
        <v>1</v>
      </c>
      <c r="D11" t="s">
        <v>1</v>
      </c>
      <c r="E11" t="s">
        <v>73</v>
      </c>
      <c r="F11" t="s">
        <v>74</v>
      </c>
      <c r="G11" t="s">
        <v>75</v>
      </c>
      <c r="H11" t="s">
        <v>76</v>
      </c>
      <c r="I11">
        <v>105</v>
      </c>
      <c r="J11">
        <v>35</v>
      </c>
      <c r="K11">
        <v>0</v>
      </c>
      <c r="L11">
        <v>2</v>
      </c>
      <c r="M11" t="s">
        <v>77</v>
      </c>
      <c r="N11" t="s">
        <v>78</v>
      </c>
      <c r="O11" t="s">
        <v>1</v>
      </c>
      <c r="Q11">
        <v>3</v>
      </c>
      <c r="R11" t="s">
        <v>79</v>
      </c>
      <c r="S11" t="s">
        <v>80</v>
      </c>
      <c r="T11" t="s">
        <v>1</v>
      </c>
      <c r="U11" s="3" t="s">
        <v>81</v>
      </c>
      <c r="V11" s="3" t="s">
        <v>82</v>
      </c>
      <c r="W11" s="3" t="s">
        <v>83</v>
      </c>
      <c r="X11" t="s">
        <v>12</v>
      </c>
      <c r="Y11">
        <v>9</v>
      </c>
      <c r="Z11">
        <v>0</v>
      </c>
      <c r="AA11">
        <f>IF('Στατιστικά'!$C$6,1,IFERROR(INDEX('Στατιστικά'!$C$10:$C$83,MATCH(G11,'Στατιστικά'!$B$10:$B$83,0))*1,0))</f>
        <v>1</v>
      </c>
    </row>
    <row r="12" spans="1:27">
      <c r="A12" s="2">
        <v>46282</v>
      </c>
      <c r="B12" t="s">
        <v>84</v>
      </c>
      <c r="C12" t="s">
        <v>1</v>
      </c>
      <c r="D12" t="s">
        <v>1</v>
      </c>
      <c r="E12" t="s">
        <v>85</v>
      </c>
      <c r="F12" t="s">
        <v>86</v>
      </c>
      <c r="G12" t="s">
        <v>87</v>
      </c>
      <c r="H12" t="s">
        <v>88</v>
      </c>
      <c r="I12">
        <v>25</v>
      </c>
      <c r="J12">
        <v>7</v>
      </c>
      <c r="K12">
        <v>4</v>
      </c>
      <c r="L12">
        <v>1</v>
      </c>
      <c r="M12" t="s">
        <v>89</v>
      </c>
      <c r="N12" t="s">
        <v>1</v>
      </c>
      <c r="O12" t="s">
        <v>1</v>
      </c>
      <c r="Q12">
        <v>2</v>
      </c>
      <c r="R12" t="s">
        <v>17</v>
      </c>
      <c r="S12" t="s">
        <v>1</v>
      </c>
      <c r="T12" t="s">
        <v>1</v>
      </c>
      <c r="U12" s="3" t="s">
        <v>1</v>
      </c>
      <c r="V12" s="3" t="s">
        <v>90</v>
      </c>
      <c r="W12" s="3" t="s">
        <v>91</v>
      </c>
      <c r="X12" t="s">
        <v>12</v>
      </c>
      <c r="Y12">
        <v>9</v>
      </c>
      <c r="Z12">
        <v>0</v>
      </c>
      <c r="AA12">
        <f>IF('Στατιστικά'!$C$6,1,IFERROR(INDEX('Στατιστικά'!$C$10:$C$83,MATCH(G12,'Στατιστικά'!$B$10:$B$83,0))*1,0))</f>
        <v>1</v>
      </c>
    </row>
    <row r="13" spans="1:27">
      <c r="A13" s="2">
        <v>46281</v>
      </c>
      <c r="B13" t="s">
        <v>92</v>
      </c>
      <c r="C13" t="s">
        <v>1</v>
      </c>
      <c r="D13" t="s">
        <v>1</v>
      </c>
      <c r="E13" t="s">
        <v>93</v>
      </c>
      <c r="F13" t="s">
        <v>44</v>
      </c>
      <c r="G13" t="s">
        <v>94</v>
      </c>
      <c r="H13" t="s">
        <v>95</v>
      </c>
      <c r="I13">
        <v>36</v>
      </c>
      <c r="J13">
        <v>9</v>
      </c>
      <c r="K13">
        <v>2</v>
      </c>
      <c r="L13">
        <v>2</v>
      </c>
      <c r="M13" t="s">
        <v>96</v>
      </c>
      <c r="N13" t="s">
        <v>97</v>
      </c>
      <c r="O13" t="s">
        <v>1</v>
      </c>
      <c r="Q13">
        <v>3</v>
      </c>
      <c r="R13" t="s">
        <v>79</v>
      </c>
      <c r="S13" t="s">
        <v>80</v>
      </c>
      <c r="T13" t="s">
        <v>98</v>
      </c>
      <c r="U13" s="3" t="s">
        <v>99</v>
      </c>
      <c r="V13" s="3" t="s">
        <v>100</v>
      </c>
      <c r="W13" s="3" t="s">
        <v>101</v>
      </c>
      <c r="X13" t="s">
        <v>12</v>
      </c>
      <c r="Y13">
        <v>9</v>
      </c>
      <c r="Z13">
        <v>0</v>
      </c>
      <c r="AA13">
        <f>IF('Στατιστικά'!$C$6,1,IFERROR(INDEX('Στατιστικά'!$C$10:$C$83,MATCH(G13,'Στατιστικά'!$B$10:$B$83,0))*1,0))</f>
        <v>1</v>
      </c>
    </row>
    <row r="14" spans="1:27">
      <c r="A14" s="2">
        <v>46281</v>
      </c>
      <c r="B14" t="s">
        <v>1</v>
      </c>
      <c r="C14" t="s">
        <v>1</v>
      </c>
      <c r="D14" t="s">
        <v>1</v>
      </c>
      <c r="E14" t="s">
        <v>102</v>
      </c>
      <c r="F14" t="s">
        <v>22</v>
      </c>
      <c r="G14" t="s">
        <v>103</v>
      </c>
      <c r="H14" t="s">
        <v>103</v>
      </c>
      <c r="I14">
        <v>31</v>
      </c>
      <c r="J14">
        <v>10</v>
      </c>
      <c r="K14">
        <v>6</v>
      </c>
      <c r="M14" t="s">
        <v>104</v>
      </c>
      <c r="N14" t="s">
        <v>105</v>
      </c>
      <c r="O14" t="s">
        <v>106</v>
      </c>
      <c r="Q14">
        <v>2</v>
      </c>
      <c r="R14" t="s">
        <v>17</v>
      </c>
      <c r="S14" t="s">
        <v>107</v>
      </c>
      <c r="T14" t="s">
        <v>1</v>
      </c>
      <c r="U14" s="3" t="s">
        <v>1</v>
      </c>
      <c r="V14" s="3" t="s">
        <v>108</v>
      </c>
      <c r="W14" s="3" t="s">
        <v>109</v>
      </c>
      <c r="X14" t="s">
        <v>12</v>
      </c>
      <c r="Y14">
        <v>9</v>
      </c>
      <c r="Z14">
        <v>0</v>
      </c>
      <c r="AA14">
        <f>IF('Στατιστικά'!$C$6,1,IFERROR(INDEX('Στατιστικά'!$C$10:$C$83,MATCH(G14,'Στατιστικά'!$B$10:$B$83,0))*1,0))</f>
        <v>1</v>
      </c>
    </row>
    <row r="15" spans="1:27">
      <c r="A15" s="2">
        <v>46279</v>
      </c>
      <c r="B15" t="s">
        <v>1</v>
      </c>
      <c r="C15" t="s">
        <v>1</v>
      </c>
      <c r="D15" t="s">
        <v>1</v>
      </c>
      <c r="E15" t="s">
        <v>110</v>
      </c>
      <c r="F15" t="s">
        <v>86</v>
      </c>
      <c r="G15" t="s">
        <v>111</v>
      </c>
      <c r="H15" t="s">
        <v>1</v>
      </c>
      <c r="K15">
        <v>5</v>
      </c>
      <c r="M15" t="s">
        <v>112</v>
      </c>
      <c r="N15" t="s">
        <v>1</v>
      </c>
      <c r="O15" t="s">
        <v>1</v>
      </c>
      <c r="Q15">
        <v>2</v>
      </c>
      <c r="R15" t="s">
        <v>17</v>
      </c>
      <c r="S15" t="s">
        <v>1</v>
      </c>
      <c r="T15" t="s">
        <v>1</v>
      </c>
      <c r="U15" s="3" t="s">
        <v>1</v>
      </c>
      <c r="V15" s="3" t="s">
        <v>113</v>
      </c>
      <c r="W15" s="3" t="s">
        <v>114</v>
      </c>
      <c r="X15" t="s">
        <v>12</v>
      </c>
      <c r="Y15">
        <v>9</v>
      </c>
      <c r="Z15">
        <v>0</v>
      </c>
      <c r="AA15">
        <f>IF('Στατιστικά'!$C$6,1,IFERROR(INDEX('Στατιστικά'!$C$10:$C$83,MATCH(G15,'Στατιστικά'!$B$10:$B$83,0))*1,0))</f>
        <v>1</v>
      </c>
    </row>
    <row r="16" spans="1:27">
      <c r="A16" s="2">
        <v>46279</v>
      </c>
      <c r="B16" t="s">
        <v>1</v>
      </c>
      <c r="C16" t="s">
        <v>1</v>
      </c>
      <c r="D16" t="s">
        <v>1</v>
      </c>
      <c r="E16" t="s">
        <v>115</v>
      </c>
      <c r="F16" t="s">
        <v>64</v>
      </c>
      <c r="G16" t="s">
        <v>116</v>
      </c>
      <c r="H16" t="s">
        <v>1</v>
      </c>
      <c r="K16">
        <v>7</v>
      </c>
      <c r="M16" t="s">
        <v>112</v>
      </c>
      <c r="N16" t="s">
        <v>1</v>
      </c>
      <c r="O16" t="s">
        <v>1</v>
      </c>
      <c r="Q16">
        <v>2</v>
      </c>
      <c r="R16" t="s">
        <v>17</v>
      </c>
      <c r="S16" t="s">
        <v>1</v>
      </c>
      <c r="T16" t="s">
        <v>1</v>
      </c>
      <c r="U16" s="3" t="s">
        <v>1</v>
      </c>
      <c r="V16" s="3" t="s">
        <v>113</v>
      </c>
      <c r="W16" s="3" t="s">
        <v>117</v>
      </c>
      <c r="X16" t="s">
        <v>12</v>
      </c>
      <c r="Y16">
        <v>9</v>
      </c>
      <c r="Z16">
        <v>0</v>
      </c>
      <c r="AA16">
        <f>IF('Στατιστικά'!$C$6,1,IFERROR(INDEX('Στατιστικά'!$C$10:$C$83,MATCH(G16,'Στατιστικά'!$B$10:$B$83,0))*1,0))</f>
        <v>1</v>
      </c>
    </row>
    <row r="17" spans="1:27">
      <c r="A17" s="2">
        <v>46277</v>
      </c>
      <c r="B17" t="s">
        <v>118</v>
      </c>
      <c r="C17" t="s">
        <v>1</v>
      </c>
      <c r="D17" t="s">
        <v>1</v>
      </c>
      <c r="E17" t="s">
        <v>119</v>
      </c>
      <c r="F17" t="s">
        <v>120</v>
      </c>
      <c r="G17" t="s">
        <v>121</v>
      </c>
      <c r="H17" t="s">
        <v>122</v>
      </c>
      <c r="I17">
        <v>17</v>
      </c>
      <c r="J17">
        <v>5</v>
      </c>
      <c r="K17">
        <v>4</v>
      </c>
      <c r="L17">
        <v>2</v>
      </c>
      <c r="M17" t="s">
        <v>1</v>
      </c>
      <c r="N17" t="s">
        <v>123</v>
      </c>
      <c r="O17" t="s">
        <v>124</v>
      </c>
      <c r="Q17">
        <v>3</v>
      </c>
      <c r="R17" t="s">
        <v>79</v>
      </c>
      <c r="S17" t="s">
        <v>107</v>
      </c>
      <c r="T17" t="s">
        <v>125</v>
      </c>
      <c r="U17" s="3" t="s">
        <v>1</v>
      </c>
      <c r="V17" s="3" t="s">
        <v>126</v>
      </c>
      <c r="W17" s="3" t="s">
        <v>127</v>
      </c>
      <c r="X17" t="s">
        <v>12</v>
      </c>
      <c r="Y17">
        <v>9</v>
      </c>
      <c r="Z17">
        <v>0</v>
      </c>
      <c r="AA17">
        <f>IF('Στατιστικά'!$C$6,1,IFERROR(INDEX('Στατιστικά'!$C$10:$C$83,MATCH(G17,'Στατιστικά'!$B$10:$B$83,0))*1,0))</f>
        <v>1</v>
      </c>
    </row>
    <row r="18" spans="1:27">
      <c r="A18" s="2">
        <v>46273</v>
      </c>
      <c r="B18" t="s">
        <v>128</v>
      </c>
      <c r="C18" t="s">
        <v>1</v>
      </c>
      <c r="D18" t="s">
        <v>1</v>
      </c>
      <c r="E18" t="s">
        <v>129</v>
      </c>
      <c r="F18" t="s">
        <v>64</v>
      </c>
      <c r="G18" t="s">
        <v>130</v>
      </c>
      <c r="H18" t="s">
        <v>131</v>
      </c>
      <c r="I18">
        <v>10</v>
      </c>
      <c r="J18">
        <v>4</v>
      </c>
      <c r="M18" t="s">
        <v>1</v>
      </c>
      <c r="N18" t="s">
        <v>1</v>
      </c>
      <c r="O18" t="s">
        <v>1</v>
      </c>
      <c r="P18" t="s">
        <v>4623</v>
      </c>
      <c r="Q18">
        <v>3</v>
      </c>
      <c r="R18" t="s">
        <v>79</v>
      </c>
      <c r="S18" t="s">
        <v>80</v>
      </c>
      <c r="T18" t="s">
        <v>1</v>
      </c>
      <c r="U18" s="3" t="s">
        <v>1</v>
      </c>
      <c r="V18" s="3" t="s">
        <v>132</v>
      </c>
      <c r="W18" s="3" t="s">
        <v>4624</v>
      </c>
      <c r="X18" t="s">
        <v>134</v>
      </c>
      <c r="Y18">
        <v>9</v>
      </c>
      <c r="Z18">
        <v>0</v>
      </c>
      <c r="AA18">
        <f>IF('Στατιστικά'!$C$6,1,IFERROR(INDEX('Στατιστικά'!$C$10:$C$83,MATCH(G18,'Στατιστικά'!$B$10:$B$83,0))*1,0))</f>
        <v>1</v>
      </c>
    </row>
    <row r="19" spans="1:27">
      <c r="A19" s="2">
        <v>46273</v>
      </c>
      <c r="B19" t="s">
        <v>1</v>
      </c>
      <c r="C19" t="s">
        <v>1</v>
      </c>
      <c r="D19" t="s">
        <v>1</v>
      </c>
      <c r="E19" t="s">
        <v>135</v>
      </c>
      <c r="F19" t="s">
        <v>74</v>
      </c>
      <c r="G19" t="s">
        <v>136</v>
      </c>
      <c r="H19" t="s">
        <v>1</v>
      </c>
      <c r="I19">
        <v>35</v>
      </c>
      <c r="J19">
        <v>10</v>
      </c>
      <c r="M19" t="s">
        <v>1</v>
      </c>
      <c r="N19" t="s">
        <v>1</v>
      </c>
      <c r="O19" t="s">
        <v>1</v>
      </c>
      <c r="Q19">
        <v>4</v>
      </c>
      <c r="R19" t="s">
        <v>137</v>
      </c>
      <c r="S19" t="s">
        <v>107</v>
      </c>
      <c r="T19" t="s">
        <v>1</v>
      </c>
      <c r="U19" s="3" t="s">
        <v>1</v>
      </c>
      <c r="V19" s="3" t="s">
        <v>138</v>
      </c>
      <c r="W19" s="3" t="s">
        <v>139</v>
      </c>
      <c r="X19" t="s">
        <v>134</v>
      </c>
      <c r="Y19">
        <v>9</v>
      </c>
      <c r="Z19">
        <v>0</v>
      </c>
      <c r="AA19">
        <f>IF('Στατιστικά'!$C$6,1,IFERROR(INDEX('Στατιστικά'!$C$10:$C$83,MATCH(G19,'Στατιστικά'!$B$10:$B$83,0))*1,0))</f>
        <v>1</v>
      </c>
    </row>
    <row r="20" spans="1:27">
      <c r="A20" s="2">
        <v>46273</v>
      </c>
      <c r="B20" t="s">
        <v>1</v>
      </c>
      <c r="C20" t="s">
        <v>1</v>
      </c>
      <c r="D20" t="s">
        <v>1</v>
      </c>
      <c r="E20" t="s">
        <v>140</v>
      </c>
      <c r="F20" t="s">
        <v>141</v>
      </c>
      <c r="G20" t="s">
        <v>142</v>
      </c>
      <c r="H20" t="s">
        <v>143</v>
      </c>
      <c r="I20">
        <v>16</v>
      </c>
      <c r="J20">
        <v>8</v>
      </c>
      <c r="M20" t="s">
        <v>1</v>
      </c>
      <c r="N20" t="s">
        <v>1</v>
      </c>
      <c r="O20" t="s">
        <v>1</v>
      </c>
      <c r="P20">
        <v>1</v>
      </c>
      <c r="Q20">
        <v>3</v>
      </c>
      <c r="R20" t="s">
        <v>79</v>
      </c>
      <c r="S20" t="s">
        <v>80</v>
      </c>
      <c r="T20" t="s">
        <v>1</v>
      </c>
      <c r="U20" s="3" t="s">
        <v>1</v>
      </c>
      <c r="V20" s="3" t="s">
        <v>144</v>
      </c>
      <c r="W20" s="3" t="s">
        <v>145</v>
      </c>
      <c r="X20" t="s">
        <v>134</v>
      </c>
      <c r="Y20">
        <v>9</v>
      </c>
      <c r="Z20">
        <v>1</v>
      </c>
      <c r="AA20">
        <f>IF('Στατιστικά'!$C$6,1,IFERROR(INDEX('Στατιστικά'!$C$10:$C$83,MATCH(G20,'Στατιστικά'!$B$10:$B$83,0))*1,0))</f>
        <v>1</v>
      </c>
    </row>
    <row r="21" spans="1:27">
      <c r="A21" s="2">
        <v>46273</v>
      </c>
      <c r="B21" t="s">
        <v>1</v>
      </c>
      <c r="C21" t="s">
        <v>1</v>
      </c>
      <c r="D21" t="s">
        <v>1</v>
      </c>
      <c r="E21" t="s">
        <v>146</v>
      </c>
      <c r="F21" t="s">
        <v>141</v>
      </c>
      <c r="G21" t="s">
        <v>142</v>
      </c>
      <c r="H21" t="s">
        <v>147</v>
      </c>
      <c r="I21">
        <v>16</v>
      </c>
      <c r="J21">
        <v>8</v>
      </c>
      <c r="M21" t="s">
        <v>1</v>
      </c>
      <c r="N21" t="s">
        <v>1</v>
      </c>
      <c r="O21" t="s">
        <v>1</v>
      </c>
      <c r="P21" t="s">
        <v>4625</v>
      </c>
      <c r="Q21">
        <v>4</v>
      </c>
      <c r="R21" t="s">
        <v>137</v>
      </c>
      <c r="S21" t="s">
        <v>8</v>
      </c>
      <c r="T21" t="s">
        <v>1</v>
      </c>
      <c r="U21" s="3" t="s">
        <v>1</v>
      </c>
      <c r="V21" s="3" t="s">
        <v>148</v>
      </c>
      <c r="W21" s="3" t="s">
        <v>4626</v>
      </c>
      <c r="X21" t="s">
        <v>134</v>
      </c>
      <c r="Y21">
        <v>9</v>
      </c>
      <c r="Z21">
        <v>0</v>
      </c>
      <c r="AA21">
        <f>IF('Στατιστικά'!$C$6,1,IFERROR(INDEX('Στατιστικά'!$C$10:$C$83,MATCH(G21,'Στατιστικά'!$B$10:$B$83,0))*1,0))</f>
        <v>1</v>
      </c>
    </row>
    <row r="22" spans="1:27">
      <c r="A22" s="2">
        <v>46272</v>
      </c>
      <c r="B22" t="s">
        <v>150</v>
      </c>
      <c r="C22" t="s">
        <v>1</v>
      </c>
      <c r="D22" t="s">
        <v>1</v>
      </c>
      <c r="E22" t="s">
        <v>151</v>
      </c>
      <c r="F22" t="s">
        <v>86</v>
      </c>
      <c r="G22" t="s">
        <v>152</v>
      </c>
      <c r="H22" t="s">
        <v>153</v>
      </c>
      <c r="I22">
        <v>20</v>
      </c>
      <c r="J22">
        <v>7</v>
      </c>
      <c r="M22" t="s">
        <v>154</v>
      </c>
      <c r="N22" t="s">
        <v>155</v>
      </c>
      <c r="O22" t="s">
        <v>1</v>
      </c>
      <c r="P22" t="s">
        <v>4627</v>
      </c>
      <c r="Q22">
        <v>3</v>
      </c>
      <c r="R22" t="s">
        <v>79</v>
      </c>
      <c r="S22" t="s">
        <v>8</v>
      </c>
      <c r="T22" t="s">
        <v>1</v>
      </c>
      <c r="U22" s="3" t="s">
        <v>1</v>
      </c>
      <c r="V22" s="3" t="s">
        <v>156</v>
      </c>
      <c r="W22" s="3" t="s">
        <v>4628</v>
      </c>
      <c r="X22" t="s">
        <v>134</v>
      </c>
      <c r="Y22">
        <v>9</v>
      </c>
      <c r="Z22">
        <v>0</v>
      </c>
      <c r="AA22">
        <f>IF('Στατιστικά'!$C$6,1,IFERROR(INDEX('Στατιστικά'!$C$10:$C$83,MATCH(G22,'Στατιστικά'!$B$10:$B$83,0))*1,0))</f>
        <v>1</v>
      </c>
    </row>
    <row r="23" spans="1:27">
      <c r="A23" s="2">
        <v>46272</v>
      </c>
      <c r="B23" t="s">
        <v>158</v>
      </c>
      <c r="C23" t="s">
        <v>1</v>
      </c>
      <c r="D23" t="s">
        <v>1</v>
      </c>
      <c r="E23" t="s">
        <v>159</v>
      </c>
      <c r="F23" t="s">
        <v>160</v>
      </c>
      <c r="G23" t="s">
        <v>161</v>
      </c>
      <c r="H23" t="s">
        <v>162</v>
      </c>
      <c r="I23">
        <v>36</v>
      </c>
      <c r="J23">
        <v>14</v>
      </c>
      <c r="K23">
        <v>4</v>
      </c>
      <c r="L23">
        <v>1</v>
      </c>
      <c r="M23" t="s">
        <v>163</v>
      </c>
      <c r="N23" t="s">
        <v>164</v>
      </c>
      <c r="O23" t="s">
        <v>1</v>
      </c>
      <c r="Q23">
        <v>3</v>
      </c>
      <c r="R23" t="s">
        <v>79</v>
      </c>
      <c r="S23" t="s">
        <v>107</v>
      </c>
      <c r="T23" t="s">
        <v>1</v>
      </c>
      <c r="U23" s="3" t="s">
        <v>1</v>
      </c>
      <c r="V23" s="3" t="s">
        <v>165</v>
      </c>
      <c r="W23" s="3" t="s">
        <v>166</v>
      </c>
      <c r="X23" t="s">
        <v>134</v>
      </c>
      <c r="Y23">
        <v>9</v>
      </c>
      <c r="Z23">
        <v>0</v>
      </c>
      <c r="AA23">
        <f>IF('Στατιστικά'!$C$6,1,IFERROR(INDEX('Στατιστικά'!$C$10:$C$83,MATCH(G23,'Στατιστικά'!$B$10:$B$83,0))*1,0))</f>
        <v>1</v>
      </c>
    </row>
    <row r="24" spans="1:27">
      <c r="A24" s="2">
        <v>46272</v>
      </c>
      <c r="B24" t="s">
        <v>167</v>
      </c>
      <c r="C24" t="s">
        <v>1</v>
      </c>
      <c r="D24" t="s">
        <v>1</v>
      </c>
      <c r="E24" t="s">
        <v>168</v>
      </c>
      <c r="F24" t="s">
        <v>160</v>
      </c>
      <c r="G24" t="s">
        <v>169</v>
      </c>
      <c r="H24" t="s">
        <v>1</v>
      </c>
      <c r="I24">
        <v>42</v>
      </c>
      <c r="J24">
        <v>8</v>
      </c>
      <c r="K24">
        <v>4</v>
      </c>
      <c r="L24">
        <v>1</v>
      </c>
      <c r="M24" t="s">
        <v>170</v>
      </c>
      <c r="N24" t="s">
        <v>105</v>
      </c>
      <c r="O24" t="s">
        <v>1</v>
      </c>
      <c r="Q24">
        <v>3</v>
      </c>
      <c r="R24" t="s">
        <v>79</v>
      </c>
      <c r="S24" t="s">
        <v>8</v>
      </c>
      <c r="T24" t="s">
        <v>1</v>
      </c>
      <c r="U24" s="3" t="s">
        <v>1</v>
      </c>
      <c r="V24" s="3" t="s">
        <v>171</v>
      </c>
      <c r="W24" s="3" t="s">
        <v>172</v>
      </c>
      <c r="X24" t="s">
        <v>12</v>
      </c>
      <c r="Y24">
        <v>9</v>
      </c>
      <c r="Z24">
        <v>0</v>
      </c>
      <c r="AA24">
        <f>IF('Στατιστικά'!$C$6,1,IFERROR(INDEX('Στατιστικά'!$C$10:$C$83,MATCH(G24,'Στατιστικά'!$B$10:$B$83,0))*1,0))</f>
        <v>1</v>
      </c>
    </row>
    <row r="25" spans="1:27">
      <c r="A25" s="2">
        <v>46272</v>
      </c>
      <c r="B25" t="s">
        <v>72</v>
      </c>
      <c r="C25" t="s">
        <v>1</v>
      </c>
      <c r="D25" t="s">
        <v>1</v>
      </c>
      <c r="E25" t="s">
        <v>173</v>
      </c>
      <c r="F25" t="s">
        <v>44</v>
      </c>
      <c r="G25" t="s">
        <v>174</v>
      </c>
      <c r="H25" t="s">
        <v>175</v>
      </c>
      <c r="I25">
        <v>92</v>
      </c>
      <c r="J25">
        <v>32</v>
      </c>
      <c r="K25">
        <v>10</v>
      </c>
      <c r="L25">
        <v>4</v>
      </c>
      <c r="M25" t="s">
        <v>176</v>
      </c>
      <c r="N25" t="s">
        <v>177</v>
      </c>
      <c r="O25" t="s">
        <v>1</v>
      </c>
      <c r="Q25">
        <v>4</v>
      </c>
      <c r="R25" t="s">
        <v>137</v>
      </c>
      <c r="S25" t="s">
        <v>107</v>
      </c>
      <c r="T25" t="s">
        <v>178</v>
      </c>
      <c r="U25" s="3" t="s">
        <v>179</v>
      </c>
      <c r="V25" s="3" t="s">
        <v>180</v>
      </c>
      <c r="W25" s="3" t="s">
        <v>181</v>
      </c>
      <c r="X25" t="s">
        <v>134</v>
      </c>
      <c r="Y25">
        <v>9</v>
      </c>
      <c r="Z25">
        <v>0</v>
      </c>
      <c r="AA25">
        <f>IF('Στατιστικά'!$C$6,1,IFERROR(INDEX('Στατιστικά'!$C$10:$C$83,MATCH(G25,'Στατιστικά'!$B$10:$B$83,0))*1,0))</f>
        <v>1</v>
      </c>
    </row>
    <row r="26" spans="1:27">
      <c r="A26" s="2">
        <v>46272</v>
      </c>
      <c r="B26" t="s">
        <v>182</v>
      </c>
      <c r="C26" t="s">
        <v>1</v>
      </c>
      <c r="D26" t="s">
        <v>1</v>
      </c>
      <c r="E26" t="s">
        <v>183</v>
      </c>
      <c r="F26" t="s">
        <v>44</v>
      </c>
      <c r="G26" t="s">
        <v>174</v>
      </c>
      <c r="H26" t="s">
        <v>175</v>
      </c>
      <c r="I26">
        <v>25</v>
      </c>
      <c r="J26">
        <v>5</v>
      </c>
      <c r="K26">
        <v>0</v>
      </c>
      <c r="L26">
        <v>1</v>
      </c>
      <c r="M26" t="s">
        <v>176</v>
      </c>
      <c r="N26" t="s">
        <v>1</v>
      </c>
      <c r="O26" t="s">
        <v>1</v>
      </c>
      <c r="P26" t="s">
        <v>4629</v>
      </c>
      <c r="Q26">
        <v>4</v>
      </c>
      <c r="R26" t="s">
        <v>137</v>
      </c>
      <c r="S26" t="s">
        <v>8</v>
      </c>
      <c r="T26" t="s">
        <v>1</v>
      </c>
      <c r="U26" s="3" t="s">
        <v>1</v>
      </c>
      <c r="V26" s="3" t="s">
        <v>184</v>
      </c>
      <c r="W26" s="3" t="s">
        <v>4630</v>
      </c>
      <c r="X26" t="s">
        <v>186</v>
      </c>
      <c r="Y26">
        <v>9</v>
      </c>
      <c r="Z26">
        <v>0</v>
      </c>
      <c r="AA26">
        <f>IF('Στατιστικά'!$C$6,1,IFERROR(INDEX('Στατιστικά'!$C$10:$C$83,MATCH(G26,'Στατιστικά'!$B$10:$B$83,0))*1,0))</f>
        <v>1</v>
      </c>
    </row>
    <row r="27" spans="1:27">
      <c r="A27" s="2">
        <v>46272</v>
      </c>
      <c r="B27" t="s">
        <v>0</v>
      </c>
      <c r="C27" t="s">
        <v>1</v>
      </c>
      <c r="D27" t="s">
        <v>1</v>
      </c>
      <c r="E27" t="s">
        <v>187</v>
      </c>
      <c r="F27" t="s">
        <v>86</v>
      </c>
      <c r="G27" t="s">
        <v>188</v>
      </c>
      <c r="H27" t="s">
        <v>189</v>
      </c>
      <c r="I27">
        <v>35</v>
      </c>
      <c r="J27">
        <v>10</v>
      </c>
      <c r="K27">
        <v>3</v>
      </c>
      <c r="L27">
        <v>1</v>
      </c>
      <c r="M27" t="s">
        <v>190</v>
      </c>
      <c r="N27" t="s">
        <v>191</v>
      </c>
      <c r="O27" t="s">
        <v>1</v>
      </c>
      <c r="Q27">
        <v>5</v>
      </c>
      <c r="R27" t="s">
        <v>192</v>
      </c>
      <c r="S27" t="s">
        <v>80</v>
      </c>
      <c r="T27" t="s">
        <v>1</v>
      </c>
      <c r="U27" s="3" t="s">
        <v>1</v>
      </c>
      <c r="V27" s="3" t="s">
        <v>193</v>
      </c>
      <c r="W27" s="3" t="s">
        <v>194</v>
      </c>
      <c r="X27" t="s">
        <v>134</v>
      </c>
      <c r="Y27">
        <v>9</v>
      </c>
      <c r="Z27">
        <v>0</v>
      </c>
      <c r="AA27">
        <f>IF('Στατιστικά'!$C$6,1,IFERROR(INDEX('Στατιστικά'!$C$10:$C$83,MATCH(G27,'Στατιστικά'!$B$10:$B$83,0))*1,0))</f>
        <v>1</v>
      </c>
    </row>
    <row r="28" spans="1:27">
      <c r="A28" s="2">
        <v>46272</v>
      </c>
      <c r="B28" t="s">
        <v>195</v>
      </c>
      <c r="C28" t="s">
        <v>196</v>
      </c>
      <c r="D28" t="s">
        <v>1</v>
      </c>
      <c r="E28" t="s">
        <v>197</v>
      </c>
      <c r="F28" t="s">
        <v>160</v>
      </c>
      <c r="G28" t="s">
        <v>198</v>
      </c>
      <c r="H28" t="s">
        <v>198</v>
      </c>
      <c r="I28">
        <v>18</v>
      </c>
      <c r="J28">
        <v>5</v>
      </c>
      <c r="K28">
        <v>2</v>
      </c>
      <c r="L28">
        <v>1</v>
      </c>
      <c r="M28" t="s">
        <v>199</v>
      </c>
      <c r="N28" t="s">
        <v>200</v>
      </c>
      <c r="O28" t="s">
        <v>1</v>
      </c>
      <c r="P28" t="s">
        <v>4631</v>
      </c>
      <c r="Q28">
        <v>3</v>
      </c>
      <c r="R28" t="s">
        <v>79</v>
      </c>
      <c r="S28" t="s">
        <v>107</v>
      </c>
      <c r="T28" t="s">
        <v>98</v>
      </c>
      <c r="U28" s="3" t="s">
        <v>201</v>
      </c>
      <c r="V28" s="3" t="s">
        <v>202</v>
      </c>
      <c r="W28" s="3" t="s">
        <v>4632</v>
      </c>
      <c r="X28" t="s">
        <v>134</v>
      </c>
      <c r="Y28">
        <v>9</v>
      </c>
      <c r="Z28">
        <v>0</v>
      </c>
      <c r="AA28">
        <f>IF('Στατιστικά'!$C$6,1,IFERROR(INDEX('Στατιστικά'!$C$10:$C$83,MATCH(G28,'Στατιστικά'!$B$10:$B$83,0))*1,0))</f>
        <v>1</v>
      </c>
    </row>
    <row r="29" spans="1:27">
      <c r="A29" s="2">
        <v>46272</v>
      </c>
      <c r="B29" t="s">
        <v>1</v>
      </c>
      <c r="C29" t="s">
        <v>1</v>
      </c>
      <c r="D29" t="s">
        <v>1</v>
      </c>
      <c r="E29" t="s">
        <v>204</v>
      </c>
      <c r="F29" t="s">
        <v>141</v>
      </c>
      <c r="G29" t="s">
        <v>205</v>
      </c>
      <c r="H29" t="s">
        <v>1</v>
      </c>
      <c r="I29">
        <v>75</v>
      </c>
      <c r="J29">
        <v>22</v>
      </c>
      <c r="K29">
        <v>6</v>
      </c>
      <c r="L29">
        <v>1</v>
      </c>
      <c r="M29" t="s">
        <v>206</v>
      </c>
      <c r="N29" t="s">
        <v>1</v>
      </c>
      <c r="O29" t="s">
        <v>1</v>
      </c>
      <c r="Q29">
        <v>3</v>
      </c>
      <c r="R29" t="s">
        <v>79</v>
      </c>
      <c r="S29" t="s">
        <v>8</v>
      </c>
      <c r="T29" t="s">
        <v>1</v>
      </c>
      <c r="U29" s="3" t="s">
        <v>1</v>
      </c>
      <c r="V29" s="3" t="s">
        <v>207</v>
      </c>
      <c r="W29" s="3" t="s">
        <v>208</v>
      </c>
      <c r="X29" t="s">
        <v>12</v>
      </c>
      <c r="Y29">
        <v>9</v>
      </c>
      <c r="Z29">
        <v>0</v>
      </c>
      <c r="AA29">
        <f>IF('Στατιστικά'!$C$6,1,IFERROR(INDEX('Στατιστικά'!$C$10:$C$83,MATCH(G29,'Στατιστικά'!$B$10:$B$83,0))*1,0))</f>
        <v>1</v>
      </c>
    </row>
    <row r="30" spans="1:27">
      <c r="A30" s="2">
        <v>46272</v>
      </c>
      <c r="B30" t="s">
        <v>1</v>
      </c>
      <c r="C30" t="s">
        <v>196</v>
      </c>
      <c r="D30" t="s">
        <v>1</v>
      </c>
      <c r="E30" t="s">
        <v>209</v>
      </c>
      <c r="F30" t="s">
        <v>160</v>
      </c>
      <c r="G30" t="s">
        <v>198</v>
      </c>
      <c r="H30" t="s">
        <v>210</v>
      </c>
      <c r="I30">
        <v>18</v>
      </c>
      <c r="J30">
        <v>5</v>
      </c>
      <c r="K30">
        <v>2</v>
      </c>
      <c r="L30">
        <v>1</v>
      </c>
      <c r="M30" t="s">
        <v>211</v>
      </c>
      <c r="N30" t="s">
        <v>212</v>
      </c>
      <c r="O30" t="s">
        <v>1</v>
      </c>
      <c r="Q30">
        <v>3</v>
      </c>
      <c r="R30" t="s">
        <v>79</v>
      </c>
      <c r="S30" t="s">
        <v>107</v>
      </c>
      <c r="T30" t="s">
        <v>1</v>
      </c>
      <c r="U30" s="3" t="s">
        <v>1</v>
      </c>
      <c r="V30" s="3" t="s">
        <v>213</v>
      </c>
      <c r="W30" s="3" t="s">
        <v>4519</v>
      </c>
      <c r="X30" t="s">
        <v>134</v>
      </c>
      <c r="Y30">
        <v>9</v>
      </c>
      <c r="Z30">
        <v>0</v>
      </c>
      <c r="AA30">
        <f>IF('Στατιστικά'!$C$6,1,IFERROR(INDEX('Στατιστικά'!$C$10:$C$83,MATCH(G30,'Στατιστικά'!$B$10:$B$83,0))*1,0))</f>
        <v>1</v>
      </c>
    </row>
    <row r="31" spans="1:27">
      <c r="A31" s="2">
        <v>46272</v>
      </c>
      <c r="B31" t="s">
        <v>1</v>
      </c>
      <c r="C31" t="s">
        <v>215</v>
      </c>
      <c r="D31" t="s">
        <v>1</v>
      </c>
      <c r="E31" t="s">
        <v>216</v>
      </c>
      <c r="F31" t="s">
        <v>217</v>
      </c>
      <c r="G31" t="s">
        <v>218</v>
      </c>
      <c r="H31" t="s">
        <v>219</v>
      </c>
      <c r="I31">
        <v>21</v>
      </c>
      <c r="J31">
        <v>6</v>
      </c>
      <c r="K31">
        <v>0</v>
      </c>
      <c r="L31">
        <v>1</v>
      </c>
      <c r="M31" t="s">
        <v>220</v>
      </c>
      <c r="N31" t="s">
        <v>221</v>
      </c>
      <c r="O31" t="s">
        <v>1</v>
      </c>
      <c r="P31" t="s">
        <v>4633</v>
      </c>
      <c r="Q31">
        <v>4</v>
      </c>
      <c r="R31" t="s">
        <v>137</v>
      </c>
      <c r="S31" t="s">
        <v>80</v>
      </c>
      <c r="T31" t="s">
        <v>222</v>
      </c>
      <c r="U31" s="3" t="s">
        <v>1</v>
      </c>
      <c r="V31" s="3" t="s">
        <v>223</v>
      </c>
      <c r="W31" s="3" t="s">
        <v>4634</v>
      </c>
      <c r="X31" t="s">
        <v>134</v>
      </c>
      <c r="Y31">
        <v>9</v>
      </c>
      <c r="Z31">
        <v>0</v>
      </c>
      <c r="AA31">
        <f>IF('Στατιστικά'!$C$6,1,IFERROR(INDEX('Στατιστικά'!$C$10:$C$83,MATCH(G31,'Στατιστικά'!$B$10:$B$83,0))*1,0))</f>
        <v>1</v>
      </c>
    </row>
    <row r="32" spans="1:27">
      <c r="A32" s="2">
        <v>46271</v>
      </c>
      <c r="B32" t="s">
        <v>225</v>
      </c>
      <c r="C32" t="s">
        <v>226</v>
      </c>
      <c r="D32" t="s">
        <v>1</v>
      </c>
      <c r="E32" t="s">
        <v>227</v>
      </c>
      <c r="F32" t="s">
        <v>64</v>
      </c>
      <c r="G32" t="s">
        <v>116</v>
      </c>
      <c r="H32" t="s">
        <v>228</v>
      </c>
      <c r="I32">
        <v>32</v>
      </c>
      <c r="J32">
        <v>9</v>
      </c>
      <c r="K32">
        <v>4</v>
      </c>
      <c r="L32">
        <v>2</v>
      </c>
      <c r="M32" t="s">
        <v>56</v>
      </c>
      <c r="N32" t="s">
        <v>1</v>
      </c>
      <c r="O32" t="s">
        <v>1</v>
      </c>
      <c r="Q32">
        <v>2</v>
      </c>
      <c r="R32" t="s">
        <v>17</v>
      </c>
      <c r="S32" t="s">
        <v>107</v>
      </c>
      <c r="T32" t="s">
        <v>229</v>
      </c>
      <c r="U32" s="3" t="s">
        <v>1</v>
      </c>
      <c r="V32" s="3" t="s">
        <v>230</v>
      </c>
      <c r="W32" s="3" t="s">
        <v>231</v>
      </c>
      <c r="X32" t="s">
        <v>134</v>
      </c>
      <c r="Y32">
        <v>9</v>
      </c>
      <c r="Z32">
        <v>0</v>
      </c>
      <c r="AA32">
        <f>IF('Στατιστικά'!$C$6,1,IFERROR(INDEX('Στατιστικά'!$C$10:$C$83,MATCH(G32,'Στατιστικά'!$B$10:$B$83,0))*1,0))</f>
        <v>1</v>
      </c>
    </row>
    <row r="33" spans="1:27">
      <c r="A33" s="2">
        <v>46271</v>
      </c>
      <c r="B33" t="s">
        <v>225</v>
      </c>
      <c r="C33" t="s">
        <v>1</v>
      </c>
      <c r="D33" t="s">
        <v>1</v>
      </c>
      <c r="E33" t="s">
        <v>228</v>
      </c>
      <c r="F33" t="s">
        <v>64</v>
      </c>
      <c r="G33" t="s">
        <v>116</v>
      </c>
      <c r="H33" t="s">
        <v>1</v>
      </c>
      <c r="M33" t="s">
        <v>1</v>
      </c>
      <c r="N33" t="s">
        <v>1</v>
      </c>
      <c r="O33" t="s">
        <v>1</v>
      </c>
      <c r="Q33">
        <v>2</v>
      </c>
      <c r="R33" t="s">
        <v>17</v>
      </c>
      <c r="S33" t="s">
        <v>107</v>
      </c>
      <c r="T33" t="s">
        <v>232</v>
      </c>
      <c r="U33" s="3" t="s">
        <v>1</v>
      </c>
      <c r="V33" s="3" t="s">
        <v>233</v>
      </c>
      <c r="W33" s="3" t="s">
        <v>234</v>
      </c>
      <c r="X33" t="s">
        <v>134</v>
      </c>
      <c r="Y33">
        <v>9</v>
      </c>
      <c r="Z33">
        <v>0</v>
      </c>
      <c r="AA33">
        <f>IF('Στατιστικά'!$C$6,1,IFERROR(INDEX('Στατιστικά'!$C$10:$C$83,MATCH(G33,'Στατιστικά'!$B$10:$B$83,0))*1,0))</f>
        <v>1</v>
      </c>
    </row>
    <row r="34" spans="1:27">
      <c r="A34" s="2">
        <v>46271</v>
      </c>
      <c r="B34" t="s">
        <v>235</v>
      </c>
      <c r="C34" t="s">
        <v>1</v>
      </c>
      <c r="D34" t="s">
        <v>1</v>
      </c>
      <c r="E34" t="s">
        <v>236</v>
      </c>
      <c r="F34" t="s">
        <v>141</v>
      </c>
      <c r="G34" t="s">
        <v>205</v>
      </c>
      <c r="H34" t="s">
        <v>237</v>
      </c>
      <c r="I34">
        <v>45</v>
      </c>
      <c r="J34">
        <v>19</v>
      </c>
      <c r="K34">
        <v>10</v>
      </c>
      <c r="L34">
        <v>0</v>
      </c>
      <c r="M34" t="s">
        <v>206</v>
      </c>
      <c r="N34" t="s">
        <v>238</v>
      </c>
      <c r="O34" t="s">
        <v>239</v>
      </c>
      <c r="Q34">
        <v>3</v>
      </c>
      <c r="R34" t="s">
        <v>79</v>
      </c>
      <c r="S34" t="s">
        <v>8</v>
      </c>
      <c r="T34" t="s">
        <v>1</v>
      </c>
      <c r="U34" s="3" t="s">
        <v>240</v>
      </c>
      <c r="V34" s="3" t="s">
        <v>241</v>
      </c>
      <c r="W34" s="3" t="s">
        <v>242</v>
      </c>
      <c r="X34" t="s">
        <v>134</v>
      </c>
      <c r="Y34">
        <v>9</v>
      </c>
      <c r="Z34">
        <v>0</v>
      </c>
      <c r="AA34">
        <f>IF('Στατιστικά'!$C$6,1,IFERROR(INDEX('Στατιστικά'!$C$10:$C$83,MATCH(G34,'Στατιστικά'!$B$10:$B$83,0))*1,0))</f>
        <v>1</v>
      </c>
    </row>
    <row r="35" spans="1:27">
      <c r="A35" s="2">
        <v>46271</v>
      </c>
      <c r="B35" t="s">
        <v>243</v>
      </c>
      <c r="C35" t="s">
        <v>1</v>
      </c>
      <c r="D35" t="s">
        <v>244</v>
      </c>
      <c r="E35" t="s">
        <v>245</v>
      </c>
      <c r="F35" t="s">
        <v>217</v>
      </c>
      <c r="G35" t="s">
        <v>205</v>
      </c>
      <c r="H35" t="s">
        <v>246</v>
      </c>
      <c r="I35">
        <v>25</v>
      </c>
      <c r="J35">
        <v>10</v>
      </c>
      <c r="K35">
        <v>6</v>
      </c>
      <c r="M35" t="s">
        <v>1</v>
      </c>
      <c r="N35" t="s">
        <v>247</v>
      </c>
      <c r="O35" t="s">
        <v>1</v>
      </c>
      <c r="Q35">
        <v>3</v>
      </c>
      <c r="R35" t="s">
        <v>79</v>
      </c>
      <c r="S35" t="s">
        <v>58</v>
      </c>
      <c r="T35" t="s">
        <v>248</v>
      </c>
      <c r="U35" s="3" t="s">
        <v>1</v>
      </c>
      <c r="V35" s="3" t="s">
        <v>249</v>
      </c>
      <c r="W35" s="3" t="s">
        <v>250</v>
      </c>
      <c r="X35" t="s">
        <v>134</v>
      </c>
      <c r="Y35">
        <v>9</v>
      </c>
      <c r="Z35">
        <v>0</v>
      </c>
      <c r="AA35">
        <f>IF('Στατιστικά'!$C$6,1,IFERROR(INDEX('Στατιστικά'!$C$10:$C$83,MATCH(G35,'Στατιστικά'!$B$10:$B$83,0))*1,0))</f>
        <v>1</v>
      </c>
    </row>
    <row r="36" spans="1:27">
      <c r="A36" s="2">
        <v>46271</v>
      </c>
      <c r="B36" t="s">
        <v>251</v>
      </c>
      <c r="C36" t="s">
        <v>1</v>
      </c>
      <c r="D36" t="s">
        <v>1</v>
      </c>
      <c r="E36" t="s">
        <v>252</v>
      </c>
      <c r="F36" t="s">
        <v>217</v>
      </c>
      <c r="G36" t="s">
        <v>205</v>
      </c>
      <c r="H36" t="s">
        <v>253</v>
      </c>
      <c r="I36">
        <v>45</v>
      </c>
      <c r="J36">
        <v>16</v>
      </c>
      <c r="K36">
        <v>10</v>
      </c>
      <c r="M36" t="s">
        <v>206</v>
      </c>
      <c r="N36" t="s">
        <v>254</v>
      </c>
      <c r="O36" t="s">
        <v>106</v>
      </c>
      <c r="Q36">
        <v>3</v>
      </c>
      <c r="R36" t="s">
        <v>79</v>
      </c>
      <c r="S36" t="s">
        <v>8</v>
      </c>
      <c r="T36" t="s">
        <v>98</v>
      </c>
      <c r="U36" s="3" t="s">
        <v>255</v>
      </c>
      <c r="V36" s="3" t="s">
        <v>256</v>
      </c>
      <c r="W36" s="3" t="s">
        <v>4520</v>
      </c>
      <c r="X36" t="s">
        <v>134</v>
      </c>
      <c r="Y36">
        <v>9</v>
      </c>
      <c r="Z36">
        <v>0</v>
      </c>
      <c r="AA36">
        <f>IF('Στατιστικά'!$C$6,1,IFERROR(INDEX('Στατιστικά'!$C$10:$C$83,MATCH(G36,'Στατιστικά'!$B$10:$B$83,0))*1,0))</f>
        <v>1</v>
      </c>
    </row>
    <row r="37" spans="1:27">
      <c r="A37" s="2">
        <v>46271</v>
      </c>
      <c r="B37" t="s">
        <v>258</v>
      </c>
      <c r="C37" t="s">
        <v>259</v>
      </c>
      <c r="D37" t="s">
        <v>1</v>
      </c>
      <c r="E37" t="s">
        <v>260</v>
      </c>
      <c r="F37" t="s">
        <v>217</v>
      </c>
      <c r="G37" t="s">
        <v>218</v>
      </c>
      <c r="H37" t="s">
        <v>1</v>
      </c>
      <c r="I37">
        <v>30</v>
      </c>
      <c r="J37">
        <v>9</v>
      </c>
      <c r="K37">
        <v>7</v>
      </c>
      <c r="L37">
        <v>1</v>
      </c>
      <c r="M37" t="s">
        <v>261</v>
      </c>
      <c r="N37" t="s">
        <v>262</v>
      </c>
      <c r="O37" t="s">
        <v>106</v>
      </c>
      <c r="P37">
        <v>20</v>
      </c>
      <c r="Q37">
        <v>3</v>
      </c>
      <c r="R37" t="s">
        <v>79</v>
      </c>
      <c r="S37" t="s">
        <v>8</v>
      </c>
      <c r="T37" t="s">
        <v>263</v>
      </c>
      <c r="U37" s="3" t="s">
        <v>1</v>
      </c>
      <c r="V37" s="3" t="s">
        <v>264</v>
      </c>
      <c r="W37" s="3" t="s">
        <v>265</v>
      </c>
      <c r="X37" t="s">
        <v>134</v>
      </c>
      <c r="Y37">
        <v>9</v>
      </c>
      <c r="Z37">
        <v>20</v>
      </c>
      <c r="AA37">
        <f>IF('Στατιστικά'!$C$6,1,IFERROR(INDEX('Στατιστικά'!$C$10:$C$83,MATCH(G37,'Στατιστικά'!$B$10:$B$83,0))*1,0))</f>
        <v>1</v>
      </c>
    </row>
    <row r="38" spans="1:27">
      <c r="A38" s="2">
        <v>46271</v>
      </c>
      <c r="B38" t="s">
        <v>118</v>
      </c>
      <c r="C38" t="s">
        <v>1</v>
      </c>
      <c r="D38" t="s">
        <v>1</v>
      </c>
      <c r="E38" t="s">
        <v>266</v>
      </c>
      <c r="F38" t="s">
        <v>44</v>
      </c>
      <c r="G38" t="s">
        <v>45</v>
      </c>
      <c r="H38" t="s">
        <v>1</v>
      </c>
      <c r="I38">
        <v>55</v>
      </c>
      <c r="J38">
        <v>15</v>
      </c>
      <c r="K38">
        <v>8</v>
      </c>
      <c r="L38">
        <v>3</v>
      </c>
      <c r="M38" t="s">
        <v>267</v>
      </c>
      <c r="N38" t="s">
        <v>1</v>
      </c>
      <c r="O38" t="s">
        <v>1</v>
      </c>
      <c r="Q38">
        <v>3</v>
      </c>
      <c r="R38" t="s">
        <v>79</v>
      </c>
      <c r="S38" t="s">
        <v>107</v>
      </c>
      <c r="T38" t="s">
        <v>1</v>
      </c>
      <c r="U38" s="3" t="s">
        <v>268</v>
      </c>
      <c r="V38" s="3" t="s">
        <v>269</v>
      </c>
      <c r="W38" s="3" t="s">
        <v>270</v>
      </c>
      <c r="X38" t="s">
        <v>186</v>
      </c>
      <c r="Y38">
        <v>9</v>
      </c>
      <c r="Z38">
        <v>0</v>
      </c>
      <c r="AA38">
        <f>IF('Στατιστικά'!$C$6,1,IFERROR(INDEX('Στατιστικά'!$C$10:$C$83,MATCH(G38,'Στατιστικά'!$B$10:$B$83,0))*1,0))</f>
        <v>1</v>
      </c>
    </row>
    <row r="39" spans="1:27">
      <c r="A39" s="2">
        <v>46271</v>
      </c>
      <c r="B39" t="s">
        <v>118</v>
      </c>
      <c r="C39" t="s">
        <v>1</v>
      </c>
      <c r="D39" t="s">
        <v>1</v>
      </c>
      <c r="E39" t="s">
        <v>271</v>
      </c>
      <c r="F39" t="s">
        <v>44</v>
      </c>
      <c r="G39" t="s">
        <v>45</v>
      </c>
      <c r="H39" t="s">
        <v>272</v>
      </c>
      <c r="I39">
        <v>55</v>
      </c>
      <c r="J39">
        <v>15</v>
      </c>
      <c r="K39">
        <v>8</v>
      </c>
      <c r="L39">
        <v>3</v>
      </c>
      <c r="M39" t="s">
        <v>267</v>
      </c>
      <c r="N39" t="s">
        <v>273</v>
      </c>
      <c r="O39" t="s">
        <v>106</v>
      </c>
      <c r="Q39">
        <v>3</v>
      </c>
      <c r="R39" t="s">
        <v>79</v>
      </c>
      <c r="S39" t="s">
        <v>107</v>
      </c>
      <c r="T39" t="s">
        <v>98</v>
      </c>
      <c r="U39" s="3" t="s">
        <v>274</v>
      </c>
      <c r="V39" s="3" t="s">
        <v>275</v>
      </c>
      <c r="W39" s="3" t="s">
        <v>276</v>
      </c>
      <c r="X39" t="s">
        <v>277</v>
      </c>
      <c r="Y39">
        <v>9</v>
      </c>
      <c r="Z39">
        <v>0</v>
      </c>
      <c r="AA39">
        <f>IF('Στατιστικά'!$C$6,1,IFERROR(INDEX('Στατιστικά'!$C$10:$C$83,MATCH(G39,'Στατιστικά'!$B$10:$B$83,0))*1,0))</f>
        <v>1</v>
      </c>
    </row>
    <row r="40" spans="1:27">
      <c r="A40" s="2">
        <v>46271</v>
      </c>
      <c r="B40" t="s">
        <v>278</v>
      </c>
      <c r="C40" t="s">
        <v>1</v>
      </c>
      <c r="D40" t="s">
        <v>1</v>
      </c>
      <c r="E40" t="s">
        <v>279</v>
      </c>
      <c r="F40" t="s">
        <v>38</v>
      </c>
      <c r="G40" t="s">
        <v>15</v>
      </c>
      <c r="H40" t="s">
        <v>280</v>
      </c>
      <c r="I40">
        <v>135</v>
      </c>
      <c r="J40">
        <v>23</v>
      </c>
      <c r="K40">
        <v>2</v>
      </c>
      <c r="L40">
        <v>3</v>
      </c>
      <c r="M40" t="s">
        <v>281</v>
      </c>
      <c r="N40" t="s">
        <v>282</v>
      </c>
      <c r="O40" t="s">
        <v>239</v>
      </c>
      <c r="Q40">
        <v>3</v>
      </c>
      <c r="R40" t="s">
        <v>79</v>
      </c>
      <c r="S40" t="s">
        <v>107</v>
      </c>
      <c r="T40" t="s">
        <v>1</v>
      </c>
      <c r="U40" s="3" t="s">
        <v>283</v>
      </c>
      <c r="V40" s="3" t="s">
        <v>284</v>
      </c>
      <c r="W40" s="3" t="s">
        <v>285</v>
      </c>
      <c r="X40" t="s">
        <v>134</v>
      </c>
      <c r="Y40">
        <v>9</v>
      </c>
      <c r="Z40">
        <v>0</v>
      </c>
      <c r="AA40">
        <f>IF('Στατιστικά'!$C$6,1,IFERROR(INDEX('Στατιστικά'!$C$10:$C$83,MATCH(G40,'Στατιστικά'!$B$10:$B$83,0))*1,0))</f>
        <v>1</v>
      </c>
    </row>
    <row r="41" spans="1:27">
      <c r="A41" s="2">
        <v>46270</v>
      </c>
      <c r="B41" t="s">
        <v>286</v>
      </c>
      <c r="C41" t="s">
        <v>1</v>
      </c>
      <c r="D41" t="s">
        <v>1</v>
      </c>
      <c r="E41" t="s">
        <v>287</v>
      </c>
      <c r="F41" t="s">
        <v>38</v>
      </c>
      <c r="G41" t="s">
        <v>15</v>
      </c>
      <c r="H41" t="s">
        <v>288</v>
      </c>
      <c r="I41">
        <v>45</v>
      </c>
      <c r="J41">
        <v>15</v>
      </c>
      <c r="K41">
        <v>2</v>
      </c>
      <c r="L41">
        <v>2</v>
      </c>
      <c r="M41" t="s">
        <v>289</v>
      </c>
      <c r="N41" t="s">
        <v>290</v>
      </c>
      <c r="O41" t="s">
        <v>1</v>
      </c>
      <c r="Q41">
        <v>4</v>
      </c>
      <c r="R41" t="s">
        <v>137</v>
      </c>
      <c r="S41" t="s">
        <v>107</v>
      </c>
      <c r="T41" t="s">
        <v>291</v>
      </c>
      <c r="U41" s="3" t="s">
        <v>1</v>
      </c>
      <c r="V41" s="3" t="s">
        <v>292</v>
      </c>
      <c r="W41" s="3" t="s">
        <v>293</v>
      </c>
      <c r="X41" t="s">
        <v>134</v>
      </c>
      <c r="Y41">
        <v>9</v>
      </c>
      <c r="Z41">
        <v>0</v>
      </c>
      <c r="AA41">
        <f>IF('Στατιστικά'!$C$6,1,IFERROR(INDEX('Στατιστικά'!$C$10:$C$83,MATCH(G41,'Στατιστικά'!$B$10:$B$83,0))*1,0))</f>
        <v>1</v>
      </c>
    </row>
    <row r="42" spans="1:27">
      <c r="A42" s="2">
        <v>46270</v>
      </c>
      <c r="B42" t="s">
        <v>251</v>
      </c>
      <c r="C42" t="s">
        <v>1</v>
      </c>
      <c r="D42" t="s">
        <v>1</v>
      </c>
      <c r="E42" t="s">
        <v>294</v>
      </c>
      <c r="F42" t="s">
        <v>217</v>
      </c>
      <c r="G42" t="s">
        <v>205</v>
      </c>
      <c r="H42" t="s">
        <v>237</v>
      </c>
      <c r="I42">
        <v>75</v>
      </c>
      <c r="J42">
        <v>22</v>
      </c>
      <c r="K42">
        <v>6</v>
      </c>
      <c r="L42">
        <v>1</v>
      </c>
      <c r="M42" t="s">
        <v>295</v>
      </c>
      <c r="N42" t="s">
        <v>296</v>
      </c>
      <c r="O42" t="s">
        <v>1</v>
      </c>
      <c r="Q42">
        <v>3</v>
      </c>
      <c r="R42" t="s">
        <v>79</v>
      </c>
      <c r="S42" t="s">
        <v>107</v>
      </c>
      <c r="T42" t="s">
        <v>1</v>
      </c>
      <c r="U42" s="3" t="s">
        <v>297</v>
      </c>
      <c r="V42" s="3" t="s">
        <v>298</v>
      </c>
      <c r="W42" s="3" t="s">
        <v>299</v>
      </c>
      <c r="X42" t="s">
        <v>134</v>
      </c>
      <c r="Y42">
        <v>9</v>
      </c>
      <c r="Z42">
        <v>0</v>
      </c>
      <c r="AA42">
        <f>IF('Στατιστικά'!$C$6,1,IFERROR(INDEX('Στατιστικά'!$C$10:$C$83,MATCH(G42,'Στατιστικά'!$B$10:$B$83,0))*1,0))</f>
        <v>1</v>
      </c>
    </row>
    <row r="43" spans="1:27">
      <c r="A43" s="2">
        <v>46270</v>
      </c>
      <c r="B43" t="s">
        <v>300</v>
      </c>
      <c r="C43" t="s">
        <v>1</v>
      </c>
      <c r="D43" t="s">
        <v>1</v>
      </c>
      <c r="E43" t="s">
        <v>301</v>
      </c>
      <c r="F43" t="s">
        <v>44</v>
      </c>
      <c r="G43" t="s">
        <v>174</v>
      </c>
      <c r="H43" t="s">
        <v>302</v>
      </c>
      <c r="I43">
        <v>30</v>
      </c>
      <c r="J43">
        <v>10</v>
      </c>
      <c r="K43">
        <v>0</v>
      </c>
      <c r="L43">
        <v>2</v>
      </c>
      <c r="M43" t="s">
        <v>303</v>
      </c>
      <c r="N43" t="s">
        <v>1</v>
      </c>
      <c r="O43" t="s">
        <v>1</v>
      </c>
      <c r="Q43">
        <v>3</v>
      </c>
      <c r="R43" t="s">
        <v>79</v>
      </c>
      <c r="S43" t="s">
        <v>8</v>
      </c>
      <c r="T43" t="s">
        <v>304</v>
      </c>
      <c r="U43" s="3" t="s">
        <v>1</v>
      </c>
      <c r="V43" s="3" t="s">
        <v>305</v>
      </c>
      <c r="W43" s="3" t="s">
        <v>306</v>
      </c>
      <c r="X43" t="s">
        <v>186</v>
      </c>
      <c r="Y43">
        <v>9</v>
      </c>
      <c r="Z43">
        <v>0</v>
      </c>
      <c r="AA43">
        <f>IF('Στατιστικά'!$C$6,1,IFERROR(INDEX('Στατιστικά'!$C$10:$C$83,MATCH(G43,'Στατιστικά'!$B$10:$B$83,0))*1,0))</f>
        <v>1</v>
      </c>
    </row>
    <row r="44" spans="1:27">
      <c r="A44" s="2">
        <v>46270</v>
      </c>
      <c r="B44" t="s">
        <v>300</v>
      </c>
      <c r="C44" t="s">
        <v>1</v>
      </c>
      <c r="D44" t="s">
        <v>1</v>
      </c>
      <c r="E44" t="s">
        <v>307</v>
      </c>
      <c r="F44" t="s">
        <v>44</v>
      </c>
      <c r="G44" t="s">
        <v>45</v>
      </c>
      <c r="H44" t="s">
        <v>308</v>
      </c>
      <c r="I44">
        <v>115</v>
      </c>
      <c r="J44">
        <v>36</v>
      </c>
      <c r="K44">
        <v>9</v>
      </c>
      <c r="L44">
        <v>4</v>
      </c>
      <c r="M44" t="s">
        <v>309</v>
      </c>
      <c r="N44" t="s">
        <v>1</v>
      </c>
      <c r="O44" t="s">
        <v>1</v>
      </c>
      <c r="Q44">
        <v>3</v>
      </c>
      <c r="R44" t="s">
        <v>79</v>
      </c>
      <c r="S44" t="s">
        <v>107</v>
      </c>
      <c r="T44" t="s">
        <v>310</v>
      </c>
      <c r="U44" s="3" t="s">
        <v>311</v>
      </c>
      <c r="V44" s="3" t="s">
        <v>312</v>
      </c>
      <c r="W44" s="3" t="s">
        <v>313</v>
      </c>
      <c r="X44" t="s">
        <v>277</v>
      </c>
      <c r="Y44">
        <v>9</v>
      </c>
      <c r="Z44">
        <v>0</v>
      </c>
      <c r="AA44">
        <f>IF('Στατιστικά'!$C$6,1,IFERROR(INDEX('Στατιστικά'!$C$10:$C$83,MATCH(G44,'Στατιστικά'!$B$10:$B$83,0))*1,0))</f>
        <v>1</v>
      </c>
    </row>
    <row r="45" spans="1:27">
      <c r="A45" s="2">
        <v>46270</v>
      </c>
      <c r="B45" t="s">
        <v>72</v>
      </c>
      <c r="C45" t="s">
        <v>51</v>
      </c>
      <c r="D45" t="s">
        <v>1</v>
      </c>
      <c r="E45" t="s">
        <v>314</v>
      </c>
      <c r="F45" t="s">
        <v>64</v>
      </c>
      <c r="G45" t="s">
        <v>116</v>
      </c>
      <c r="H45" t="s">
        <v>228</v>
      </c>
      <c r="I45">
        <v>32</v>
      </c>
      <c r="J45">
        <v>9</v>
      </c>
      <c r="K45">
        <v>4</v>
      </c>
      <c r="L45">
        <v>2</v>
      </c>
      <c r="M45" t="s">
        <v>56</v>
      </c>
      <c r="N45" t="s">
        <v>1</v>
      </c>
      <c r="O45" t="s">
        <v>1</v>
      </c>
      <c r="Q45">
        <v>3</v>
      </c>
      <c r="R45" t="s">
        <v>79</v>
      </c>
      <c r="S45" t="s">
        <v>107</v>
      </c>
      <c r="T45" t="s">
        <v>1</v>
      </c>
      <c r="U45" s="3" t="s">
        <v>1</v>
      </c>
      <c r="V45" s="3" t="s">
        <v>315</v>
      </c>
      <c r="W45" s="3" t="s">
        <v>316</v>
      </c>
      <c r="X45" t="s">
        <v>277</v>
      </c>
      <c r="Y45">
        <v>9</v>
      </c>
      <c r="Z45">
        <v>0</v>
      </c>
      <c r="AA45">
        <f>IF('Στατιστικά'!$C$6,1,IFERROR(INDEX('Στατιστικά'!$C$10:$C$83,MATCH(G45,'Στατιστικά'!$B$10:$B$83,0))*1,0))</f>
        <v>1</v>
      </c>
    </row>
    <row r="46" spans="1:27">
      <c r="A46" s="2">
        <v>46270</v>
      </c>
      <c r="B46" t="s">
        <v>72</v>
      </c>
      <c r="C46" t="s">
        <v>1</v>
      </c>
      <c r="D46" t="s">
        <v>1</v>
      </c>
      <c r="E46" t="s">
        <v>317</v>
      </c>
      <c r="F46" t="s">
        <v>64</v>
      </c>
      <c r="G46" t="s">
        <v>116</v>
      </c>
      <c r="H46" t="s">
        <v>1</v>
      </c>
      <c r="I46">
        <v>32</v>
      </c>
      <c r="J46">
        <v>9</v>
      </c>
      <c r="K46">
        <v>4</v>
      </c>
      <c r="L46">
        <v>2</v>
      </c>
      <c r="M46" t="s">
        <v>318</v>
      </c>
      <c r="N46" t="s">
        <v>1</v>
      </c>
      <c r="O46" t="s">
        <v>1</v>
      </c>
      <c r="Q46">
        <v>3</v>
      </c>
      <c r="R46" t="s">
        <v>79</v>
      </c>
      <c r="S46" t="s">
        <v>107</v>
      </c>
      <c r="T46" t="s">
        <v>319</v>
      </c>
      <c r="U46" s="3" t="s">
        <v>1</v>
      </c>
      <c r="V46" s="3" t="s">
        <v>320</v>
      </c>
      <c r="W46" s="3" t="s">
        <v>4521</v>
      </c>
      <c r="X46" t="s">
        <v>186</v>
      </c>
      <c r="Y46">
        <v>9</v>
      </c>
      <c r="Z46">
        <v>0</v>
      </c>
      <c r="AA46">
        <f>IF('Στατιστικά'!$C$6,1,IFERROR(INDEX('Στατιστικά'!$C$10:$C$83,MATCH(G46,'Στατιστικά'!$B$10:$B$83,0))*1,0))</f>
        <v>1</v>
      </c>
    </row>
    <row r="47" spans="1:27">
      <c r="A47" s="2">
        <v>46270</v>
      </c>
      <c r="B47" t="s">
        <v>322</v>
      </c>
      <c r="C47" t="s">
        <v>1</v>
      </c>
      <c r="D47" t="s">
        <v>1</v>
      </c>
      <c r="E47" t="s">
        <v>323</v>
      </c>
      <c r="F47" t="s">
        <v>324</v>
      </c>
      <c r="G47" t="s">
        <v>325</v>
      </c>
      <c r="H47" t="s">
        <v>1</v>
      </c>
      <c r="I47">
        <v>25</v>
      </c>
      <c r="J47">
        <v>9</v>
      </c>
      <c r="K47">
        <v>7</v>
      </c>
      <c r="L47">
        <v>1</v>
      </c>
      <c r="M47" t="s">
        <v>326</v>
      </c>
      <c r="N47" t="s">
        <v>1</v>
      </c>
      <c r="O47" t="s">
        <v>239</v>
      </c>
      <c r="Q47">
        <v>3</v>
      </c>
      <c r="R47" t="s">
        <v>79</v>
      </c>
      <c r="S47" t="s">
        <v>1</v>
      </c>
      <c r="T47" t="s">
        <v>327</v>
      </c>
      <c r="U47" s="3" t="s">
        <v>1</v>
      </c>
      <c r="V47" s="3" t="s">
        <v>328</v>
      </c>
      <c r="W47" s="3" t="s">
        <v>329</v>
      </c>
      <c r="X47" t="s">
        <v>186</v>
      </c>
      <c r="Y47">
        <v>9</v>
      </c>
      <c r="Z47">
        <v>0</v>
      </c>
      <c r="AA47">
        <f>IF('Στατιστικά'!$C$6,1,IFERROR(INDEX('Στατιστικά'!$C$10:$C$83,MATCH(G47,'Στατιστικά'!$B$10:$B$83,0))*1,0))</f>
        <v>1</v>
      </c>
    </row>
    <row r="48" spans="1:27">
      <c r="A48" s="2">
        <v>46270</v>
      </c>
      <c r="B48" t="s">
        <v>330</v>
      </c>
      <c r="C48" t="s">
        <v>1</v>
      </c>
      <c r="D48" t="s">
        <v>1</v>
      </c>
      <c r="E48" t="s">
        <v>331</v>
      </c>
      <c r="F48" t="s">
        <v>332</v>
      </c>
      <c r="G48" t="s">
        <v>218</v>
      </c>
      <c r="H48" t="s">
        <v>333</v>
      </c>
      <c r="I48">
        <v>27</v>
      </c>
      <c r="J48">
        <v>9</v>
      </c>
      <c r="K48">
        <v>0</v>
      </c>
      <c r="L48">
        <v>0</v>
      </c>
      <c r="M48" t="s">
        <v>334</v>
      </c>
      <c r="N48" t="s">
        <v>212</v>
      </c>
      <c r="O48" t="s">
        <v>335</v>
      </c>
      <c r="Q48">
        <v>3</v>
      </c>
      <c r="R48" t="s">
        <v>79</v>
      </c>
      <c r="S48" t="s">
        <v>107</v>
      </c>
      <c r="T48" t="s">
        <v>1</v>
      </c>
      <c r="U48" s="3" t="s">
        <v>1</v>
      </c>
      <c r="V48" s="3" t="s">
        <v>336</v>
      </c>
      <c r="W48" s="3" t="s">
        <v>337</v>
      </c>
      <c r="X48" t="s">
        <v>277</v>
      </c>
      <c r="Y48">
        <v>9</v>
      </c>
      <c r="Z48">
        <v>0</v>
      </c>
      <c r="AA48">
        <f>IF('Στατιστικά'!$C$6,1,IFERROR(INDEX('Στατιστικά'!$C$10:$C$83,MATCH(G48,'Στατιστικά'!$B$10:$B$83,0))*1,0))</f>
        <v>1</v>
      </c>
    </row>
    <row r="49" spans="1:27">
      <c r="A49" s="2">
        <v>46270</v>
      </c>
      <c r="B49" t="s">
        <v>1</v>
      </c>
      <c r="C49" t="s">
        <v>1</v>
      </c>
      <c r="D49" t="s">
        <v>1</v>
      </c>
      <c r="E49" t="s">
        <v>338</v>
      </c>
      <c r="F49" t="s">
        <v>217</v>
      </c>
      <c r="G49" t="s">
        <v>205</v>
      </c>
      <c r="H49" t="s">
        <v>237</v>
      </c>
      <c r="K49">
        <v>0</v>
      </c>
      <c r="L49">
        <v>0</v>
      </c>
      <c r="M49" t="s">
        <v>1</v>
      </c>
      <c r="N49" t="s">
        <v>1</v>
      </c>
      <c r="O49" t="s">
        <v>1</v>
      </c>
      <c r="R49" t="s">
        <v>1</v>
      </c>
      <c r="S49" t="s">
        <v>8</v>
      </c>
      <c r="T49" t="s">
        <v>1</v>
      </c>
      <c r="U49" s="3" t="s">
        <v>1</v>
      </c>
      <c r="V49" s="3" t="s">
        <v>339</v>
      </c>
      <c r="W49" s="3" t="s">
        <v>340</v>
      </c>
      <c r="X49" t="s">
        <v>277</v>
      </c>
      <c r="Y49">
        <v>9</v>
      </c>
      <c r="Z49">
        <v>0</v>
      </c>
      <c r="AA49">
        <f>IF('Στατιστικά'!$C$6,1,IFERROR(INDEX('Στατιστικά'!$C$10:$C$83,MATCH(G49,'Στατιστικά'!$B$10:$B$83,0))*1,0))</f>
        <v>1</v>
      </c>
    </row>
    <row r="50" spans="1:27">
      <c r="A50" s="2">
        <v>46270</v>
      </c>
      <c r="B50" t="s">
        <v>1</v>
      </c>
      <c r="C50" t="s">
        <v>1</v>
      </c>
      <c r="D50" t="s">
        <v>1</v>
      </c>
      <c r="E50" t="s">
        <v>341</v>
      </c>
      <c r="F50" t="s">
        <v>44</v>
      </c>
      <c r="G50" t="s">
        <v>45</v>
      </c>
      <c r="H50" t="s">
        <v>272</v>
      </c>
      <c r="I50">
        <v>115</v>
      </c>
      <c r="J50">
        <v>36</v>
      </c>
      <c r="M50" t="s">
        <v>342</v>
      </c>
      <c r="N50" t="s">
        <v>1</v>
      </c>
      <c r="O50" t="s">
        <v>1</v>
      </c>
      <c r="Q50">
        <v>3</v>
      </c>
      <c r="R50" t="s">
        <v>79</v>
      </c>
      <c r="S50" t="s">
        <v>1</v>
      </c>
      <c r="T50" t="s">
        <v>343</v>
      </c>
      <c r="U50" s="3" t="s">
        <v>1</v>
      </c>
      <c r="V50" s="3" t="s">
        <v>344</v>
      </c>
      <c r="W50" s="3" t="s">
        <v>345</v>
      </c>
      <c r="X50" t="s">
        <v>277</v>
      </c>
      <c r="Y50">
        <v>9</v>
      </c>
      <c r="Z50">
        <v>0</v>
      </c>
      <c r="AA50">
        <f>IF('Στατιστικά'!$C$6,1,IFERROR(INDEX('Στατιστικά'!$C$10:$C$83,MATCH(G50,'Στατιστικά'!$B$10:$B$83,0))*1,0))</f>
        <v>1</v>
      </c>
    </row>
    <row r="51" spans="1:27">
      <c r="A51" s="2">
        <v>46270</v>
      </c>
      <c r="B51" t="s">
        <v>1</v>
      </c>
      <c r="C51" t="s">
        <v>0</v>
      </c>
      <c r="D51" t="s">
        <v>1</v>
      </c>
      <c r="E51" t="s">
        <v>346</v>
      </c>
      <c r="F51" t="s">
        <v>347</v>
      </c>
      <c r="G51" t="s">
        <v>325</v>
      </c>
      <c r="H51" t="s">
        <v>325</v>
      </c>
      <c r="I51">
        <v>37</v>
      </c>
      <c r="J51">
        <v>9</v>
      </c>
      <c r="K51">
        <v>7</v>
      </c>
      <c r="L51">
        <v>1</v>
      </c>
      <c r="M51" t="s">
        <v>348</v>
      </c>
      <c r="N51" t="s">
        <v>349</v>
      </c>
      <c r="O51" t="s">
        <v>106</v>
      </c>
      <c r="Q51">
        <v>3</v>
      </c>
      <c r="R51" t="s">
        <v>79</v>
      </c>
      <c r="S51" t="s">
        <v>80</v>
      </c>
      <c r="T51" t="s">
        <v>1</v>
      </c>
      <c r="U51" s="3" t="s">
        <v>1</v>
      </c>
      <c r="V51" s="3" t="s">
        <v>350</v>
      </c>
      <c r="W51" s="3" t="s">
        <v>351</v>
      </c>
      <c r="X51" t="s">
        <v>186</v>
      </c>
      <c r="Y51">
        <v>9</v>
      </c>
      <c r="Z51">
        <v>0</v>
      </c>
      <c r="AA51">
        <f>IF('Στατιστικά'!$C$6,1,IFERROR(INDEX('Στατιστικά'!$C$10:$C$83,MATCH(G51,'Στατιστικά'!$B$10:$B$83,0))*1,0))</f>
        <v>1</v>
      </c>
    </row>
    <row r="52" spans="1:27">
      <c r="A52" s="2">
        <v>46270</v>
      </c>
      <c r="B52" t="s">
        <v>1</v>
      </c>
      <c r="C52" t="s">
        <v>1</v>
      </c>
      <c r="D52" t="s">
        <v>1</v>
      </c>
      <c r="E52" t="s">
        <v>352</v>
      </c>
      <c r="F52" t="s">
        <v>353</v>
      </c>
      <c r="G52" t="s">
        <v>161</v>
      </c>
      <c r="H52" t="s">
        <v>354</v>
      </c>
      <c r="I52">
        <v>23</v>
      </c>
      <c r="J52">
        <v>8</v>
      </c>
      <c r="K52">
        <v>3</v>
      </c>
      <c r="L52">
        <v>1</v>
      </c>
      <c r="M52" t="s">
        <v>355</v>
      </c>
      <c r="N52" t="s">
        <v>356</v>
      </c>
      <c r="O52" t="s">
        <v>1</v>
      </c>
      <c r="P52" t="s">
        <v>4635</v>
      </c>
      <c r="Q52">
        <v>2</v>
      </c>
      <c r="R52" t="s">
        <v>17</v>
      </c>
      <c r="S52" t="s">
        <v>8</v>
      </c>
      <c r="T52" t="s">
        <v>1</v>
      </c>
      <c r="U52" s="3" t="s">
        <v>1</v>
      </c>
      <c r="V52" s="3" t="s">
        <v>357</v>
      </c>
      <c r="W52" s="3" t="s">
        <v>4636</v>
      </c>
      <c r="X52" t="s">
        <v>277</v>
      </c>
      <c r="Y52">
        <v>9</v>
      </c>
      <c r="Z52">
        <v>0</v>
      </c>
      <c r="AA52">
        <f>IF('Στατιστικά'!$C$6,1,IFERROR(INDEX('Στατιστικά'!$C$10:$C$83,MATCH(G52,'Στατιστικά'!$B$10:$B$83,0))*1,0))</f>
        <v>1</v>
      </c>
    </row>
    <row r="53" spans="1:27">
      <c r="A53" s="2">
        <v>46270</v>
      </c>
      <c r="B53" t="s">
        <v>1</v>
      </c>
      <c r="C53" t="s">
        <v>1</v>
      </c>
      <c r="D53" t="s">
        <v>1</v>
      </c>
      <c r="E53" t="s">
        <v>359</v>
      </c>
      <c r="F53" t="s">
        <v>141</v>
      </c>
      <c r="G53" t="s">
        <v>205</v>
      </c>
      <c r="H53" t="s">
        <v>237</v>
      </c>
      <c r="I53">
        <v>23</v>
      </c>
      <c r="J53">
        <v>5</v>
      </c>
      <c r="K53">
        <v>3</v>
      </c>
      <c r="L53">
        <v>1</v>
      </c>
      <c r="M53" t="s">
        <v>360</v>
      </c>
      <c r="N53" t="s">
        <v>361</v>
      </c>
      <c r="O53" t="s">
        <v>1</v>
      </c>
      <c r="P53" t="s">
        <v>4637</v>
      </c>
      <c r="Q53">
        <v>4</v>
      </c>
      <c r="R53" t="s">
        <v>137</v>
      </c>
      <c r="S53" t="s">
        <v>1</v>
      </c>
      <c r="T53" t="s">
        <v>1</v>
      </c>
      <c r="U53" s="3" t="s">
        <v>1</v>
      </c>
      <c r="V53" s="3" t="s">
        <v>362</v>
      </c>
      <c r="W53" s="3" t="s">
        <v>4638</v>
      </c>
      <c r="X53" t="s">
        <v>277</v>
      </c>
      <c r="Y53">
        <v>9</v>
      </c>
      <c r="Z53">
        <v>0</v>
      </c>
      <c r="AA53">
        <f>IF('Στατιστικά'!$C$6,1,IFERROR(INDEX('Στατιστικά'!$C$10:$C$83,MATCH(G53,'Στατιστικά'!$B$10:$B$83,0))*1,0))</f>
        <v>1</v>
      </c>
    </row>
    <row r="54" spans="1:27">
      <c r="A54" s="2">
        <v>46269</v>
      </c>
      <c r="B54" t="s">
        <v>42</v>
      </c>
      <c r="C54" t="s">
        <v>364</v>
      </c>
      <c r="D54" t="s">
        <v>1</v>
      </c>
      <c r="E54" t="s">
        <v>365</v>
      </c>
      <c r="F54" t="s">
        <v>38</v>
      </c>
      <c r="G54" t="s">
        <v>15</v>
      </c>
      <c r="H54" t="s">
        <v>366</v>
      </c>
      <c r="I54">
        <v>64</v>
      </c>
      <c r="J54">
        <v>15</v>
      </c>
      <c r="K54">
        <v>0</v>
      </c>
      <c r="L54">
        <v>2</v>
      </c>
      <c r="M54" t="s">
        <v>367</v>
      </c>
      <c r="N54" t="s">
        <v>368</v>
      </c>
      <c r="O54" t="s">
        <v>1</v>
      </c>
      <c r="Q54">
        <v>3</v>
      </c>
      <c r="R54" t="s">
        <v>79</v>
      </c>
      <c r="S54" t="s">
        <v>80</v>
      </c>
      <c r="T54" t="s">
        <v>369</v>
      </c>
      <c r="U54" s="3" t="s">
        <v>1</v>
      </c>
      <c r="V54" s="3" t="s">
        <v>370</v>
      </c>
      <c r="W54" s="3" t="s">
        <v>371</v>
      </c>
      <c r="X54" t="s">
        <v>372</v>
      </c>
      <c r="Y54">
        <v>9</v>
      </c>
      <c r="Z54">
        <v>0</v>
      </c>
      <c r="AA54">
        <f>IF('Στατιστικά'!$C$6,1,IFERROR(INDEX('Στατιστικά'!$C$10:$C$83,MATCH(G54,'Στατιστικά'!$B$10:$B$83,0))*1,0))</f>
        <v>1</v>
      </c>
    </row>
    <row r="55" spans="1:27">
      <c r="A55" s="2">
        <v>46269</v>
      </c>
      <c r="B55" t="s">
        <v>373</v>
      </c>
      <c r="C55" t="s">
        <v>42</v>
      </c>
      <c r="D55" t="s">
        <v>1</v>
      </c>
      <c r="E55" t="s">
        <v>374</v>
      </c>
      <c r="F55" t="s">
        <v>64</v>
      </c>
      <c r="G55" t="s">
        <v>130</v>
      </c>
      <c r="H55" t="s">
        <v>375</v>
      </c>
      <c r="I55">
        <v>25</v>
      </c>
      <c r="J55">
        <v>9</v>
      </c>
      <c r="K55">
        <v>1</v>
      </c>
      <c r="L55">
        <v>2</v>
      </c>
      <c r="M55" t="s">
        <v>376</v>
      </c>
      <c r="N55" t="s">
        <v>377</v>
      </c>
      <c r="O55" t="s">
        <v>1</v>
      </c>
      <c r="P55" t="s">
        <v>4639</v>
      </c>
      <c r="Q55">
        <v>3</v>
      </c>
      <c r="R55" t="s">
        <v>79</v>
      </c>
      <c r="S55" t="s">
        <v>80</v>
      </c>
      <c r="T55" t="s">
        <v>98</v>
      </c>
      <c r="U55" s="3" t="s">
        <v>378</v>
      </c>
      <c r="V55" s="3" t="s">
        <v>379</v>
      </c>
      <c r="W55" s="3" t="s">
        <v>4640</v>
      </c>
      <c r="X55" t="s">
        <v>186</v>
      </c>
      <c r="Y55">
        <v>9</v>
      </c>
      <c r="Z55">
        <v>0</v>
      </c>
      <c r="AA55">
        <f>IF('Στατιστικά'!$C$6,1,IFERROR(INDEX('Στατιστικά'!$C$10:$C$83,MATCH(G55,'Στατιστικά'!$B$10:$B$83,0))*1,0))</f>
        <v>1</v>
      </c>
    </row>
    <row r="56" spans="1:27">
      <c r="A56" s="2">
        <v>46269</v>
      </c>
      <c r="B56" t="s">
        <v>381</v>
      </c>
      <c r="C56" t="s">
        <v>1</v>
      </c>
      <c r="D56" t="s">
        <v>1</v>
      </c>
      <c r="E56" t="s">
        <v>382</v>
      </c>
      <c r="F56" t="s">
        <v>44</v>
      </c>
      <c r="G56" t="s">
        <v>45</v>
      </c>
      <c r="H56" t="s">
        <v>383</v>
      </c>
      <c r="I56">
        <v>25</v>
      </c>
      <c r="J56">
        <v>4</v>
      </c>
      <c r="K56">
        <v>2</v>
      </c>
      <c r="L56">
        <v>2</v>
      </c>
      <c r="M56" t="s">
        <v>384</v>
      </c>
      <c r="N56" t="s">
        <v>1</v>
      </c>
      <c r="O56" t="s">
        <v>1</v>
      </c>
      <c r="P56" t="s">
        <v>4641</v>
      </c>
      <c r="Q56">
        <v>3</v>
      </c>
      <c r="R56" t="s">
        <v>79</v>
      </c>
      <c r="S56" t="s">
        <v>8</v>
      </c>
      <c r="T56" t="s">
        <v>1</v>
      </c>
      <c r="U56" s="3" t="s">
        <v>1</v>
      </c>
      <c r="V56" s="3" t="s">
        <v>385</v>
      </c>
      <c r="W56" s="3" t="s">
        <v>4642</v>
      </c>
      <c r="X56" t="s">
        <v>277</v>
      </c>
      <c r="Y56">
        <v>9</v>
      </c>
      <c r="Z56">
        <v>0</v>
      </c>
      <c r="AA56">
        <f>IF('Στατιστικά'!$C$6,1,IFERROR(INDEX('Στατιστικά'!$C$10:$C$83,MATCH(G56,'Στατιστικά'!$B$10:$B$83,0))*1,0))</f>
        <v>1</v>
      </c>
    </row>
    <row r="57" spans="1:27">
      <c r="A57" s="2">
        <v>46269</v>
      </c>
      <c r="B57" t="s">
        <v>243</v>
      </c>
      <c r="C57" t="s">
        <v>62</v>
      </c>
      <c r="D57" t="s">
        <v>1</v>
      </c>
      <c r="E57" t="s">
        <v>387</v>
      </c>
      <c r="F57" t="s">
        <v>64</v>
      </c>
      <c r="G57" t="s">
        <v>116</v>
      </c>
      <c r="H57" t="s">
        <v>388</v>
      </c>
      <c r="I57">
        <v>18</v>
      </c>
      <c r="J57">
        <v>4</v>
      </c>
      <c r="K57">
        <v>1</v>
      </c>
      <c r="L57">
        <v>1</v>
      </c>
      <c r="M57" t="s">
        <v>376</v>
      </c>
      <c r="N57" t="s">
        <v>389</v>
      </c>
      <c r="O57" t="s">
        <v>1</v>
      </c>
      <c r="P57" t="s">
        <v>4643</v>
      </c>
      <c r="Q57">
        <v>3</v>
      </c>
      <c r="R57" t="s">
        <v>79</v>
      </c>
      <c r="S57" t="s">
        <v>80</v>
      </c>
      <c r="T57" t="s">
        <v>390</v>
      </c>
      <c r="U57" s="3" t="s">
        <v>1</v>
      </c>
      <c r="V57" s="3" t="s">
        <v>391</v>
      </c>
      <c r="W57" s="3" t="s">
        <v>4644</v>
      </c>
      <c r="X57" t="s">
        <v>277</v>
      </c>
      <c r="Y57">
        <v>9</v>
      </c>
      <c r="Z57">
        <v>0</v>
      </c>
      <c r="AA57">
        <f>IF('Στατιστικά'!$C$6,1,IFERROR(INDEX('Στατιστικά'!$C$10:$C$83,MATCH(G57,'Στατιστικά'!$B$10:$B$83,0))*1,0))</f>
        <v>1</v>
      </c>
    </row>
    <row r="58" spans="1:27">
      <c r="A58" s="2">
        <v>46269</v>
      </c>
      <c r="B58" t="s">
        <v>300</v>
      </c>
      <c r="C58" t="s">
        <v>393</v>
      </c>
      <c r="D58" t="s">
        <v>1</v>
      </c>
      <c r="E58" t="s">
        <v>394</v>
      </c>
      <c r="F58" t="s">
        <v>44</v>
      </c>
      <c r="G58" t="s">
        <v>395</v>
      </c>
      <c r="H58" t="s">
        <v>396</v>
      </c>
      <c r="I58">
        <v>18</v>
      </c>
      <c r="J58">
        <v>5</v>
      </c>
      <c r="K58">
        <v>1</v>
      </c>
      <c r="L58">
        <v>1</v>
      </c>
      <c r="M58" t="s">
        <v>397</v>
      </c>
      <c r="N58" t="s">
        <v>398</v>
      </c>
      <c r="O58" t="s">
        <v>1</v>
      </c>
      <c r="P58" t="s">
        <v>4645</v>
      </c>
      <c r="Q58">
        <v>3</v>
      </c>
      <c r="R58" t="s">
        <v>79</v>
      </c>
      <c r="S58" t="s">
        <v>107</v>
      </c>
      <c r="T58" t="s">
        <v>399</v>
      </c>
      <c r="U58" s="3" t="s">
        <v>1</v>
      </c>
      <c r="V58" s="3" t="s">
        <v>400</v>
      </c>
      <c r="W58" s="3" t="s">
        <v>4646</v>
      </c>
      <c r="X58" t="s">
        <v>134</v>
      </c>
      <c r="Y58">
        <v>9</v>
      </c>
      <c r="Z58">
        <v>0</v>
      </c>
      <c r="AA58">
        <f>IF('Στατιστικά'!$C$6,1,IFERROR(INDEX('Στατιστικά'!$C$10:$C$83,MATCH(G58,'Στατιστικά'!$B$10:$B$83,0))*1,0))</f>
        <v>1</v>
      </c>
    </row>
    <row r="59" spans="1:27">
      <c r="A59" s="2">
        <v>46269</v>
      </c>
      <c r="B59" t="s">
        <v>72</v>
      </c>
      <c r="C59" t="s">
        <v>1</v>
      </c>
      <c r="D59" t="s">
        <v>1</v>
      </c>
      <c r="E59" t="s">
        <v>402</v>
      </c>
      <c r="F59" t="s">
        <v>217</v>
      </c>
      <c r="G59" t="s">
        <v>205</v>
      </c>
      <c r="H59" t="s">
        <v>403</v>
      </c>
      <c r="I59">
        <v>38</v>
      </c>
      <c r="J59">
        <v>9</v>
      </c>
      <c r="K59">
        <v>0</v>
      </c>
      <c r="L59">
        <v>1</v>
      </c>
      <c r="M59" t="s">
        <v>404</v>
      </c>
      <c r="N59" t="s">
        <v>405</v>
      </c>
      <c r="O59" t="s">
        <v>1</v>
      </c>
      <c r="Q59">
        <v>4</v>
      </c>
      <c r="R59" t="s">
        <v>137</v>
      </c>
      <c r="S59" t="s">
        <v>107</v>
      </c>
      <c r="T59" t="s">
        <v>1</v>
      </c>
      <c r="U59" s="3" t="s">
        <v>406</v>
      </c>
      <c r="V59" s="3" t="s">
        <v>407</v>
      </c>
      <c r="W59" s="3" t="s">
        <v>408</v>
      </c>
      <c r="X59" t="s">
        <v>409</v>
      </c>
      <c r="Y59">
        <v>9</v>
      </c>
      <c r="Z59">
        <v>0</v>
      </c>
      <c r="AA59">
        <f>IF('Στατιστικά'!$C$6,1,IFERROR(INDEX('Στατιστικά'!$C$10:$C$83,MATCH(G59,'Στατιστικά'!$B$10:$B$83,0))*1,0))</f>
        <v>1</v>
      </c>
    </row>
    <row r="60" spans="1:27">
      <c r="A60" s="2">
        <v>46269</v>
      </c>
      <c r="B60" t="s">
        <v>410</v>
      </c>
      <c r="C60" t="s">
        <v>300</v>
      </c>
      <c r="D60" t="s">
        <v>1</v>
      </c>
      <c r="E60" t="s">
        <v>411</v>
      </c>
      <c r="F60" t="s">
        <v>217</v>
      </c>
      <c r="G60" t="s">
        <v>412</v>
      </c>
      <c r="H60" t="s">
        <v>413</v>
      </c>
      <c r="I60">
        <v>28</v>
      </c>
      <c r="J60">
        <v>7</v>
      </c>
      <c r="K60">
        <v>6</v>
      </c>
      <c r="L60">
        <v>1</v>
      </c>
      <c r="M60" t="s">
        <v>334</v>
      </c>
      <c r="N60" t="s">
        <v>414</v>
      </c>
      <c r="O60" t="s">
        <v>1</v>
      </c>
      <c r="Q60">
        <v>4</v>
      </c>
      <c r="R60" t="s">
        <v>137</v>
      </c>
      <c r="S60" t="s">
        <v>107</v>
      </c>
      <c r="T60" t="s">
        <v>98</v>
      </c>
      <c r="U60" s="3" t="s">
        <v>1</v>
      </c>
      <c r="V60" s="3" t="s">
        <v>415</v>
      </c>
      <c r="W60" s="3" t="s">
        <v>416</v>
      </c>
      <c r="X60" t="s">
        <v>186</v>
      </c>
      <c r="Y60">
        <v>9</v>
      </c>
      <c r="Z60">
        <v>0</v>
      </c>
      <c r="AA60">
        <f>IF('Στατιστικά'!$C$6,1,IFERROR(INDEX('Στατιστικά'!$C$10:$C$83,MATCH(G60,'Στατιστικά'!$B$10:$B$83,0))*1,0))</f>
        <v>1</v>
      </c>
    </row>
    <row r="61" spans="1:27">
      <c r="A61" s="2">
        <v>46269</v>
      </c>
      <c r="B61" t="s">
        <v>417</v>
      </c>
      <c r="C61" t="s">
        <v>1</v>
      </c>
      <c r="D61" t="s">
        <v>1</v>
      </c>
      <c r="E61" t="s">
        <v>418</v>
      </c>
      <c r="F61" t="s">
        <v>141</v>
      </c>
      <c r="G61" t="s">
        <v>142</v>
      </c>
      <c r="H61" t="s">
        <v>1</v>
      </c>
      <c r="I61">
        <v>20</v>
      </c>
      <c r="J61">
        <v>9</v>
      </c>
      <c r="K61">
        <v>2</v>
      </c>
      <c r="L61">
        <v>1</v>
      </c>
      <c r="M61" t="s">
        <v>1</v>
      </c>
      <c r="N61" t="s">
        <v>419</v>
      </c>
      <c r="O61" t="s">
        <v>1</v>
      </c>
      <c r="P61" t="s">
        <v>4647</v>
      </c>
      <c r="Q61">
        <v>4</v>
      </c>
      <c r="R61" t="s">
        <v>137</v>
      </c>
      <c r="S61" t="s">
        <v>8</v>
      </c>
      <c r="T61" t="s">
        <v>1</v>
      </c>
      <c r="U61" s="3" t="s">
        <v>1</v>
      </c>
      <c r="V61" s="3" t="s">
        <v>420</v>
      </c>
      <c r="W61" s="3" t="s">
        <v>4648</v>
      </c>
      <c r="X61" t="s">
        <v>277</v>
      </c>
      <c r="Y61">
        <v>9</v>
      </c>
      <c r="Z61">
        <v>0</v>
      </c>
      <c r="AA61">
        <f>IF('Στατιστικά'!$C$6,1,IFERROR(INDEX('Στατιστικά'!$C$10:$C$83,MATCH(G61,'Στατιστικά'!$B$10:$B$83,0))*1,0))</f>
        <v>1</v>
      </c>
    </row>
    <row r="62" spans="1:27">
      <c r="A62" s="2">
        <v>46269</v>
      </c>
      <c r="B62" t="s">
        <v>182</v>
      </c>
      <c r="C62" t="s">
        <v>422</v>
      </c>
      <c r="D62" t="s">
        <v>1</v>
      </c>
      <c r="E62" t="s">
        <v>423</v>
      </c>
      <c r="F62" t="s">
        <v>38</v>
      </c>
      <c r="G62" t="s">
        <v>15</v>
      </c>
      <c r="H62" t="s">
        <v>424</v>
      </c>
      <c r="I62">
        <v>74</v>
      </c>
      <c r="J62">
        <v>30</v>
      </c>
      <c r="K62">
        <v>2</v>
      </c>
      <c r="L62">
        <v>3</v>
      </c>
      <c r="M62" t="s">
        <v>425</v>
      </c>
      <c r="N62" t="s">
        <v>426</v>
      </c>
      <c r="O62" t="s">
        <v>1</v>
      </c>
      <c r="Q62">
        <v>4</v>
      </c>
      <c r="R62" t="s">
        <v>137</v>
      </c>
      <c r="S62" t="s">
        <v>80</v>
      </c>
      <c r="T62" t="s">
        <v>369</v>
      </c>
      <c r="U62" s="3" t="s">
        <v>427</v>
      </c>
      <c r="V62" s="3" t="s">
        <v>428</v>
      </c>
      <c r="W62" s="3" t="s">
        <v>429</v>
      </c>
      <c r="X62" t="s">
        <v>186</v>
      </c>
      <c r="Y62">
        <v>9</v>
      </c>
      <c r="Z62">
        <v>0</v>
      </c>
      <c r="AA62">
        <f>IF('Στατιστικά'!$C$6,1,IFERROR(INDEX('Στατιστικά'!$C$10:$C$83,MATCH(G62,'Στατιστικά'!$B$10:$B$83,0))*1,0))</f>
        <v>1</v>
      </c>
    </row>
    <row r="63" spans="1:27">
      <c r="A63" s="2">
        <v>46269</v>
      </c>
      <c r="B63" t="s">
        <v>430</v>
      </c>
      <c r="C63" t="s">
        <v>1</v>
      </c>
      <c r="D63" t="s">
        <v>1</v>
      </c>
      <c r="E63" t="s">
        <v>431</v>
      </c>
      <c r="F63" t="s">
        <v>38</v>
      </c>
      <c r="G63" t="s">
        <v>15</v>
      </c>
      <c r="H63" t="s">
        <v>432</v>
      </c>
      <c r="I63">
        <v>32</v>
      </c>
      <c r="J63">
        <v>13</v>
      </c>
      <c r="M63" t="s">
        <v>433</v>
      </c>
      <c r="N63" t="s">
        <v>434</v>
      </c>
      <c r="O63" t="s">
        <v>1</v>
      </c>
      <c r="Q63">
        <v>4</v>
      </c>
      <c r="R63" t="s">
        <v>137</v>
      </c>
      <c r="S63" t="s">
        <v>107</v>
      </c>
      <c r="T63" t="s">
        <v>435</v>
      </c>
      <c r="U63" s="3" t="s">
        <v>436</v>
      </c>
      <c r="V63" s="3" t="s">
        <v>437</v>
      </c>
      <c r="W63" s="3" t="s">
        <v>438</v>
      </c>
      <c r="X63" t="s">
        <v>409</v>
      </c>
      <c r="Y63">
        <v>9</v>
      </c>
      <c r="Z63">
        <v>0</v>
      </c>
      <c r="AA63">
        <f>IF('Στατιστικά'!$C$6,1,IFERROR(INDEX('Στατιστικά'!$C$10:$C$83,MATCH(G63,'Στατιστικά'!$B$10:$B$83,0))*1,0))</f>
        <v>1</v>
      </c>
    </row>
    <row r="64" spans="1:27">
      <c r="A64" s="2">
        <v>46269</v>
      </c>
      <c r="B64" t="s">
        <v>1</v>
      </c>
      <c r="C64" t="s">
        <v>1</v>
      </c>
      <c r="D64" t="s">
        <v>1</v>
      </c>
      <c r="E64" t="s">
        <v>439</v>
      </c>
      <c r="F64" t="s">
        <v>64</v>
      </c>
      <c r="G64" t="s">
        <v>440</v>
      </c>
      <c r="H64" t="s">
        <v>441</v>
      </c>
      <c r="L64">
        <v>1</v>
      </c>
      <c r="M64" t="s">
        <v>1</v>
      </c>
      <c r="N64" t="s">
        <v>1</v>
      </c>
      <c r="O64" t="s">
        <v>1</v>
      </c>
      <c r="P64">
        <v>1.5</v>
      </c>
      <c r="R64" t="s">
        <v>1</v>
      </c>
      <c r="S64" t="s">
        <v>58</v>
      </c>
      <c r="T64" t="s">
        <v>1</v>
      </c>
      <c r="U64" s="3" t="s">
        <v>1</v>
      </c>
      <c r="V64" s="3" t="s">
        <v>442</v>
      </c>
      <c r="W64" s="3" t="s">
        <v>443</v>
      </c>
      <c r="X64" t="s">
        <v>186</v>
      </c>
      <c r="Y64">
        <v>9</v>
      </c>
      <c r="Z64">
        <v>1.5</v>
      </c>
      <c r="AA64">
        <f>IF('Στατιστικά'!$C$6,1,IFERROR(INDEX('Στατιστικά'!$C$10:$C$83,MATCH(G64,'Στατιστικά'!$B$10:$B$83,0))*1,0))</f>
        <v>1</v>
      </c>
    </row>
    <row r="65" spans="1:27">
      <c r="A65" s="2">
        <v>46269</v>
      </c>
      <c r="B65" t="s">
        <v>1</v>
      </c>
      <c r="C65" t="s">
        <v>1</v>
      </c>
      <c r="D65" t="s">
        <v>1</v>
      </c>
      <c r="E65" t="s">
        <v>444</v>
      </c>
      <c r="F65" t="s">
        <v>3</v>
      </c>
      <c r="G65" t="s">
        <v>445</v>
      </c>
      <c r="H65" t="s">
        <v>446</v>
      </c>
      <c r="I65">
        <v>48</v>
      </c>
      <c r="J65">
        <v>16</v>
      </c>
      <c r="K65">
        <v>3</v>
      </c>
      <c r="L65">
        <v>2</v>
      </c>
      <c r="M65" t="s">
        <v>176</v>
      </c>
      <c r="N65" t="s">
        <v>1</v>
      </c>
      <c r="O65" t="s">
        <v>1</v>
      </c>
      <c r="Q65">
        <v>3</v>
      </c>
      <c r="R65" t="s">
        <v>79</v>
      </c>
      <c r="S65" t="s">
        <v>80</v>
      </c>
      <c r="T65" t="s">
        <v>1</v>
      </c>
      <c r="U65" s="3" t="s">
        <v>1</v>
      </c>
      <c r="V65" s="3" t="s">
        <v>447</v>
      </c>
      <c r="W65" s="3" t="s">
        <v>448</v>
      </c>
      <c r="X65" t="s">
        <v>277</v>
      </c>
      <c r="Y65">
        <v>9</v>
      </c>
      <c r="Z65">
        <v>0</v>
      </c>
      <c r="AA65">
        <f>IF('Στατιστικά'!$C$6,1,IFERROR(INDEX('Στατιστικά'!$C$10:$C$83,MATCH(G65,'Στατιστικά'!$B$10:$B$83,0))*1,0))</f>
        <v>1</v>
      </c>
    </row>
    <row r="66" spans="1:27">
      <c r="A66" s="2">
        <v>46269</v>
      </c>
      <c r="B66" t="s">
        <v>1</v>
      </c>
      <c r="C66" t="s">
        <v>1</v>
      </c>
      <c r="D66" t="s">
        <v>1</v>
      </c>
      <c r="E66" t="s">
        <v>449</v>
      </c>
      <c r="F66" t="s">
        <v>450</v>
      </c>
      <c r="G66" t="s">
        <v>451</v>
      </c>
      <c r="H66" t="s">
        <v>1</v>
      </c>
      <c r="I66">
        <v>18</v>
      </c>
      <c r="J66">
        <v>5</v>
      </c>
      <c r="K66">
        <v>1</v>
      </c>
      <c r="L66">
        <v>1</v>
      </c>
      <c r="M66" t="s">
        <v>452</v>
      </c>
      <c r="N66" t="s">
        <v>419</v>
      </c>
      <c r="O66" t="s">
        <v>1</v>
      </c>
      <c r="P66" t="s">
        <v>4649</v>
      </c>
      <c r="Q66">
        <v>3</v>
      </c>
      <c r="R66" t="s">
        <v>79</v>
      </c>
      <c r="S66" t="s">
        <v>1</v>
      </c>
      <c r="T66" t="s">
        <v>1</v>
      </c>
      <c r="U66" s="3" t="s">
        <v>1</v>
      </c>
      <c r="V66" s="3" t="s">
        <v>453</v>
      </c>
      <c r="W66" s="3" t="s">
        <v>4650</v>
      </c>
      <c r="X66" t="s">
        <v>372</v>
      </c>
      <c r="Y66">
        <v>9</v>
      </c>
      <c r="Z66">
        <v>0</v>
      </c>
      <c r="AA66">
        <f>IF('Στατιστικά'!$C$6,1,IFERROR(INDEX('Στατιστικά'!$C$10:$C$83,MATCH(G66,'Στατιστικά'!$B$10:$B$83,0))*1,0))</f>
        <v>1</v>
      </c>
    </row>
    <row r="67" spans="1:27">
      <c r="A67" s="2">
        <v>46268</v>
      </c>
      <c r="B67" t="s">
        <v>455</v>
      </c>
      <c r="C67" t="s">
        <v>1</v>
      </c>
      <c r="D67" t="s">
        <v>1</v>
      </c>
      <c r="E67" t="s">
        <v>456</v>
      </c>
      <c r="F67" t="s">
        <v>120</v>
      </c>
      <c r="G67" t="s">
        <v>457</v>
      </c>
      <c r="H67" t="s">
        <v>458</v>
      </c>
      <c r="I67">
        <v>8</v>
      </c>
      <c r="J67">
        <v>4</v>
      </c>
      <c r="K67">
        <v>2</v>
      </c>
      <c r="L67">
        <v>2</v>
      </c>
      <c r="M67" t="s">
        <v>459</v>
      </c>
      <c r="N67" t="s">
        <v>460</v>
      </c>
      <c r="O67" t="s">
        <v>106</v>
      </c>
      <c r="P67" t="s">
        <v>4651</v>
      </c>
      <c r="Q67">
        <v>4</v>
      </c>
      <c r="R67" t="s">
        <v>137</v>
      </c>
      <c r="S67" t="s">
        <v>80</v>
      </c>
      <c r="T67" t="s">
        <v>461</v>
      </c>
      <c r="U67" s="3" t="s">
        <v>1</v>
      </c>
      <c r="V67" s="3" t="s">
        <v>462</v>
      </c>
      <c r="W67" s="3" t="s">
        <v>4652</v>
      </c>
      <c r="X67" t="s">
        <v>134</v>
      </c>
      <c r="Y67">
        <v>9</v>
      </c>
      <c r="Z67">
        <v>0</v>
      </c>
      <c r="AA67">
        <f>IF('Στατιστικά'!$C$6,1,IFERROR(INDEX('Στατιστικά'!$C$10:$C$83,MATCH(G67,'Στατιστικά'!$B$10:$B$83,0))*1,0))</f>
        <v>1</v>
      </c>
    </row>
    <row r="68" spans="1:27">
      <c r="A68" s="2">
        <v>46268</v>
      </c>
      <c r="B68" t="s">
        <v>1</v>
      </c>
      <c r="C68" t="s">
        <v>1</v>
      </c>
      <c r="D68" t="s">
        <v>1</v>
      </c>
      <c r="E68" t="s">
        <v>464</v>
      </c>
      <c r="F68" t="s">
        <v>44</v>
      </c>
      <c r="G68" t="s">
        <v>465</v>
      </c>
      <c r="H68" t="s">
        <v>466</v>
      </c>
      <c r="I68">
        <v>20</v>
      </c>
      <c r="J68">
        <v>9</v>
      </c>
      <c r="K68">
        <v>2</v>
      </c>
      <c r="L68">
        <v>2</v>
      </c>
      <c r="M68" t="s">
        <v>1</v>
      </c>
      <c r="N68" t="s">
        <v>1</v>
      </c>
      <c r="O68" t="s">
        <v>1</v>
      </c>
      <c r="P68" t="s">
        <v>4653</v>
      </c>
      <c r="R68" t="s">
        <v>1</v>
      </c>
      <c r="S68" t="s">
        <v>8</v>
      </c>
      <c r="T68" t="s">
        <v>1</v>
      </c>
      <c r="U68" s="3" t="s">
        <v>1</v>
      </c>
      <c r="V68" s="3" t="s">
        <v>467</v>
      </c>
      <c r="W68" s="3" t="s">
        <v>4654</v>
      </c>
      <c r="X68" t="s">
        <v>372</v>
      </c>
      <c r="Y68">
        <v>9</v>
      </c>
      <c r="Z68">
        <v>0</v>
      </c>
      <c r="AA68">
        <f>IF('Στατιστικά'!$C$6,1,IFERROR(INDEX('Στατιστικά'!$C$10:$C$83,MATCH(G68,'Στατιστικά'!$B$10:$B$83,0))*1,0))</f>
        <v>1</v>
      </c>
    </row>
    <row r="69" spans="1:27">
      <c r="A69" s="2">
        <v>46268</v>
      </c>
      <c r="B69" t="s">
        <v>1</v>
      </c>
      <c r="C69" t="s">
        <v>1</v>
      </c>
      <c r="D69" t="s">
        <v>1</v>
      </c>
      <c r="E69" t="s">
        <v>468</v>
      </c>
      <c r="F69" t="s">
        <v>469</v>
      </c>
      <c r="G69" t="s">
        <v>470</v>
      </c>
      <c r="H69" t="s">
        <v>470</v>
      </c>
      <c r="J69">
        <v>10</v>
      </c>
      <c r="M69" t="s">
        <v>471</v>
      </c>
      <c r="N69" t="s">
        <v>1</v>
      </c>
      <c r="O69" t="s">
        <v>1</v>
      </c>
      <c r="P69">
        <v>0.1</v>
      </c>
      <c r="Q69">
        <v>2</v>
      </c>
      <c r="R69" t="s">
        <v>17</v>
      </c>
      <c r="S69" t="s">
        <v>80</v>
      </c>
      <c r="T69" t="s">
        <v>1</v>
      </c>
      <c r="U69" s="3" t="s">
        <v>1</v>
      </c>
      <c r="V69" s="3" t="s">
        <v>472</v>
      </c>
      <c r="W69" s="3" t="s">
        <v>473</v>
      </c>
      <c r="X69" t="s">
        <v>409</v>
      </c>
      <c r="Y69">
        <v>9</v>
      </c>
      <c r="Z69">
        <v>0.1</v>
      </c>
      <c r="AA69">
        <f>IF('Στατιστικά'!$C$6,1,IFERROR(INDEX('Στατιστικά'!$C$10:$C$83,MATCH(G69,'Στατιστικά'!$B$10:$B$83,0))*1,0))</f>
        <v>1</v>
      </c>
    </row>
    <row r="70" spans="1:27">
      <c r="A70" s="2">
        <v>46267</v>
      </c>
      <c r="B70" t="s">
        <v>150</v>
      </c>
      <c r="C70" t="s">
        <v>1</v>
      </c>
      <c r="D70" t="s">
        <v>1</v>
      </c>
      <c r="E70" t="s">
        <v>474</v>
      </c>
      <c r="F70" t="s">
        <v>38</v>
      </c>
      <c r="G70" t="s">
        <v>15</v>
      </c>
      <c r="H70" t="s">
        <v>475</v>
      </c>
      <c r="I70">
        <v>38</v>
      </c>
      <c r="J70">
        <v>14</v>
      </c>
      <c r="K70">
        <v>0</v>
      </c>
      <c r="L70">
        <v>0</v>
      </c>
      <c r="M70" t="s">
        <v>1</v>
      </c>
      <c r="N70" t="s">
        <v>1</v>
      </c>
      <c r="O70" t="s">
        <v>1</v>
      </c>
      <c r="Q70">
        <v>3</v>
      </c>
      <c r="R70" t="s">
        <v>79</v>
      </c>
      <c r="S70" t="s">
        <v>58</v>
      </c>
      <c r="T70" t="s">
        <v>476</v>
      </c>
      <c r="U70" s="3" t="s">
        <v>1</v>
      </c>
      <c r="V70" s="3" t="s">
        <v>477</v>
      </c>
      <c r="W70" s="3" t="s">
        <v>478</v>
      </c>
      <c r="X70" t="s">
        <v>409</v>
      </c>
      <c r="Y70">
        <v>9</v>
      </c>
      <c r="Z70">
        <v>0</v>
      </c>
      <c r="AA70">
        <f>IF('Στατιστικά'!$C$6,1,IFERROR(INDEX('Στατιστικά'!$C$10:$C$83,MATCH(G70,'Στατιστικά'!$B$10:$B$83,0))*1,0))</f>
        <v>1</v>
      </c>
    </row>
    <row r="71" spans="1:27">
      <c r="A71" s="2">
        <v>46267</v>
      </c>
      <c r="B71" t="s">
        <v>479</v>
      </c>
      <c r="C71" t="s">
        <v>1</v>
      </c>
      <c r="D71" t="s">
        <v>1</v>
      </c>
      <c r="E71" t="s">
        <v>480</v>
      </c>
      <c r="F71" t="s">
        <v>141</v>
      </c>
      <c r="G71" t="s">
        <v>481</v>
      </c>
      <c r="H71" t="s">
        <v>482</v>
      </c>
      <c r="I71">
        <v>29</v>
      </c>
      <c r="J71">
        <v>10</v>
      </c>
      <c r="K71">
        <v>0</v>
      </c>
      <c r="L71">
        <v>0</v>
      </c>
      <c r="M71" t="s">
        <v>483</v>
      </c>
      <c r="N71" t="s">
        <v>1</v>
      </c>
      <c r="O71" t="s">
        <v>1</v>
      </c>
      <c r="Q71">
        <v>3</v>
      </c>
      <c r="R71" t="s">
        <v>79</v>
      </c>
      <c r="S71" t="s">
        <v>107</v>
      </c>
      <c r="T71" t="s">
        <v>484</v>
      </c>
      <c r="U71" s="3" t="s">
        <v>1</v>
      </c>
      <c r="V71" s="3" t="s">
        <v>485</v>
      </c>
      <c r="W71" s="3" t="s">
        <v>486</v>
      </c>
      <c r="X71" t="s">
        <v>277</v>
      </c>
      <c r="Y71">
        <v>9</v>
      </c>
      <c r="Z71">
        <v>0</v>
      </c>
      <c r="AA71">
        <f>IF('Στατιστικά'!$C$6,1,IFERROR(INDEX('Στατιστικά'!$C$10:$C$83,MATCH(G71,'Στατιστικά'!$B$10:$B$83,0))*1,0))</f>
        <v>1</v>
      </c>
    </row>
    <row r="72" spans="1:27">
      <c r="A72" s="2">
        <v>46267</v>
      </c>
      <c r="B72" t="s">
        <v>62</v>
      </c>
      <c r="C72" t="s">
        <v>1</v>
      </c>
      <c r="D72" t="s">
        <v>1</v>
      </c>
      <c r="E72" t="s">
        <v>487</v>
      </c>
      <c r="F72" t="s">
        <v>488</v>
      </c>
      <c r="G72" t="s">
        <v>489</v>
      </c>
      <c r="H72" t="s">
        <v>490</v>
      </c>
      <c r="I72">
        <v>42</v>
      </c>
      <c r="J72">
        <v>13</v>
      </c>
      <c r="K72">
        <v>3</v>
      </c>
      <c r="L72">
        <v>1</v>
      </c>
      <c r="M72" t="s">
        <v>491</v>
      </c>
      <c r="N72" t="s">
        <v>492</v>
      </c>
      <c r="O72" t="s">
        <v>1</v>
      </c>
      <c r="Q72">
        <v>2</v>
      </c>
      <c r="R72" t="s">
        <v>17</v>
      </c>
      <c r="S72" t="s">
        <v>107</v>
      </c>
      <c r="T72" t="s">
        <v>98</v>
      </c>
      <c r="U72" s="3" t="s">
        <v>493</v>
      </c>
      <c r="V72" s="3" t="s">
        <v>494</v>
      </c>
      <c r="W72" s="3" t="s">
        <v>495</v>
      </c>
      <c r="X72" t="s">
        <v>277</v>
      </c>
      <c r="Y72">
        <v>9</v>
      </c>
      <c r="Z72">
        <v>0</v>
      </c>
      <c r="AA72">
        <f>IF('Στατιστικά'!$C$6,1,IFERROR(INDEX('Στατιστικά'!$C$10:$C$83,MATCH(G72,'Στατιστικά'!$B$10:$B$83,0))*1,0))</f>
        <v>1</v>
      </c>
    </row>
    <row r="73" spans="1:27">
      <c r="A73" s="2">
        <v>46267</v>
      </c>
      <c r="B73" t="s">
        <v>62</v>
      </c>
      <c r="C73" t="s">
        <v>1</v>
      </c>
      <c r="D73" t="s">
        <v>1</v>
      </c>
      <c r="E73" t="s">
        <v>487</v>
      </c>
      <c r="F73" t="s">
        <v>488</v>
      </c>
      <c r="G73" t="s">
        <v>496</v>
      </c>
      <c r="H73" t="s">
        <v>497</v>
      </c>
      <c r="I73">
        <v>42</v>
      </c>
      <c r="J73">
        <v>13</v>
      </c>
      <c r="K73">
        <v>2</v>
      </c>
      <c r="L73">
        <v>1</v>
      </c>
      <c r="M73" t="s">
        <v>498</v>
      </c>
      <c r="N73" t="s">
        <v>499</v>
      </c>
      <c r="O73" t="s">
        <v>1</v>
      </c>
      <c r="Q73">
        <v>2</v>
      </c>
      <c r="R73" t="s">
        <v>17</v>
      </c>
      <c r="S73" t="s">
        <v>8</v>
      </c>
      <c r="T73" t="s">
        <v>1</v>
      </c>
      <c r="U73" s="3" t="s">
        <v>500</v>
      </c>
      <c r="V73" s="3" t="s">
        <v>501</v>
      </c>
      <c r="W73" s="3" t="s">
        <v>4522</v>
      </c>
      <c r="X73" t="s">
        <v>372</v>
      </c>
      <c r="Y73">
        <v>9</v>
      </c>
      <c r="Z73">
        <v>0</v>
      </c>
      <c r="AA73">
        <f>IF('Στατιστικά'!$C$6,1,IFERROR(INDEX('Στατιστικά'!$C$10:$C$83,MATCH(G73,'Στατιστικά'!$B$10:$B$83,0))*1,0))</f>
        <v>1</v>
      </c>
    </row>
    <row r="74" spans="1:27">
      <c r="A74" s="2">
        <v>46267</v>
      </c>
      <c r="B74" t="s">
        <v>300</v>
      </c>
      <c r="C74" t="s">
        <v>503</v>
      </c>
      <c r="D74" t="s">
        <v>1</v>
      </c>
      <c r="E74" t="s">
        <v>504</v>
      </c>
      <c r="F74" t="s">
        <v>505</v>
      </c>
      <c r="G74" t="s">
        <v>15</v>
      </c>
      <c r="H74" t="s">
        <v>506</v>
      </c>
      <c r="I74">
        <v>32</v>
      </c>
      <c r="J74">
        <v>12</v>
      </c>
      <c r="K74">
        <v>0</v>
      </c>
      <c r="L74">
        <v>2</v>
      </c>
      <c r="M74" t="s">
        <v>507</v>
      </c>
      <c r="N74" t="s">
        <v>1</v>
      </c>
      <c r="O74" t="s">
        <v>239</v>
      </c>
      <c r="Q74">
        <v>3</v>
      </c>
      <c r="R74" t="s">
        <v>79</v>
      </c>
      <c r="S74" t="s">
        <v>80</v>
      </c>
      <c r="T74" t="s">
        <v>98</v>
      </c>
      <c r="U74" s="3" t="s">
        <v>1</v>
      </c>
      <c r="V74" s="3" t="s">
        <v>508</v>
      </c>
      <c r="W74" s="3" t="s">
        <v>509</v>
      </c>
      <c r="X74" t="s">
        <v>277</v>
      </c>
      <c r="Y74">
        <v>9</v>
      </c>
      <c r="Z74">
        <v>0</v>
      </c>
      <c r="AA74">
        <f>IF('Στατιστικά'!$C$6,1,IFERROR(INDEX('Στατιστικά'!$C$10:$C$83,MATCH(G74,'Στατιστικά'!$B$10:$B$83,0))*1,0))</f>
        <v>1</v>
      </c>
    </row>
    <row r="75" spans="1:27">
      <c r="A75" s="2">
        <v>46267</v>
      </c>
      <c r="B75" t="s">
        <v>510</v>
      </c>
      <c r="C75" t="s">
        <v>1</v>
      </c>
      <c r="D75" t="s">
        <v>1</v>
      </c>
      <c r="E75" t="s">
        <v>511</v>
      </c>
      <c r="F75" t="s">
        <v>44</v>
      </c>
      <c r="G75" t="s">
        <v>45</v>
      </c>
      <c r="H75" t="s">
        <v>512</v>
      </c>
      <c r="I75">
        <v>80</v>
      </c>
      <c r="J75">
        <v>25</v>
      </c>
      <c r="K75">
        <v>12</v>
      </c>
      <c r="L75">
        <v>9</v>
      </c>
      <c r="M75" t="s">
        <v>513</v>
      </c>
      <c r="N75" t="s">
        <v>514</v>
      </c>
      <c r="O75" t="s">
        <v>106</v>
      </c>
      <c r="P75">
        <v>300</v>
      </c>
      <c r="Q75">
        <v>3</v>
      </c>
      <c r="R75" t="s">
        <v>79</v>
      </c>
      <c r="S75" t="s">
        <v>80</v>
      </c>
      <c r="T75" t="s">
        <v>515</v>
      </c>
      <c r="U75" s="3" t="s">
        <v>1</v>
      </c>
      <c r="V75" s="3" t="s">
        <v>516</v>
      </c>
      <c r="W75" s="3" t="s">
        <v>517</v>
      </c>
      <c r="X75" t="s">
        <v>277</v>
      </c>
      <c r="Y75">
        <v>9</v>
      </c>
      <c r="Z75">
        <v>300</v>
      </c>
      <c r="AA75">
        <f>IF('Στατιστικά'!$C$6,1,IFERROR(INDEX('Στατιστικά'!$C$10:$C$83,MATCH(G75,'Στατιστικά'!$B$10:$B$83,0))*1,0))</f>
        <v>1</v>
      </c>
    </row>
    <row r="76" spans="1:27">
      <c r="A76" s="2">
        <v>46267</v>
      </c>
      <c r="B76" t="s">
        <v>510</v>
      </c>
      <c r="C76" t="s">
        <v>1</v>
      </c>
      <c r="D76" t="s">
        <v>1</v>
      </c>
      <c r="E76" t="s">
        <v>518</v>
      </c>
      <c r="F76" t="s">
        <v>519</v>
      </c>
      <c r="G76" t="s">
        <v>45</v>
      </c>
      <c r="H76" t="s">
        <v>512</v>
      </c>
      <c r="I76">
        <v>80</v>
      </c>
      <c r="J76">
        <v>25</v>
      </c>
      <c r="K76">
        <v>12</v>
      </c>
      <c r="L76">
        <v>8</v>
      </c>
      <c r="M76" t="s">
        <v>520</v>
      </c>
      <c r="N76" t="s">
        <v>521</v>
      </c>
      <c r="O76" t="s">
        <v>239</v>
      </c>
      <c r="P76">
        <v>30.0</v>
      </c>
      <c r="Q76">
        <v>3</v>
      </c>
      <c r="R76" t="s">
        <v>79</v>
      </c>
      <c r="S76" t="s">
        <v>80</v>
      </c>
      <c r="T76" t="s">
        <v>522</v>
      </c>
      <c r="U76" s="3" t="s">
        <v>1</v>
      </c>
      <c r="V76" s="3" t="s">
        <v>523</v>
      </c>
      <c r="W76" s="3" t="s">
        <v>4523</v>
      </c>
      <c r="X76" t="s">
        <v>277</v>
      </c>
      <c r="Y76">
        <v>9</v>
      </c>
      <c r="Z76">
        <v>0</v>
      </c>
      <c r="AA76">
        <f>IF('Στατιστικά'!$C$6,1,IFERROR(INDEX('Στατιστικά'!$C$10:$C$83,MATCH(G76,'Στατιστικά'!$B$10:$B$83,0))*1,0))</f>
        <v>1</v>
      </c>
    </row>
    <row r="77" spans="1:27">
      <c r="A77" s="2">
        <v>46267</v>
      </c>
      <c r="B77" t="s">
        <v>0</v>
      </c>
      <c r="C77" t="s">
        <v>1</v>
      </c>
      <c r="D77" t="s">
        <v>1</v>
      </c>
      <c r="E77" t="s">
        <v>525</v>
      </c>
      <c r="F77" t="s">
        <v>44</v>
      </c>
      <c r="G77" t="s">
        <v>174</v>
      </c>
      <c r="H77" t="s">
        <v>526</v>
      </c>
      <c r="I77">
        <v>76</v>
      </c>
      <c r="J77">
        <v>23</v>
      </c>
      <c r="K77">
        <v>9</v>
      </c>
      <c r="L77">
        <v>4</v>
      </c>
      <c r="M77" t="s">
        <v>527</v>
      </c>
      <c r="N77" t="s">
        <v>528</v>
      </c>
      <c r="O77" t="s">
        <v>106</v>
      </c>
      <c r="P77">
        <v>103</v>
      </c>
      <c r="Q77">
        <v>3</v>
      </c>
      <c r="R77" t="s">
        <v>79</v>
      </c>
      <c r="S77" t="s">
        <v>107</v>
      </c>
      <c r="T77" t="s">
        <v>529</v>
      </c>
      <c r="U77" s="3" t="s">
        <v>530</v>
      </c>
      <c r="V77" s="3" t="s">
        <v>531</v>
      </c>
      <c r="W77" s="3" t="s">
        <v>532</v>
      </c>
      <c r="X77" t="s">
        <v>277</v>
      </c>
      <c r="Y77">
        <v>9</v>
      </c>
      <c r="Z77">
        <v>103</v>
      </c>
      <c r="AA77">
        <f>IF('Στατιστικά'!$C$6,1,IFERROR(INDEX('Στατιστικά'!$C$10:$C$83,MATCH(G77,'Στατιστικά'!$B$10:$B$83,0))*1,0))</f>
        <v>1</v>
      </c>
    </row>
    <row r="78" spans="1:27">
      <c r="A78" s="2">
        <v>46267</v>
      </c>
      <c r="B78" t="s">
        <v>1</v>
      </c>
      <c r="C78" t="s">
        <v>1</v>
      </c>
      <c r="D78" t="s">
        <v>1</v>
      </c>
      <c r="E78" t="s">
        <v>1</v>
      </c>
      <c r="F78" t="s">
        <v>3</v>
      </c>
      <c r="G78" t="s">
        <v>4</v>
      </c>
      <c r="H78" t="s">
        <v>1</v>
      </c>
      <c r="M78" t="s">
        <v>1</v>
      </c>
      <c r="N78" t="s">
        <v>1</v>
      </c>
      <c r="O78" t="s">
        <v>1</v>
      </c>
      <c r="P78">
        <v>2</v>
      </c>
      <c r="Q78">
        <v>2</v>
      </c>
      <c r="R78" t="s">
        <v>17</v>
      </c>
      <c r="S78" t="s">
        <v>1</v>
      </c>
      <c r="T78" t="s">
        <v>1</v>
      </c>
      <c r="U78" s="3" t="s">
        <v>1</v>
      </c>
      <c r="V78" s="3" t="s">
        <v>533</v>
      </c>
      <c r="W78" s="3" t="s">
        <v>534</v>
      </c>
      <c r="X78" t="s">
        <v>372</v>
      </c>
      <c r="Y78">
        <v>9</v>
      </c>
      <c r="Z78">
        <v>2</v>
      </c>
      <c r="AA78">
        <f>IF('Στατιστικά'!$C$6,1,IFERROR(INDEX('Στατιστικά'!$C$10:$C$83,MATCH(G78,'Στατιστικά'!$B$10:$B$83,0))*1,0))</f>
        <v>1</v>
      </c>
    </row>
    <row r="79" spans="1:27">
      <c r="A79" s="2">
        <v>46267</v>
      </c>
      <c r="B79" t="s">
        <v>1</v>
      </c>
      <c r="C79" t="s">
        <v>1</v>
      </c>
      <c r="D79" t="s">
        <v>1</v>
      </c>
      <c r="E79" t="s">
        <v>535</v>
      </c>
      <c r="F79" t="s">
        <v>3</v>
      </c>
      <c r="G79" t="s">
        <v>4</v>
      </c>
      <c r="H79" t="s">
        <v>1</v>
      </c>
      <c r="M79" t="s">
        <v>1</v>
      </c>
      <c r="N79" t="s">
        <v>1</v>
      </c>
      <c r="O79" t="s">
        <v>1</v>
      </c>
      <c r="P79">
        <v>2</v>
      </c>
      <c r="Q79">
        <v>2</v>
      </c>
      <c r="R79" t="s">
        <v>17</v>
      </c>
      <c r="S79" t="s">
        <v>1</v>
      </c>
      <c r="T79" t="s">
        <v>1</v>
      </c>
      <c r="U79" s="3" t="s">
        <v>1</v>
      </c>
      <c r="V79" s="3" t="s">
        <v>536</v>
      </c>
      <c r="W79" s="3" t="s">
        <v>537</v>
      </c>
      <c r="X79" t="s">
        <v>409</v>
      </c>
      <c r="Y79">
        <v>9</v>
      </c>
      <c r="Z79">
        <v>2</v>
      </c>
      <c r="AA79">
        <f>IF('Στατιστικά'!$C$6,1,IFERROR(INDEX('Στατιστικά'!$C$10:$C$83,MATCH(G79,'Στατιστικά'!$B$10:$B$83,0))*1,0))</f>
        <v>1</v>
      </c>
    </row>
    <row r="80" spans="1:27">
      <c r="A80" s="2">
        <v>46267</v>
      </c>
      <c r="B80" t="s">
        <v>1</v>
      </c>
      <c r="C80" t="s">
        <v>1</v>
      </c>
      <c r="D80" t="s">
        <v>1</v>
      </c>
      <c r="E80" t="s">
        <v>538</v>
      </c>
      <c r="F80" t="s">
        <v>38</v>
      </c>
      <c r="G80" t="s">
        <v>15</v>
      </c>
      <c r="H80" t="s">
        <v>539</v>
      </c>
      <c r="I80">
        <v>38</v>
      </c>
      <c r="M80" t="s">
        <v>1</v>
      </c>
      <c r="N80" t="s">
        <v>1</v>
      </c>
      <c r="O80" t="s">
        <v>1</v>
      </c>
      <c r="Q80">
        <v>3</v>
      </c>
      <c r="R80" t="s">
        <v>79</v>
      </c>
      <c r="S80" t="s">
        <v>1</v>
      </c>
      <c r="T80" t="s">
        <v>1</v>
      </c>
      <c r="U80" s="3" t="s">
        <v>1</v>
      </c>
      <c r="V80" s="3" t="s">
        <v>1</v>
      </c>
      <c r="W80" s="3" t="s">
        <v>540</v>
      </c>
      <c r="X80" t="s">
        <v>541</v>
      </c>
      <c r="Y80">
        <v>9</v>
      </c>
      <c r="Z80">
        <v>0</v>
      </c>
      <c r="AA80">
        <f>IF('Στατιστικά'!$C$6,1,IFERROR(INDEX('Στατιστικά'!$C$10:$C$83,MATCH(G80,'Στατιστικά'!$B$10:$B$83,0))*1,0))</f>
        <v>1</v>
      </c>
    </row>
    <row r="81" spans="1:27">
      <c r="A81" s="2">
        <v>46267</v>
      </c>
      <c r="B81" t="s">
        <v>1</v>
      </c>
      <c r="C81" t="s">
        <v>1</v>
      </c>
      <c r="D81" t="s">
        <v>1</v>
      </c>
      <c r="E81" t="s">
        <v>542</v>
      </c>
      <c r="F81" t="s">
        <v>38</v>
      </c>
      <c r="G81" t="s">
        <v>15</v>
      </c>
      <c r="H81" t="s">
        <v>543</v>
      </c>
      <c r="L81">
        <v>1</v>
      </c>
      <c r="M81" t="s">
        <v>1</v>
      </c>
      <c r="N81" t="s">
        <v>1</v>
      </c>
      <c r="O81" t="s">
        <v>1</v>
      </c>
      <c r="Q81">
        <v>3</v>
      </c>
      <c r="R81" t="s">
        <v>79</v>
      </c>
      <c r="S81" t="s">
        <v>1</v>
      </c>
      <c r="T81" t="s">
        <v>1</v>
      </c>
      <c r="U81" s="3" t="s">
        <v>1</v>
      </c>
      <c r="V81" s="3" t="s">
        <v>1</v>
      </c>
      <c r="W81" s="3" t="s">
        <v>544</v>
      </c>
      <c r="X81" t="s">
        <v>545</v>
      </c>
      <c r="Y81">
        <v>9</v>
      </c>
      <c r="Z81">
        <v>0</v>
      </c>
      <c r="AA81">
        <f>IF('Στατιστικά'!$C$6,1,IFERROR(INDEX('Στατιστικά'!$C$10:$C$83,MATCH(G81,'Στατιστικά'!$B$10:$B$83,0))*1,0))</f>
        <v>1</v>
      </c>
    </row>
    <row r="82" spans="1:27">
      <c r="A82" s="2">
        <v>46266</v>
      </c>
      <c r="B82" t="s">
        <v>62</v>
      </c>
      <c r="C82" t="s">
        <v>1</v>
      </c>
      <c r="D82" t="s">
        <v>1</v>
      </c>
      <c r="E82" t="s">
        <v>546</v>
      </c>
      <c r="F82" t="s">
        <v>217</v>
      </c>
      <c r="G82" t="s">
        <v>412</v>
      </c>
      <c r="H82" t="s">
        <v>547</v>
      </c>
      <c r="I82">
        <v>47</v>
      </c>
      <c r="J82">
        <v>17</v>
      </c>
      <c r="K82">
        <v>5</v>
      </c>
      <c r="L82">
        <v>1</v>
      </c>
      <c r="M82" t="s">
        <v>334</v>
      </c>
      <c r="N82" t="s">
        <v>548</v>
      </c>
      <c r="O82" t="s">
        <v>1</v>
      </c>
      <c r="R82" t="s">
        <v>1</v>
      </c>
      <c r="S82" t="s">
        <v>107</v>
      </c>
      <c r="T82" t="s">
        <v>549</v>
      </c>
      <c r="U82" s="3" t="s">
        <v>1</v>
      </c>
      <c r="V82" s="3" t="s">
        <v>550</v>
      </c>
      <c r="W82" s="3" t="s">
        <v>551</v>
      </c>
      <c r="X82" t="s">
        <v>409</v>
      </c>
      <c r="Y82">
        <v>9</v>
      </c>
      <c r="Z82">
        <v>0</v>
      </c>
      <c r="AA82">
        <f>IF('Στατιστικά'!$C$6,1,IFERROR(INDEX('Στατιστικά'!$C$10:$C$83,MATCH(G82,'Στατιστικά'!$B$10:$B$83,0))*1,0))</f>
        <v>1</v>
      </c>
    </row>
    <row r="83" spans="1:27">
      <c r="A83" s="2">
        <v>46265</v>
      </c>
      <c r="B83" t="s">
        <v>552</v>
      </c>
      <c r="C83" t="s">
        <v>1</v>
      </c>
      <c r="D83" t="s">
        <v>1</v>
      </c>
      <c r="E83" t="s">
        <v>553</v>
      </c>
      <c r="F83" t="s">
        <v>3</v>
      </c>
      <c r="G83" t="s">
        <v>4</v>
      </c>
      <c r="H83" t="s">
        <v>554</v>
      </c>
      <c r="I83">
        <v>170</v>
      </c>
      <c r="J83">
        <v>65</v>
      </c>
      <c r="K83">
        <v>15</v>
      </c>
      <c r="L83">
        <v>13</v>
      </c>
      <c r="M83" t="s">
        <v>555</v>
      </c>
      <c r="N83" t="s">
        <v>556</v>
      </c>
      <c r="O83" t="s">
        <v>557</v>
      </c>
      <c r="P83">
        <v>1000</v>
      </c>
      <c r="Q83">
        <v>2</v>
      </c>
      <c r="R83" t="s">
        <v>17</v>
      </c>
      <c r="S83" t="s">
        <v>107</v>
      </c>
      <c r="T83" t="s">
        <v>69</v>
      </c>
      <c r="U83" s="3" t="s">
        <v>558</v>
      </c>
      <c r="V83" s="3" t="s">
        <v>559</v>
      </c>
      <c r="W83" s="3" t="s">
        <v>560</v>
      </c>
      <c r="X83" t="s">
        <v>12</v>
      </c>
      <c r="Y83">
        <v>8</v>
      </c>
      <c r="Z83">
        <v>1000</v>
      </c>
      <c r="AA83">
        <f>IF('Στατιστικά'!$C$6,1,IFERROR(INDEX('Στατιστικά'!$C$10:$C$83,MATCH(G83,'Στατιστικά'!$B$10:$B$83,0))*1,0))</f>
        <v>1</v>
      </c>
    </row>
    <row r="84" spans="1:27">
      <c r="A84" s="2">
        <v>46265</v>
      </c>
      <c r="B84" t="s">
        <v>561</v>
      </c>
      <c r="C84" t="s">
        <v>1</v>
      </c>
      <c r="D84" t="s">
        <v>1</v>
      </c>
      <c r="E84" t="s">
        <v>562</v>
      </c>
      <c r="F84" t="s">
        <v>64</v>
      </c>
      <c r="G84" t="s">
        <v>54</v>
      </c>
      <c r="H84" t="s">
        <v>563</v>
      </c>
      <c r="I84">
        <v>12</v>
      </c>
      <c r="J84">
        <v>5</v>
      </c>
      <c r="K84">
        <v>0</v>
      </c>
      <c r="L84">
        <v>0</v>
      </c>
      <c r="M84" t="s">
        <v>1</v>
      </c>
      <c r="N84" t="s">
        <v>1</v>
      </c>
      <c r="O84" t="s">
        <v>1</v>
      </c>
      <c r="P84" t="s">
        <v>4655</v>
      </c>
      <c r="Q84">
        <v>2</v>
      </c>
      <c r="R84" t="s">
        <v>17</v>
      </c>
      <c r="S84" t="s">
        <v>80</v>
      </c>
      <c r="T84" t="s">
        <v>564</v>
      </c>
      <c r="U84" s="3" t="s">
        <v>1</v>
      </c>
      <c r="V84" s="3" t="s">
        <v>565</v>
      </c>
      <c r="W84" s="3" t="s">
        <v>4656</v>
      </c>
      <c r="X84" t="s">
        <v>567</v>
      </c>
      <c r="Y84">
        <v>8</v>
      </c>
      <c r="Z84">
        <v>0</v>
      </c>
      <c r="AA84">
        <f>IF('Στατιστικά'!$C$6,1,IFERROR(INDEX('Στατιστικά'!$C$10:$C$83,MATCH(G84,'Στατιστικά'!$B$10:$B$83,0))*1,0))</f>
        <v>1</v>
      </c>
    </row>
    <row r="85" spans="1:27">
      <c r="A85" s="2">
        <v>46264</v>
      </c>
      <c r="B85" t="s">
        <v>568</v>
      </c>
      <c r="C85" t="s">
        <v>1</v>
      </c>
      <c r="D85" t="s">
        <v>1</v>
      </c>
      <c r="E85" t="s">
        <v>569</v>
      </c>
      <c r="F85" t="s">
        <v>3</v>
      </c>
      <c r="G85" t="s">
        <v>4</v>
      </c>
      <c r="H85" t="s">
        <v>570</v>
      </c>
      <c r="I85">
        <v>32</v>
      </c>
      <c r="J85">
        <v>8</v>
      </c>
      <c r="M85" t="s">
        <v>571</v>
      </c>
      <c r="N85" t="s">
        <v>572</v>
      </c>
      <c r="O85" t="s">
        <v>1</v>
      </c>
      <c r="Q85">
        <v>2</v>
      </c>
      <c r="R85" t="s">
        <v>17</v>
      </c>
      <c r="S85" t="s">
        <v>8</v>
      </c>
      <c r="T85" t="s">
        <v>9</v>
      </c>
      <c r="U85" s="3" t="s">
        <v>1</v>
      </c>
      <c r="V85" s="3" t="s">
        <v>573</v>
      </c>
      <c r="W85" s="3" t="s">
        <v>574</v>
      </c>
      <c r="X85" t="s">
        <v>186</v>
      </c>
      <c r="Y85">
        <v>8</v>
      </c>
      <c r="Z85">
        <v>0</v>
      </c>
      <c r="AA85">
        <f>IF('Στατιστικά'!$C$6,1,IFERROR(INDEX('Στατιστικά'!$C$10:$C$83,MATCH(G85,'Στατιστικά'!$B$10:$B$83,0))*1,0))</f>
        <v>1</v>
      </c>
    </row>
    <row r="86" spans="1:27">
      <c r="A86" s="2">
        <v>46264</v>
      </c>
      <c r="B86" t="s">
        <v>575</v>
      </c>
      <c r="C86" t="s">
        <v>1</v>
      </c>
      <c r="D86" t="s">
        <v>1</v>
      </c>
      <c r="E86" t="s">
        <v>576</v>
      </c>
      <c r="F86" t="s">
        <v>3</v>
      </c>
      <c r="G86" t="s">
        <v>4</v>
      </c>
      <c r="H86" t="s">
        <v>577</v>
      </c>
      <c r="I86">
        <v>32</v>
      </c>
      <c r="J86">
        <v>5</v>
      </c>
      <c r="K86">
        <v>0</v>
      </c>
      <c r="L86">
        <v>0</v>
      </c>
      <c r="M86" t="s">
        <v>578</v>
      </c>
      <c r="N86" t="s">
        <v>1</v>
      </c>
      <c r="O86" t="s">
        <v>1</v>
      </c>
      <c r="Q86">
        <v>2</v>
      </c>
      <c r="R86" t="s">
        <v>17</v>
      </c>
      <c r="S86" t="s">
        <v>8</v>
      </c>
      <c r="T86" t="s">
        <v>579</v>
      </c>
      <c r="U86" s="3" t="s">
        <v>1</v>
      </c>
      <c r="V86" s="3" t="s">
        <v>580</v>
      </c>
      <c r="W86" s="3" t="s">
        <v>4524</v>
      </c>
      <c r="X86" t="s">
        <v>409</v>
      </c>
      <c r="Y86">
        <v>8</v>
      </c>
      <c r="Z86">
        <v>0</v>
      </c>
      <c r="AA86">
        <f>IF('Στατιστικά'!$C$6,1,IFERROR(INDEX('Στατιστικά'!$C$10:$C$83,MATCH(G86,'Στατιστικά'!$B$10:$B$83,0))*1,0))</f>
        <v>1</v>
      </c>
    </row>
    <row r="87" spans="1:27">
      <c r="A87" s="2">
        <v>46264</v>
      </c>
      <c r="B87" t="s">
        <v>582</v>
      </c>
      <c r="C87" t="s">
        <v>62</v>
      </c>
      <c r="D87" t="s">
        <v>1</v>
      </c>
      <c r="E87" t="s">
        <v>583</v>
      </c>
      <c r="F87" t="s">
        <v>469</v>
      </c>
      <c r="G87" t="s">
        <v>470</v>
      </c>
      <c r="H87" t="s">
        <v>584</v>
      </c>
      <c r="I87">
        <v>34</v>
      </c>
      <c r="J87">
        <v>7</v>
      </c>
      <c r="K87">
        <v>6</v>
      </c>
      <c r="L87">
        <v>1</v>
      </c>
      <c r="M87" t="s">
        <v>585</v>
      </c>
      <c r="N87" t="s">
        <v>586</v>
      </c>
      <c r="O87" t="s">
        <v>1</v>
      </c>
      <c r="P87">
        <v>0.6</v>
      </c>
      <c r="Q87">
        <v>3</v>
      </c>
      <c r="R87" t="s">
        <v>79</v>
      </c>
      <c r="S87" t="s">
        <v>80</v>
      </c>
      <c r="T87" t="s">
        <v>587</v>
      </c>
      <c r="U87" s="3" t="s">
        <v>588</v>
      </c>
      <c r="V87" s="3" t="s">
        <v>589</v>
      </c>
      <c r="W87" s="3" t="s">
        <v>590</v>
      </c>
      <c r="X87" t="s">
        <v>277</v>
      </c>
      <c r="Y87">
        <v>8</v>
      </c>
      <c r="Z87">
        <v>0.6</v>
      </c>
      <c r="AA87">
        <f>IF('Στατιστικά'!$C$6,1,IFERROR(INDEX('Στατιστικά'!$C$10:$C$83,MATCH(G87,'Στατιστικά'!$B$10:$B$83,0))*1,0))</f>
        <v>1</v>
      </c>
    </row>
    <row r="88" spans="1:27">
      <c r="A88" s="2">
        <v>46264</v>
      </c>
      <c r="B88" t="s">
        <v>582</v>
      </c>
      <c r="C88" t="s">
        <v>1</v>
      </c>
      <c r="D88" t="s">
        <v>591</v>
      </c>
      <c r="E88" t="s">
        <v>592</v>
      </c>
      <c r="F88" t="s">
        <v>38</v>
      </c>
      <c r="G88" t="s">
        <v>15</v>
      </c>
      <c r="H88" t="s">
        <v>593</v>
      </c>
      <c r="I88">
        <v>47</v>
      </c>
      <c r="J88">
        <v>13</v>
      </c>
      <c r="K88">
        <v>4</v>
      </c>
      <c r="L88">
        <v>2</v>
      </c>
      <c r="M88" t="s">
        <v>594</v>
      </c>
      <c r="N88" t="s">
        <v>595</v>
      </c>
      <c r="O88" t="s">
        <v>1</v>
      </c>
      <c r="P88">
        <v>3</v>
      </c>
      <c r="Q88">
        <v>3</v>
      </c>
      <c r="R88" t="s">
        <v>79</v>
      </c>
      <c r="S88" t="s">
        <v>80</v>
      </c>
      <c r="T88" t="s">
        <v>596</v>
      </c>
      <c r="U88" s="3" t="s">
        <v>597</v>
      </c>
      <c r="V88" s="3" t="s">
        <v>598</v>
      </c>
      <c r="W88" s="3" t="s">
        <v>599</v>
      </c>
      <c r="X88" t="s">
        <v>567</v>
      </c>
      <c r="Y88">
        <v>8</v>
      </c>
      <c r="Z88">
        <v>3</v>
      </c>
      <c r="AA88">
        <f>IF('Στατιστικά'!$C$6,1,IFERROR(INDEX('Στατιστικά'!$C$10:$C$83,MATCH(G88,'Στατιστικά'!$B$10:$B$83,0))*1,0))</f>
        <v>1</v>
      </c>
    </row>
    <row r="89" spans="1:27">
      <c r="A89" s="2">
        <v>46264</v>
      </c>
      <c r="B89" t="s">
        <v>417</v>
      </c>
      <c r="C89" t="s">
        <v>410</v>
      </c>
      <c r="D89" t="s">
        <v>1</v>
      </c>
      <c r="E89" t="s">
        <v>600</v>
      </c>
      <c r="F89" t="s">
        <v>3</v>
      </c>
      <c r="G89" t="s">
        <v>601</v>
      </c>
      <c r="H89" t="s">
        <v>602</v>
      </c>
      <c r="I89">
        <v>22</v>
      </c>
      <c r="J89">
        <v>6</v>
      </c>
      <c r="K89">
        <v>1</v>
      </c>
      <c r="L89">
        <v>1</v>
      </c>
      <c r="M89" t="s">
        <v>603</v>
      </c>
      <c r="N89" t="s">
        <v>604</v>
      </c>
      <c r="O89" t="s">
        <v>1</v>
      </c>
      <c r="P89" t="s">
        <v>4657</v>
      </c>
      <c r="Q89">
        <v>3</v>
      </c>
      <c r="R89" t="s">
        <v>79</v>
      </c>
      <c r="S89" t="s">
        <v>80</v>
      </c>
      <c r="T89" t="s">
        <v>98</v>
      </c>
      <c r="U89" s="3" t="s">
        <v>1</v>
      </c>
      <c r="V89" s="3" t="s">
        <v>605</v>
      </c>
      <c r="W89" s="3" t="s">
        <v>4658</v>
      </c>
      <c r="X89" t="s">
        <v>541</v>
      </c>
      <c r="Y89">
        <v>8</v>
      </c>
      <c r="Z89">
        <v>0</v>
      </c>
      <c r="AA89">
        <f>IF('Στατιστικά'!$C$6,1,IFERROR(INDEX('Στατιστικά'!$C$10:$C$83,MATCH(G89,'Στατιστικά'!$B$10:$B$83,0))*1,0))</f>
        <v>1</v>
      </c>
    </row>
    <row r="90" spans="1:27">
      <c r="A90" s="2">
        <v>46264</v>
      </c>
      <c r="B90" t="s">
        <v>118</v>
      </c>
      <c r="C90" t="s">
        <v>607</v>
      </c>
      <c r="D90" t="s">
        <v>1</v>
      </c>
      <c r="E90" t="s">
        <v>608</v>
      </c>
      <c r="F90" t="s">
        <v>64</v>
      </c>
      <c r="G90" t="s">
        <v>116</v>
      </c>
      <c r="H90" t="s">
        <v>609</v>
      </c>
      <c r="I90">
        <v>10</v>
      </c>
      <c r="J90">
        <v>4</v>
      </c>
      <c r="K90">
        <v>0</v>
      </c>
      <c r="L90">
        <v>1</v>
      </c>
      <c r="M90" t="s">
        <v>1</v>
      </c>
      <c r="N90" t="s">
        <v>610</v>
      </c>
      <c r="O90" t="s">
        <v>1</v>
      </c>
      <c r="P90" t="s">
        <v>4659</v>
      </c>
      <c r="Q90">
        <v>2</v>
      </c>
      <c r="R90" t="s">
        <v>17</v>
      </c>
      <c r="S90" t="s">
        <v>58</v>
      </c>
      <c r="T90" t="s">
        <v>390</v>
      </c>
      <c r="U90" s="3" t="s">
        <v>1</v>
      </c>
      <c r="V90" s="3" t="s">
        <v>611</v>
      </c>
      <c r="W90" s="3" t="s">
        <v>4660</v>
      </c>
      <c r="X90" t="s">
        <v>409</v>
      </c>
      <c r="Y90">
        <v>8</v>
      </c>
      <c r="Z90">
        <v>0</v>
      </c>
      <c r="AA90">
        <f>IF('Στατιστικά'!$C$6,1,IFERROR(INDEX('Στατιστικά'!$C$10:$C$83,MATCH(G90,'Στατιστικά'!$B$10:$B$83,0))*1,0))</f>
        <v>1</v>
      </c>
    </row>
    <row r="91" spans="1:27">
      <c r="A91" s="2">
        <v>46264</v>
      </c>
      <c r="B91" t="s">
        <v>118</v>
      </c>
      <c r="C91" t="s">
        <v>607</v>
      </c>
      <c r="D91" t="s">
        <v>1</v>
      </c>
      <c r="E91" t="s">
        <v>613</v>
      </c>
      <c r="F91" t="s">
        <v>64</v>
      </c>
      <c r="G91" t="s">
        <v>116</v>
      </c>
      <c r="H91" t="s">
        <v>614</v>
      </c>
      <c r="I91">
        <v>10</v>
      </c>
      <c r="J91">
        <v>4</v>
      </c>
      <c r="K91">
        <v>0</v>
      </c>
      <c r="L91">
        <v>1</v>
      </c>
      <c r="M91" t="s">
        <v>1</v>
      </c>
      <c r="N91" t="s">
        <v>615</v>
      </c>
      <c r="O91" t="s">
        <v>1</v>
      </c>
      <c r="R91" t="s">
        <v>1</v>
      </c>
      <c r="S91" t="s">
        <v>58</v>
      </c>
      <c r="T91" t="s">
        <v>98</v>
      </c>
      <c r="U91" s="3" t="s">
        <v>1</v>
      </c>
      <c r="V91" s="3" t="s">
        <v>616</v>
      </c>
      <c r="W91" s="3" t="s">
        <v>4525</v>
      </c>
      <c r="X91" t="s">
        <v>277</v>
      </c>
      <c r="Y91">
        <v>8</v>
      </c>
      <c r="Z91">
        <v>0</v>
      </c>
      <c r="AA91">
        <f>IF('Στατιστικά'!$C$6,1,IFERROR(INDEX('Στατιστικά'!$C$10:$C$83,MATCH(G91,'Στατιστικά'!$B$10:$B$83,0))*1,0))</f>
        <v>1</v>
      </c>
    </row>
    <row r="92" spans="1:27">
      <c r="A92" s="2">
        <v>46264</v>
      </c>
      <c r="B92" t="s">
        <v>618</v>
      </c>
      <c r="C92" t="s">
        <v>1</v>
      </c>
      <c r="D92" t="s">
        <v>1</v>
      </c>
      <c r="E92" t="s">
        <v>619</v>
      </c>
      <c r="F92" t="s">
        <v>141</v>
      </c>
      <c r="G92" t="s">
        <v>481</v>
      </c>
      <c r="H92" t="s">
        <v>620</v>
      </c>
      <c r="I92">
        <v>21</v>
      </c>
      <c r="J92">
        <v>5</v>
      </c>
      <c r="K92">
        <v>0</v>
      </c>
      <c r="L92">
        <v>1</v>
      </c>
      <c r="M92" t="s">
        <v>621</v>
      </c>
      <c r="N92" t="s">
        <v>622</v>
      </c>
      <c r="O92" t="s">
        <v>1</v>
      </c>
      <c r="P92" t="s">
        <v>4661</v>
      </c>
      <c r="Q92">
        <v>3</v>
      </c>
      <c r="R92" t="s">
        <v>79</v>
      </c>
      <c r="S92" t="s">
        <v>80</v>
      </c>
      <c r="T92" t="s">
        <v>623</v>
      </c>
      <c r="U92" s="3" t="s">
        <v>1</v>
      </c>
      <c r="V92" s="3" t="s">
        <v>624</v>
      </c>
      <c r="W92" s="3" t="s">
        <v>4662</v>
      </c>
      <c r="X92" t="s">
        <v>186</v>
      </c>
      <c r="Y92">
        <v>8</v>
      </c>
      <c r="Z92">
        <v>0</v>
      </c>
      <c r="AA92">
        <f>IF('Στατιστικά'!$C$6,1,IFERROR(INDEX('Στατιστικά'!$C$10:$C$83,MATCH(G92,'Στατιστικά'!$B$10:$B$83,0))*1,0))</f>
        <v>1</v>
      </c>
    </row>
    <row r="93" spans="1:27">
      <c r="A93" s="2">
        <v>46264</v>
      </c>
      <c r="B93" t="s">
        <v>626</v>
      </c>
      <c r="C93" t="s">
        <v>1</v>
      </c>
      <c r="D93" t="s">
        <v>1</v>
      </c>
      <c r="E93" t="s">
        <v>627</v>
      </c>
      <c r="F93" t="s">
        <v>217</v>
      </c>
      <c r="G93" t="s">
        <v>412</v>
      </c>
      <c r="H93" t="s">
        <v>413</v>
      </c>
      <c r="M93" t="s">
        <v>1</v>
      </c>
      <c r="N93" t="s">
        <v>1</v>
      </c>
      <c r="O93" t="s">
        <v>1</v>
      </c>
      <c r="Q93">
        <v>2</v>
      </c>
      <c r="R93" t="s">
        <v>17</v>
      </c>
      <c r="S93" t="s">
        <v>58</v>
      </c>
      <c r="T93" t="s">
        <v>628</v>
      </c>
      <c r="U93" s="3" t="s">
        <v>1</v>
      </c>
      <c r="V93" s="3" t="s">
        <v>629</v>
      </c>
      <c r="W93" s="3" t="s">
        <v>630</v>
      </c>
      <c r="X93" t="s">
        <v>186</v>
      </c>
      <c r="Y93">
        <v>8</v>
      </c>
      <c r="Z93">
        <v>0</v>
      </c>
      <c r="AA93">
        <f>IF('Στατιστικά'!$C$6,1,IFERROR(INDEX('Στατιστικά'!$C$10:$C$83,MATCH(G93,'Στατιστικά'!$B$10:$B$83,0))*1,0))</f>
        <v>1</v>
      </c>
    </row>
    <row r="94" spans="1:27">
      <c r="A94" s="2">
        <v>46264</v>
      </c>
      <c r="B94" t="s">
        <v>626</v>
      </c>
      <c r="C94" t="s">
        <v>1</v>
      </c>
      <c r="D94" t="s">
        <v>251</v>
      </c>
      <c r="E94" t="s">
        <v>631</v>
      </c>
      <c r="F94" t="s">
        <v>217</v>
      </c>
      <c r="G94" t="s">
        <v>412</v>
      </c>
      <c r="H94" t="s">
        <v>632</v>
      </c>
      <c r="I94">
        <v>23</v>
      </c>
      <c r="J94">
        <v>7</v>
      </c>
      <c r="K94">
        <v>2</v>
      </c>
      <c r="L94">
        <v>1</v>
      </c>
      <c r="M94" t="s">
        <v>633</v>
      </c>
      <c r="N94" t="s">
        <v>1</v>
      </c>
      <c r="O94" t="s">
        <v>1</v>
      </c>
      <c r="P94" t="s">
        <v>4663</v>
      </c>
      <c r="Q94">
        <v>3</v>
      </c>
      <c r="R94" t="s">
        <v>79</v>
      </c>
      <c r="S94" t="s">
        <v>58</v>
      </c>
      <c r="T94" t="s">
        <v>634</v>
      </c>
      <c r="U94" s="3" t="s">
        <v>1</v>
      </c>
      <c r="V94" s="3" t="s">
        <v>635</v>
      </c>
      <c r="W94" s="3" t="s">
        <v>4664</v>
      </c>
      <c r="X94" t="s">
        <v>372</v>
      </c>
      <c r="Y94">
        <v>8</v>
      </c>
      <c r="Z94">
        <v>0</v>
      </c>
      <c r="AA94">
        <f>IF('Στατιστικά'!$C$6,1,IFERROR(INDEX('Στατιστικά'!$C$10:$C$83,MATCH(G94,'Στατιστικά'!$B$10:$B$83,0))*1,0))</f>
        <v>1</v>
      </c>
    </row>
    <row r="95" spans="1:27">
      <c r="A95" s="2">
        <v>46263</v>
      </c>
      <c r="B95" t="s">
        <v>637</v>
      </c>
      <c r="C95" t="s">
        <v>1</v>
      </c>
      <c r="D95" t="s">
        <v>1</v>
      </c>
      <c r="E95" t="s">
        <v>638</v>
      </c>
      <c r="F95" t="s">
        <v>74</v>
      </c>
      <c r="G95" t="s">
        <v>639</v>
      </c>
      <c r="H95" t="s">
        <v>1</v>
      </c>
      <c r="I95">
        <v>17</v>
      </c>
      <c r="J95">
        <v>4</v>
      </c>
      <c r="K95">
        <v>0</v>
      </c>
      <c r="L95">
        <v>0</v>
      </c>
      <c r="M95" t="s">
        <v>640</v>
      </c>
      <c r="N95" t="s">
        <v>1</v>
      </c>
      <c r="O95" t="s">
        <v>1</v>
      </c>
      <c r="P95" t="s">
        <v>4665</v>
      </c>
      <c r="Q95">
        <v>5</v>
      </c>
      <c r="R95" t="s">
        <v>192</v>
      </c>
      <c r="S95" t="s">
        <v>58</v>
      </c>
      <c r="T95" t="s">
        <v>634</v>
      </c>
      <c r="U95" s="3" t="s">
        <v>1</v>
      </c>
      <c r="V95" s="3" t="s">
        <v>641</v>
      </c>
      <c r="W95" s="3" t="s">
        <v>4666</v>
      </c>
      <c r="X95" t="s">
        <v>186</v>
      </c>
      <c r="Y95">
        <v>8</v>
      </c>
      <c r="Z95">
        <v>0</v>
      </c>
      <c r="AA95">
        <f>IF('Στατιστικά'!$C$6,1,IFERROR(INDEX('Στατιστικά'!$C$10:$C$83,MATCH(G95,'Στατιστικά'!$B$10:$B$83,0))*1,0))</f>
        <v>1</v>
      </c>
    </row>
    <row r="96" spans="1:27">
      <c r="A96" s="2">
        <v>46263</v>
      </c>
      <c r="B96" t="s">
        <v>643</v>
      </c>
      <c r="C96" t="s">
        <v>479</v>
      </c>
      <c r="D96" t="s">
        <v>1</v>
      </c>
      <c r="E96" t="s">
        <v>644</v>
      </c>
      <c r="F96" t="s">
        <v>64</v>
      </c>
      <c r="G96" t="s">
        <v>645</v>
      </c>
      <c r="H96" t="s">
        <v>646</v>
      </c>
      <c r="I96">
        <v>20</v>
      </c>
      <c r="J96">
        <v>8</v>
      </c>
      <c r="K96">
        <v>0</v>
      </c>
      <c r="L96">
        <v>1</v>
      </c>
      <c r="M96" t="s">
        <v>1</v>
      </c>
      <c r="N96" t="s">
        <v>1</v>
      </c>
      <c r="O96" t="s">
        <v>1</v>
      </c>
      <c r="P96" t="s">
        <v>4667</v>
      </c>
      <c r="R96" t="s">
        <v>1</v>
      </c>
      <c r="S96" t="s">
        <v>80</v>
      </c>
      <c r="T96" t="s">
        <v>647</v>
      </c>
      <c r="U96" s="3" t="s">
        <v>1</v>
      </c>
      <c r="V96" s="3" t="s">
        <v>648</v>
      </c>
      <c r="W96" s="3" t="s">
        <v>4668</v>
      </c>
      <c r="X96" t="s">
        <v>372</v>
      </c>
      <c r="Y96">
        <v>8</v>
      </c>
      <c r="Z96">
        <v>0</v>
      </c>
      <c r="AA96">
        <f>IF('Στατιστικά'!$C$6,1,IFERROR(INDEX('Στατιστικά'!$C$10:$C$83,MATCH(G96,'Στατιστικά'!$B$10:$B$83,0))*1,0))</f>
        <v>1</v>
      </c>
    </row>
    <row r="97" spans="1:27">
      <c r="A97" s="2">
        <v>46263</v>
      </c>
      <c r="B97" t="s">
        <v>591</v>
      </c>
      <c r="C97" t="s">
        <v>1</v>
      </c>
      <c r="D97" t="s">
        <v>1</v>
      </c>
      <c r="E97" t="s">
        <v>650</v>
      </c>
      <c r="F97" t="s">
        <v>74</v>
      </c>
      <c r="G97" t="s">
        <v>639</v>
      </c>
      <c r="H97" t="s">
        <v>1</v>
      </c>
      <c r="M97" t="s">
        <v>1</v>
      </c>
      <c r="N97" t="s">
        <v>1</v>
      </c>
      <c r="O97" t="s">
        <v>1</v>
      </c>
      <c r="Q97">
        <v>5</v>
      </c>
      <c r="R97" t="s">
        <v>192</v>
      </c>
      <c r="S97" t="s">
        <v>58</v>
      </c>
      <c r="T97" t="s">
        <v>634</v>
      </c>
      <c r="U97" s="3" t="s">
        <v>1</v>
      </c>
      <c r="V97" s="3" t="s">
        <v>651</v>
      </c>
      <c r="W97" s="3" t="s">
        <v>652</v>
      </c>
      <c r="X97" t="s">
        <v>186</v>
      </c>
      <c r="Y97">
        <v>8</v>
      </c>
      <c r="Z97">
        <v>0</v>
      </c>
      <c r="AA97">
        <f>IF('Στατιστικά'!$C$6,1,IFERROR(INDEX('Στατιστικά'!$C$10:$C$83,MATCH(G97,'Στατιστικά'!$B$10:$B$83,0))*1,0))</f>
        <v>1</v>
      </c>
    </row>
    <row r="98" spans="1:27">
      <c r="A98" s="2">
        <v>46263</v>
      </c>
      <c r="B98" t="s">
        <v>1</v>
      </c>
      <c r="C98" t="s">
        <v>1</v>
      </c>
      <c r="D98" t="s">
        <v>1</v>
      </c>
      <c r="E98" t="s">
        <v>653</v>
      </c>
      <c r="F98" t="s">
        <v>74</v>
      </c>
      <c r="G98" t="s">
        <v>639</v>
      </c>
      <c r="H98" t="s">
        <v>1</v>
      </c>
      <c r="M98" t="s">
        <v>1</v>
      </c>
      <c r="N98" t="s">
        <v>1</v>
      </c>
      <c r="O98" t="s">
        <v>1</v>
      </c>
      <c r="P98">
        <v>0.002</v>
      </c>
      <c r="Q98">
        <v>5</v>
      </c>
      <c r="R98" t="s">
        <v>192</v>
      </c>
      <c r="S98" t="s">
        <v>58</v>
      </c>
      <c r="T98" t="s">
        <v>634</v>
      </c>
      <c r="U98" s="3" t="s">
        <v>1</v>
      </c>
      <c r="V98" s="3" t="s">
        <v>654</v>
      </c>
      <c r="W98" s="3" t="s">
        <v>655</v>
      </c>
      <c r="X98" t="s">
        <v>277</v>
      </c>
      <c r="Y98">
        <v>8</v>
      </c>
      <c r="Z98">
        <v>0.002</v>
      </c>
      <c r="AA98">
        <f>IF('Στατιστικά'!$C$6,1,IFERROR(INDEX('Στατιστικά'!$C$10:$C$83,MATCH(G98,'Στατιστικά'!$B$10:$B$83,0))*1,0))</f>
        <v>1</v>
      </c>
    </row>
    <row r="99" spans="1:27">
      <c r="A99" s="2">
        <v>46263</v>
      </c>
      <c r="B99" t="s">
        <v>1</v>
      </c>
      <c r="C99" t="s">
        <v>1</v>
      </c>
      <c r="D99" t="s">
        <v>1</v>
      </c>
      <c r="E99" t="s">
        <v>656</v>
      </c>
      <c r="F99" t="s">
        <v>488</v>
      </c>
      <c r="G99" t="s">
        <v>657</v>
      </c>
      <c r="H99" t="s">
        <v>1</v>
      </c>
      <c r="I99">
        <v>22</v>
      </c>
      <c r="J99">
        <v>6</v>
      </c>
      <c r="K99">
        <v>0</v>
      </c>
      <c r="L99">
        <v>0</v>
      </c>
      <c r="M99" t="s">
        <v>658</v>
      </c>
      <c r="N99" t="s">
        <v>659</v>
      </c>
      <c r="O99" t="s">
        <v>1</v>
      </c>
      <c r="P99" t="s">
        <v>4669</v>
      </c>
      <c r="Q99">
        <v>2</v>
      </c>
      <c r="R99" t="s">
        <v>17</v>
      </c>
      <c r="S99" t="s">
        <v>107</v>
      </c>
      <c r="T99" t="s">
        <v>1</v>
      </c>
      <c r="U99" s="3" t="s">
        <v>1</v>
      </c>
      <c r="V99" s="3" t="s">
        <v>660</v>
      </c>
      <c r="W99" s="3" t="s">
        <v>4670</v>
      </c>
      <c r="X99" t="s">
        <v>567</v>
      </c>
      <c r="Y99">
        <v>8</v>
      </c>
      <c r="Z99">
        <v>0</v>
      </c>
      <c r="AA99">
        <f>IF('Στατιστικά'!$C$6,1,IFERROR(INDEX('Στατιστικά'!$C$10:$C$83,MATCH(G99,'Στατιστικά'!$B$10:$B$83,0))*1,0))</f>
        <v>1</v>
      </c>
    </row>
    <row r="100" spans="1:27">
      <c r="A100" s="2">
        <v>46262</v>
      </c>
      <c r="B100" t="s">
        <v>243</v>
      </c>
      <c r="C100" t="s">
        <v>1</v>
      </c>
      <c r="D100" t="s">
        <v>1</v>
      </c>
      <c r="E100" t="s">
        <v>662</v>
      </c>
      <c r="F100" t="s">
        <v>160</v>
      </c>
      <c r="G100" t="s">
        <v>198</v>
      </c>
      <c r="H100" t="s">
        <v>663</v>
      </c>
      <c r="I100">
        <v>20</v>
      </c>
      <c r="J100">
        <v>7</v>
      </c>
      <c r="K100">
        <v>1</v>
      </c>
      <c r="L100">
        <v>1</v>
      </c>
      <c r="M100" t="s">
        <v>664</v>
      </c>
      <c r="N100" t="s">
        <v>665</v>
      </c>
      <c r="O100" t="s">
        <v>1</v>
      </c>
      <c r="Q100">
        <v>3</v>
      </c>
      <c r="R100" t="s">
        <v>79</v>
      </c>
      <c r="S100" t="s">
        <v>80</v>
      </c>
      <c r="T100" t="s">
        <v>1</v>
      </c>
      <c r="U100" s="3" t="s">
        <v>1</v>
      </c>
      <c r="V100" s="3" t="s">
        <v>666</v>
      </c>
      <c r="W100" s="3" t="s">
        <v>4526</v>
      </c>
      <c r="X100" t="s">
        <v>372</v>
      </c>
      <c r="Y100">
        <v>8</v>
      </c>
      <c r="Z100">
        <v>0</v>
      </c>
      <c r="AA100">
        <f>IF('Στατιστικά'!$C$6,1,IFERROR(INDEX('Στατιστικά'!$C$10:$C$83,MATCH(G100,'Στατιστικά'!$B$10:$B$83,0))*1,0))</f>
        <v>1</v>
      </c>
    </row>
    <row r="101" spans="1:27">
      <c r="A101" s="2">
        <v>46262</v>
      </c>
      <c r="B101" t="s">
        <v>668</v>
      </c>
      <c r="C101" t="s">
        <v>1</v>
      </c>
      <c r="D101" t="s">
        <v>1</v>
      </c>
      <c r="E101" t="s">
        <v>669</v>
      </c>
      <c r="F101" t="s">
        <v>64</v>
      </c>
      <c r="G101" t="s">
        <v>116</v>
      </c>
      <c r="H101" t="s">
        <v>388</v>
      </c>
      <c r="I101">
        <v>42</v>
      </c>
      <c r="J101">
        <v>10</v>
      </c>
      <c r="K101">
        <v>0</v>
      </c>
      <c r="L101">
        <v>1</v>
      </c>
      <c r="M101" t="s">
        <v>56</v>
      </c>
      <c r="N101" t="s">
        <v>389</v>
      </c>
      <c r="O101" t="s">
        <v>1</v>
      </c>
      <c r="Q101">
        <v>3</v>
      </c>
      <c r="R101" t="s">
        <v>79</v>
      </c>
      <c r="S101" t="s">
        <v>107</v>
      </c>
      <c r="T101" t="s">
        <v>670</v>
      </c>
      <c r="U101" s="3" t="s">
        <v>671</v>
      </c>
      <c r="V101" s="3" t="s">
        <v>672</v>
      </c>
      <c r="W101" s="3" t="s">
        <v>673</v>
      </c>
      <c r="X101" t="s">
        <v>409</v>
      </c>
      <c r="Y101">
        <v>8</v>
      </c>
      <c r="Z101">
        <v>0</v>
      </c>
      <c r="AA101">
        <f>IF('Στατιστικά'!$C$6,1,IFERROR(INDEX('Στατιστικά'!$C$10:$C$83,MATCH(G101,'Στατιστικά'!$B$10:$B$83,0))*1,0))</f>
        <v>1</v>
      </c>
    </row>
    <row r="102" spans="1:27">
      <c r="A102" s="2">
        <v>46262</v>
      </c>
      <c r="B102" t="s">
        <v>668</v>
      </c>
      <c r="C102" t="s">
        <v>1</v>
      </c>
      <c r="D102" t="s">
        <v>1</v>
      </c>
      <c r="E102" t="s">
        <v>674</v>
      </c>
      <c r="F102" t="s">
        <v>64</v>
      </c>
      <c r="G102" t="s">
        <v>116</v>
      </c>
      <c r="H102" t="s">
        <v>388</v>
      </c>
      <c r="I102">
        <v>42</v>
      </c>
      <c r="J102">
        <v>10</v>
      </c>
      <c r="L102">
        <v>1</v>
      </c>
      <c r="M102" t="s">
        <v>56</v>
      </c>
      <c r="N102" t="s">
        <v>675</v>
      </c>
      <c r="O102" t="s">
        <v>1</v>
      </c>
      <c r="Q102">
        <v>3</v>
      </c>
      <c r="R102" t="s">
        <v>79</v>
      </c>
      <c r="S102" t="s">
        <v>80</v>
      </c>
      <c r="T102" t="s">
        <v>676</v>
      </c>
      <c r="U102" s="3" t="s">
        <v>1</v>
      </c>
      <c r="V102" s="3" t="s">
        <v>677</v>
      </c>
      <c r="W102" s="3" t="s">
        <v>4527</v>
      </c>
      <c r="X102" t="s">
        <v>372</v>
      </c>
      <c r="Y102">
        <v>8</v>
      </c>
      <c r="Z102">
        <v>0</v>
      </c>
      <c r="AA102">
        <f>IF('Στατιστικά'!$C$6,1,IFERROR(INDEX('Στατιστικά'!$C$10:$C$83,MATCH(G102,'Στατιστικά'!$B$10:$B$83,0))*1,0))</f>
        <v>1</v>
      </c>
    </row>
    <row r="103" spans="1:27">
      <c r="A103" s="2">
        <v>46262</v>
      </c>
      <c r="B103" t="s">
        <v>679</v>
      </c>
      <c r="C103" t="s">
        <v>1</v>
      </c>
      <c r="D103" t="s">
        <v>680</v>
      </c>
      <c r="E103" t="s">
        <v>681</v>
      </c>
      <c r="F103" t="s">
        <v>44</v>
      </c>
      <c r="G103" t="s">
        <v>465</v>
      </c>
      <c r="H103" t="s">
        <v>466</v>
      </c>
      <c r="I103">
        <v>16</v>
      </c>
      <c r="J103">
        <v>7</v>
      </c>
      <c r="M103" t="s">
        <v>1</v>
      </c>
      <c r="N103" t="s">
        <v>1</v>
      </c>
      <c r="O103" t="s">
        <v>1</v>
      </c>
      <c r="P103" t="s">
        <v>4671</v>
      </c>
      <c r="Q103">
        <v>3</v>
      </c>
      <c r="R103" t="s">
        <v>79</v>
      </c>
      <c r="S103" t="s">
        <v>58</v>
      </c>
      <c r="T103" t="s">
        <v>682</v>
      </c>
      <c r="U103" s="3" t="s">
        <v>1</v>
      </c>
      <c r="V103" s="3" t="s">
        <v>683</v>
      </c>
      <c r="W103" s="3" t="s">
        <v>4672</v>
      </c>
      <c r="X103" t="s">
        <v>685</v>
      </c>
      <c r="Y103">
        <v>8</v>
      </c>
      <c r="Z103">
        <v>0</v>
      </c>
      <c r="AA103">
        <f>IF('Στατιστικά'!$C$6,1,IFERROR(INDEX('Στατιστικά'!$C$10:$C$83,MATCH(G103,'Στατιστικά'!$B$10:$B$83,0))*1,0))</f>
        <v>1</v>
      </c>
    </row>
    <row r="104" spans="1:27">
      <c r="A104" s="2">
        <v>46262</v>
      </c>
      <c r="B104" t="s">
        <v>118</v>
      </c>
      <c r="C104" t="s">
        <v>1</v>
      </c>
      <c r="D104" t="s">
        <v>1</v>
      </c>
      <c r="E104" t="s">
        <v>686</v>
      </c>
      <c r="F104" t="s">
        <v>74</v>
      </c>
      <c r="G104" t="s">
        <v>136</v>
      </c>
      <c r="H104" t="s">
        <v>687</v>
      </c>
      <c r="I104">
        <v>30</v>
      </c>
      <c r="J104">
        <v>8</v>
      </c>
      <c r="K104">
        <v>0</v>
      </c>
      <c r="L104">
        <v>1</v>
      </c>
      <c r="M104" t="s">
        <v>688</v>
      </c>
      <c r="N104" t="s">
        <v>689</v>
      </c>
      <c r="O104" t="s">
        <v>1</v>
      </c>
      <c r="Q104">
        <v>5</v>
      </c>
      <c r="R104" t="s">
        <v>192</v>
      </c>
      <c r="S104" t="s">
        <v>80</v>
      </c>
      <c r="T104" t="s">
        <v>1</v>
      </c>
      <c r="U104" s="3" t="s">
        <v>1</v>
      </c>
      <c r="V104" s="3" t="s">
        <v>690</v>
      </c>
      <c r="W104" s="3" t="s">
        <v>691</v>
      </c>
      <c r="X104" t="s">
        <v>372</v>
      </c>
      <c r="Y104">
        <v>8</v>
      </c>
      <c r="Z104">
        <v>0</v>
      </c>
      <c r="AA104">
        <f>IF('Στατιστικά'!$C$6,1,IFERROR(INDEX('Στατιστικά'!$C$10:$C$83,MATCH(G104,'Στατιστικά'!$B$10:$B$83,0))*1,0))</f>
        <v>1</v>
      </c>
    </row>
    <row r="105" spans="1:27">
      <c r="A105" s="2">
        <v>46262</v>
      </c>
      <c r="B105" t="s">
        <v>118</v>
      </c>
      <c r="C105" t="s">
        <v>1</v>
      </c>
      <c r="D105" t="s">
        <v>1</v>
      </c>
      <c r="E105" t="s">
        <v>692</v>
      </c>
      <c r="F105" t="s">
        <v>141</v>
      </c>
      <c r="G105" t="s">
        <v>205</v>
      </c>
      <c r="H105" t="s">
        <v>693</v>
      </c>
      <c r="I105">
        <v>40</v>
      </c>
      <c r="J105">
        <v>12</v>
      </c>
      <c r="K105">
        <v>3</v>
      </c>
      <c r="L105">
        <v>0</v>
      </c>
      <c r="M105" t="s">
        <v>694</v>
      </c>
      <c r="N105" t="s">
        <v>695</v>
      </c>
      <c r="O105" t="s">
        <v>1</v>
      </c>
      <c r="Q105">
        <v>3</v>
      </c>
      <c r="R105" t="s">
        <v>79</v>
      </c>
      <c r="S105" t="s">
        <v>80</v>
      </c>
      <c r="T105" t="s">
        <v>1</v>
      </c>
      <c r="U105" s="3" t="s">
        <v>696</v>
      </c>
      <c r="V105" s="3" t="s">
        <v>697</v>
      </c>
      <c r="W105" s="3" t="s">
        <v>698</v>
      </c>
      <c r="X105" t="s">
        <v>372</v>
      </c>
      <c r="Y105">
        <v>8</v>
      </c>
      <c r="Z105">
        <v>0</v>
      </c>
      <c r="AA105">
        <f>IF('Στατιστικά'!$C$6,1,IFERROR(INDEX('Στατιστικά'!$C$10:$C$83,MATCH(G105,'Στατιστικά'!$B$10:$B$83,0))*1,0))</f>
        <v>1</v>
      </c>
    </row>
    <row r="106" spans="1:27">
      <c r="A106" s="2">
        <v>46262</v>
      </c>
      <c r="B106" t="s">
        <v>118</v>
      </c>
      <c r="C106" t="s">
        <v>699</v>
      </c>
      <c r="D106" t="s">
        <v>1</v>
      </c>
      <c r="E106" t="s">
        <v>700</v>
      </c>
      <c r="F106" t="s">
        <v>217</v>
      </c>
      <c r="G106" t="s">
        <v>205</v>
      </c>
      <c r="H106" t="s">
        <v>237</v>
      </c>
      <c r="I106">
        <v>40</v>
      </c>
      <c r="J106">
        <v>12</v>
      </c>
      <c r="K106">
        <v>3</v>
      </c>
      <c r="L106">
        <v>0</v>
      </c>
      <c r="M106" t="s">
        <v>701</v>
      </c>
      <c r="N106" t="s">
        <v>702</v>
      </c>
      <c r="O106" t="s">
        <v>1</v>
      </c>
      <c r="Q106">
        <v>3</v>
      </c>
      <c r="R106" t="s">
        <v>79</v>
      </c>
      <c r="S106" t="s">
        <v>80</v>
      </c>
      <c r="T106" t="s">
        <v>703</v>
      </c>
      <c r="U106" s="3" t="s">
        <v>704</v>
      </c>
      <c r="V106" s="3" t="s">
        <v>705</v>
      </c>
      <c r="W106" s="3" t="s">
        <v>4528</v>
      </c>
      <c r="X106" t="s">
        <v>372</v>
      </c>
      <c r="Y106">
        <v>8</v>
      </c>
      <c r="Z106">
        <v>0</v>
      </c>
      <c r="AA106">
        <f>IF('Στατιστικά'!$C$6,1,IFERROR(INDEX('Στατιστικά'!$C$10:$C$83,MATCH(G106,'Στατιστικά'!$B$10:$B$83,0))*1,0))</f>
        <v>1</v>
      </c>
    </row>
    <row r="107" spans="1:27">
      <c r="A107" s="2">
        <v>46261</v>
      </c>
      <c r="B107" t="s">
        <v>243</v>
      </c>
      <c r="C107" t="s">
        <v>1</v>
      </c>
      <c r="D107" t="s">
        <v>1</v>
      </c>
      <c r="E107" t="s">
        <v>662</v>
      </c>
      <c r="F107" t="s">
        <v>160</v>
      </c>
      <c r="G107" t="s">
        <v>198</v>
      </c>
      <c r="H107" t="s">
        <v>707</v>
      </c>
      <c r="I107">
        <v>20</v>
      </c>
      <c r="J107">
        <v>7</v>
      </c>
      <c r="L107">
        <v>1</v>
      </c>
      <c r="M107" t="s">
        <v>708</v>
      </c>
      <c r="N107" t="s">
        <v>665</v>
      </c>
      <c r="O107" t="s">
        <v>1</v>
      </c>
      <c r="P107" t="s">
        <v>4673</v>
      </c>
      <c r="Q107">
        <v>3</v>
      </c>
      <c r="R107" t="s">
        <v>79</v>
      </c>
      <c r="S107" t="s">
        <v>80</v>
      </c>
      <c r="T107" t="s">
        <v>98</v>
      </c>
      <c r="U107" s="3" t="s">
        <v>1</v>
      </c>
      <c r="V107" s="3" t="s">
        <v>709</v>
      </c>
      <c r="W107" s="3" t="s">
        <v>4674</v>
      </c>
      <c r="X107" t="s">
        <v>409</v>
      </c>
      <c r="Y107">
        <v>8</v>
      </c>
      <c r="Z107">
        <v>0</v>
      </c>
      <c r="AA107">
        <f>IF('Στατιστικά'!$C$6,1,IFERROR(INDEX('Στατιστικά'!$C$10:$C$83,MATCH(G107,'Στατιστικά'!$B$10:$B$83,0))*1,0))</f>
        <v>1</v>
      </c>
    </row>
    <row r="108" spans="1:27">
      <c r="A108" s="2">
        <v>46261</v>
      </c>
      <c r="B108" t="s">
        <v>711</v>
      </c>
      <c r="C108" t="s">
        <v>1</v>
      </c>
      <c r="D108" t="s">
        <v>1</v>
      </c>
      <c r="E108" t="s">
        <v>712</v>
      </c>
      <c r="F108" t="s">
        <v>44</v>
      </c>
      <c r="G108" t="s">
        <v>94</v>
      </c>
      <c r="H108" t="s">
        <v>713</v>
      </c>
      <c r="I108">
        <v>24</v>
      </c>
      <c r="J108">
        <v>7</v>
      </c>
      <c r="K108">
        <v>2</v>
      </c>
      <c r="L108">
        <v>0</v>
      </c>
      <c r="M108" t="s">
        <v>714</v>
      </c>
      <c r="N108" t="s">
        <v>715</v>
      </c>
      <c r="O108" t="s">
        <v>1</v>
      </c>
      <c r="P108" t="s">
        <v>4675</v>
      </c>
      <c r="Q108">
        <v>4</v>
      </c>
      <c r="R108" t="s">
        <v>137</v>
      </c>
      <c r="S108" t="s">
        <v>80</v>
      </c>
      <c r="T108" t="s">
        <v>716</v>
      </c>
      <c r="U108" s="3" t="s">
        <v>1</v>
      </c>
      <c r="V108" s="3" t="s">
        <v>717</v>
      </c>
      <c r="W108" s="3" t="s">
        <v>4676</v>
      </c>
      <c r="X108" t="s">
        <v>719</v>
      </c>
      <c r="Y108">
        <v>8</v>
      </c>
      <c r="Z108">
        <v>0</v>
      </c>
      <c r="AA108">
        <f>IF('Στατιστικά'!$C$6,1,IFERROR(INDEX('Στατιστικά'!$C$10:$C$83,MATCH(G108,'Στατιστικά'!$B$10:$B$83,0))*1,0))</f>
        <v>1</v>
      </c>
    </row>
    <row r="109" spans="1:27">
      <c r="A109" s="2">
        <v>46261</v>
      </c>
      <c r="B109" t="s">
        <v>0</v>
      </c>
      <c r="C109" t="s">
        <v>1</v>
      </c>
      <c r="D109" t="s">
        <v>1</v>
      </c>
      <c r="E109" t="s">
        <v>720</v>
      </c>
      <c r="F109" t="s">
        <v>488</v>
      </c>
      <c r="G109" t="s">
        <v>657</v>
      </c>
      <c r="H109" t="s">
        <v>1</v>
      </c>
      <c r="I109">
        <v>21</v>
      </c>
      <c r="J109">
        <v>6</v>
      </c>
      <c r="L109">
        <v>1</v>
      </c>
      <c r="M109" t="s">
        <v>664</v>
      </c>
      <c r="N109" t="s">
        <v>1</v>
      </c>
      <c r="O109" t="s">
        <v>1</v>
      </c>
      <c r="P109" t="s">
        <v>4677</v>
      </c>
      <c r="Q109">
        <v>3</v>
      </c>
      <c r="R109" t="s">
        <v>79</v>
      </c>
      <c r="S109" t="s">
        <v>107</v>
      </c>
      <c r="T109" t="s">
        <v>1</v>
      </c>
      <c r="U109" s="3" t="s">
        <v>1</v>
      </c>
      <c r="V109" s="3" t="s">
        <v>721</v>
      </c>
      <c r="W109" s="3" t="s">
        <v>4678</v>
      </c>
      <c r="X109" t="s">
        <v>409</v>
      </c>
      <c r="Y109">
        <v>8</v>
      </c>
      <c r="Z109">
        <v>0</v>
      </c>
      <c r="AA109">
        <f>IF('Στατιστικά'!$C$6,1,IFERROR(INDEX('Στατιστικά'!$C$10:$C$83,MATCH(G109,'Στατιστικά'!$B$10:$B$83,0))*1,0))</f>
        <v>1</v>
      </c>
    </row>
    <row r="110" spans="1:27">
      <c r="A110" s="2">
        <v>46261</v>
      </c>
      <c r="B110" t="s">
        <v>0</v>
      </c>
      <c r="C110" t="s">
        <v>711</v>
      </c>
      <c r="D110" t="s">
        <v>1</v>
      </c>
      <c r="E110" t="s">
        <v>723</v>
      </c>
      <c r="F110" t="s">
        <v>488</v>
      </c>
      <c r="G110" t="s">
        <v>724</v>
      </c>
      <c r="H110" t="s">
        <v>724</v>
      </c>
      <c r="I110">
        <v>21</v>
      </c>
      <c r="J110">
        <v>6</v>
      </c>
      <c r="K110">
        <v>0</v>
      </c>
      <c r="L110">
        <v>1</v>
      </c>
      <c r="M110" t="s">
        <v>725</v>
      </c>
      <c r="N110" t="s">
        <v>296</v>
      </c>
      <c r="O110" t="s">
        <v>1</v>
      </c>
      <c r="P110" t="s">
        <v>4679</v>
      </c>
      <c r="Q110">
        <v>2</v>
      </c>
      <c r="R110" t="s">
        <v>17</v>
      </c>
      <c r="S110" t="s">
        <v>107</v>
      </c>
      <c r="T110" t="s">
        <v>98</v>
      </c>
      <c r="U110" s="3" t="s">
        <v>1</v>
      </c>
      <c r="V110" s="3" t="s">
        <v>726</v>
      </c>
      <c r="W110" s="3" t="s">
        <v>4680</v>
      </c>
      <c r="X110" t="s">
        <v>409</v>
      </c>
      <c r="Y110">
        <v>8</v>
      </c>
      <c r="Z110">
        <v>0</v>
      </c>
      <c r="AA110">
        <f>IF('Στατιστικά'!$C$6,1,IFERROR(INDEX('Στατιστικά'!$C$10:$C$83,MATCH(G110,'Στατιστικά'!$B$10:$B$83,0))*1,0))</f>
        <v>1</v>
      </c>
    </row>
    <row r="111" spans="1:27">
      <c r="A111" s="2">
        <v>46261</v>
      </c>
      <c r="B111" t="s">
        <v>728</v>
      </c>
      <c r="C111" t="s">
        <v>410</v>
      </c>
      <c r="D111" t="s">
        <v>1</v>
      </c>
      <c r="E111" t="s">
        <v>729</v>
      </c>
      <c r="F111" t="s">
        <v>324</v>
      </c>
      <c r="G111" t="s">
        <v>730</v>
      </c>
      <c r="H111" t="s">
        <v>730</v>
      </c>
      <c r="I111">
        <v>40</v>
      </c>
      <c r="J111">
        <v>12</v>
      </c>
      <c r="K111">
        <v>2</v>
      </c>
      <c r="L111">
        <v>3</v>
      </c>
      <c r="M111" t="s">
        <v>731</v>
      </c>
      <c r="N111" t="s">
        <v>732</v>
      </c>
      <c r="O111" t="s">
        <v>106</v>
      </c>
      <c r="P111">
        <v>60</v>
      </c>
      <c r="Q111">
        <v>4</v>
      </c>
      <c r="R111" t="s">
        <v>137</v>
      </c>
      <c r="S111" t="s">
        <v>58</v>
      </c>
      <c r="T111" t="s">
        <v>733</v>
      </c>
      <c r="U111" s="3" t="s">
        <v>734</v>
      </c>
      <c r="V111" s="3" t="s">
        <v>735</v>
      </c>
      <c r="W111" s="3" t="s">
        <v>736</v>
      </c>
      <c r="X111" t="s">
        <v>372</v>
      </c>
      <c r="Y111">
        <v>8</v>
      </c>
      <c r="Z111">
        <v>60</v>
      </c>
      <c r="AA111">
        <f>IF('Στατιστικά'!$C$6,1,IFERROR(INDEX('Στατιστικά'!$C$10:$C$83,MATCH(G111,'Στατιστικά'!$B$10:$B$83,0))*1,0))</f>
        <v>1</v>
      </c>
    </row>
    <row r="112" spans="1:27">
      <c r="A112" s="2">
        <v>46261</v>
      </c>
      <c r="B112" t="s">
        <v>1</v>
      </c>
      <c r="C112" t="s">
        <v>1</v>
      </c>
      <c r="D112" t="s">
        <v>1</v>
      </c>
      <c r="E112" t="s">
        <v>737</v>
      </c>
      <c r="F112" t="s">
        <v>86</v>
      </c>
      <c r="G112" t="s">
        <v>111</v>
      </c>
      <c r="H112" t="s">
        <v>738</v>
      </c>
      <c r="I112">
        <v>25</v>
      </c>
      <c r="J112">
        <v>5</v>
      </c>
      <c r="L112">
        <v>1</v>
      </c>
      <c r="M112" t="s">
        <v>1</v>
      </c>
      <c r="N112" t="s">
        <v>1</v>
      </c>
      <c r="O112" t="s">
        <v>1</v>
      </c>
      <c r="P112" t="s">
        <v>4681</v>
      </c>
      <c r="Q112">
        <v>3</v>
      </c>
      <c r="R112" t="s">
        <v>79</v>
      </c>
      <c r="S112" t="s">
        <v>80</v>
      </c>
      <c r="T112" t="s">
        <v>98</v>
      </c>
      <c r="U112" s="3" t="s">
        <v>1</v>
      </c>
      <c r="V112" s="3" t="s">
        <v>739</v>
      </c>
      <c r="W112" s="3" t="s">
        <v>4682</v>
      </c>
      <c r="X112" t="s">
        <v>409</v>
      </c>
      <c r="Y112">
        <v>8</v>
      </c>
      <c r="Z112">
        <v>0</v>
      </c>
      <c r="AA112">
        <f>IF('Στατιστικά'!$C$6,1,IFERROR(INDEX('Στατιστικά'!$C$10:$C$83,MATCH(G112,'Στατιστικά'!$B$10:$B$83,0))*1,0))</f>
        <v>1</v>
      </c>
    </row>
    <row r="113" spans="1:27">
      <c r="A113" s="2">
        <v>46260</v>
      </c>
      <c r="B113" t="s">
        <v>741</v>
      </c>
      <c r="C113" t="s">
        <v>1</v>
      </c>
      <c r="D113" t="s">
        <v>1</v>
      </c>
      <c r="E113" t="s">
        <v>742</v>
      </c>
      <c r="F113" t="s">
        <v>64</v>
      </c>
      <c r="G113" t="s">
        <v>54</v>
      </c>
      <c r="H113" t="s">
        <v>743</v>
      </c>
      <c r="I113">
        <v>30</v>
      </c>
      <c r="J113">
        <v>4</v>
      </c>
      <c r="L113">
        <v>1</v>
      </c>
      <c r="M113" t="s">
        <v>744</v>
      </c>
      <c r="N113" t="s">
        <v>1</v>
      </c>
      <c r="O113" t="s">
        <v>1</v>
      </c>
      <c r="Q113">
        <v>3</v>
      </c>
      <c r="R113" t="s">
        <v>79</v>
      </c>
      <c r="S113" t="s">
        <v>80</v>
      </c>
      <c r="T113" t="s">
        <v>745</v>
      </c>
      <c r="U113" s="3" t="s">
        <v>1</v>
      </c>
      <c r="V113" s="3" t="s">
        <v>746</v>
      </c>
      <c r="W113" s="3" t="s">
        <v>747</v>
      </c>
      <c r="X113" t="s">
        <v>719</v>
      </c>
      <c r="Y113">
        <v>8</v>
      </c>
      <c r="Z113">
        <v>0</v>
      </c>
      <c r="AA113">
        <f>IF('Στατιστικά'!$C$6,1,IFERROR(INDEX('Στατιστικά'!$C$10:$C$83,MATCH(G113,'Στατιστικά'!$B$10:$B$83,0))*1,0))</f>
        <v>1</v>
      </c>
    </row>
    <row r="114" spans="1:27">
      <c r="A114" s="2">
        <v>46260</v>
      </c>
      <c r="B114" t="s">
        <v>479</v>
      </c>
      <c r="C114" t="s">
        <v>1</v>
      </c>
      <c r="D114" t="s">
        <v>1</v>
      </c>
      <c r="E114" t="s">
        <v>748</v>
      </c>
      <c r="F114" t="s">
        <v>160</v>
      </c>
      <c r="G114" t="s">
        <v>198</v>
      </c>
      <c r="H114" t="s">
        <v>210</v>
      </c>
      <c r="I114">
        <v>10</v>
      </c>
      <c r="J114">
        <v>4</v>
      </c>
      <c r="K114">
        <v>4</v>
      </c>
      <c r="M114" t="s">
        <v>1</v>
      </c>
      <c r="N114" t="s">
        <v>296</v>
      </c>
      <c r="O114" t="s">
        <v>1</v>
      </c>
      <c r="P114" t="s">
        <v>4683</v>
      </c>
      <c r="Q114">
        <v>3</v>
      </c>
      <c r="R114" t="s">
        <v>79</v>
      </c>
      <c r="S114" t="s">
        <v>107</v>
      </c>
      <c r="T114" t="s">
        <v>749</v>
      </c>
      <c r="U114" s="3" t="s">
        <v>1</v>
      </c>
      <c r="V114" s="3" t="s">
        <v>750</v>
      </c>
      <c r="W114" s="3" t="s">
        <v>4684</v>
      </c>
      <c r="X114" t="s">
        <v>409</v>
      </c>
      <c r="Y114">
        <v>8</v>
      </c>
      <c r="Z114">
        <v>0</v>
      </c>
      <c r="AA114">
        <f>IF('Στατιστικά'!$C$6,1,IFERROR(INDEX('Στατιστικά'!$C$10:$C$83,MATCH(G114,'Στατιστικά'!$B$10:$B$83,0))*1,0))</f>
        <v>1</v>
      </c>
    </row>
    <row r="115" spans="1:27">
      <c r="A115" s="2">
        <v>46260</v>
      </c>
      <c r="B115" t="s">
        <v>591</v>
      </c>
      <c r="C115" t="s">
        <v>1</v>
      </c>
      <c r="D115" t="s">
        <v>1</v>
      </c>
      <c r="E115" t="s">
        <v>752</v>
      </c>
      <c r="F115" t="s">
        <v>64</v>
      </c>
      <c r="G115" t="s">
        <v>753</v>
      </c>
      <c r="H115" t="s">
        <v>753</v>
      </c>
      <c r="I115">
        <v>36</v>
      </c>
      <c r="J115">
        <v>9</v>
      </c>
      <c r="K115">
        <v>3</v>
      </c>
      <c r="L115">
        <v>0</v>
      </c>
      <c r="M115" t="s">
        <v>754</v>
      </c>
      <c r="N115" t="s">
        <v>1</v>
      </c>
      <c r="O115" t="s">
        <v>1</v>
      </c>
      <c r="Q115">
        <v>2</v>
      </c>
      <c r="R115" t="s">
        <v>17</v>
      </c>
      <c r="S115" t="s">
        <v>80</v>
      </c>
      <c r="T115" t="s">
        <v>98</v>
      </c>
      <c r="U115" s="3" t="s">
        <v>1</v>
      </c>
      <c r="V115" s="3" t="s">
        <v>755</v>
      </c>
      <c r="W115" s="3" t="s">
        <v>756</v>
      </c>
      <c r="X115" t="s">
        <v>409</v>
      </c>
      <c r="Y115">
        <v>8</v>
      </c>
      <c r="Z115">
        <v>0</v>
      </c>
      <c r="AA115">
        <f>IF('Στατιστικά'!$C$6,1,IFERROR(INDEX('Στατιστικά'!$C$10:$C$83,MATCH(G115,'Στατιστικά'!$B$10:$B$83,0))*1,0))</f>
        <v>1</v>
      </c>
    </row>
    <row r="116" spans="1:27">
      <c r="A116" s="2">
        <v>46260</v>
      </c>
      <c r="B116" t="s">
        <v>757</v>
      </c>
      <c r="C116" t="s">
        <v>1</v>
      </c>
      <c r="D116" t="s">
        <v>1</v>
      </c>
      <c r="E116" t="s">
        <v>758</v>
      </c>
      <c r="F116" t="s">
        <v>64</v>
      </c>
      <c r="G116" t="s">
        <v>65</v>
      </c>
      <c r="H116" t="s">
        <v>66</v>
      </c>
      <c r="I116">
        <v>34</v>
      </c>
      <c r="J116">
        <v>9</v>
      </c>
      <c r="K116">
        <v>0</v>
      </c>
      <c r="L116">
        <v>1</v>
      </c>
      <c r="M116" t="s">
        <v>56</v>
      </c>
      <c r="N116" t="s">
        <v>1</v>
      </c>
      <c r="O116" t="s">
        <v>1</v>
      </c>
      <c r="Q116">
        <v>3</v>
      </c>
      <c r="R116" t="s">
        <v>79</v>
      </c>
      <c r="S116" t="s">
        <v>8</v>
      </c>
      <c r="T116" t="s">
        <v>1</v>
      </c>
      <c r="U116" s="3" t="s">
        <v>1</v>
      </c>
      <c r="V116" s="3" t="s">
        <v>759</v>
      </c>
      <c r="W116" s="3" t="s">
        <v>760</v>
      </c>
      <c r="X116" t="s">
        <v>761</v>
      </c>
      <c r="Y116">
        <v>8</v>
      </c>
      <c r="Z116">
        <v>0</v>
      </c>
      <c r="AA116">
        <f>IF('Στατιστικά'!$C$6,1,IFERROR(INDEX('Στατιστικά'!$C$10:$C$83,MATCH(G116,'Στατιστικά'!$B$10:$B$83,0))*1,0))</f>
        <v>1</v>
      </c>
    </row>
    <row r="117" spans="1:27">
      <c r="A117" s="2">
        <v>46260</v>
      </c>
      <c r="B117" t="s">
        <v>762</v>
      </c>
      <c r="C117" t="s">
        <v>1</v>
      </c>
      <c r="D117" t="s">
        <v>1</v>
      </c>
      <c r="E117" t="s">
        <v>763</v>
      </c>
      <c r="F117" t="s">
        <v>3</v>
      </c>
      <c r="G117" t="s">
        <v>445</v>
      </c>
      <c r="H117" t="s">
        <v>445</v>
      </c>
      <c r="I117">
        <v>25</v>
      </c>
      <c r="J117">
        <v>8</v>
      </c>
      <c r="K117">
        <v>3</v>
      </c>
      <c r="L117">
        <v>1</v>
      </c>
      <c r="M117" t="s">
        <v>764</v>
      </c>
      <c r="N117" t="s">
        <v>296</v>
      </c>
      <c r="O117" t="s">
        <v>1</v>
      </c>
      <c r="P117" t="s">
        <v>4685</v>
      </c>
      <c r="Q117">
        <v>3</v>
      </c>
      <c r="R117" t="s">
        <v>79</v>
      </c>
      <c r="S117" t="s">
        <v>80</v>
      </c>
      <c r="T117" t="s">
        <v>1</v>
      </c>
      <c r="U117" s="3" t="s">
        <v>765</v>
      </c>
      <c r="V117" s="3" t="s">
        <v>766</v>
      </c>
      <c r="W117" s="3" t="s">
        <v>4686</v>
      </c>
      <c r="X117" t="s">
        <v>719</v>
      </c>
      <c r="Y117">
        <v>8</v>
      </c>
      <c r="Z117">
        <v>0</v>
      </c>
      <c r="AA117">
        <f>IF('Στατιστικά'!$C$6,1,IFERROR(INDEX('Στατιστικά'!$C$10:$C$83,MATCH(G117,'Στατιστικά'!$B$10:$B$83,0))*1,0))</f>
        <v>1</v>
      </c>
    </row>
    <row r="118" spans="1:27">
      <c r="A118" s="2">
        <v>46260</v>
      </c>
      <c r="B118" t="s">
        <v>762</v>
      </c>
      <c r="C118" t="s">
        <v>1</v>
      </c>
      <c r="D118" t="s">
        <v>1</v>
      </c>
      <c r="E118" t="s">
        <v>768</v>
      </c>
      <c r="F118" t="s">
        <v>3</v>
      </c>
      <c r="G118" t="s">
        <v>769</v>
      </c>
      <c r="H118" t="s">
        <v>770</v>
      </c>
      <c r="I118">
        <v>25</v>
      </c>
      <c r="J118">
        <v>8</v>
      </c>
      <c r="K118">
        <v>3</v>
      </c>
      <c r="L118">
        <v>1</v>
      </c>
      <c r="M118" t="s">
        <v>34</v>
      </c>
      <c r="N118" t="s">
        <v>1</v>
      </c>
      <c r="O118" t="s">
        <v>1</v>
      </c>
      <c r="Q118">
        <v>3</v>
      </c>
      <c r="R118" t="s">
        <v>79</v>
      </c>
      <c r="S118" t="s">
        <v>58</v>
      </c>
      <c r="T118" t="s">
        <v>1</v>
      </c>
      <c r="U118" s="3" t="s">
        <v>771</v>
      </c>
      <c r="V118" s="3" t="s">
        <v>772</v>
      </c>
      <c r="W118" s="3" t="s">
        <v>4529</v>
      </c>
      <c r="X118" t="s">
        <v>761</v>
      </c>
      <c r="Y118">
        <v>8</v>
      </c>
      <c r="Z118">
        <v>0</v>
      </c>
      <c r="AA118">
        <f>IF('Στατιστικά'!$C$6,1,IFERROR(INDEX('Στατιστικά'!$C$10:$C$83,MATCH(G118,'Στατιστικά'!$B$10:$B$83,0))*1,0))</f>
        <v>1</v>
      </c>
    </row>
    <row r="119" spans="1:27">
      <c r="A119" s="2">
        <v>46260</v>
      </c>
      <c r="B119" t="s">
        <v>762</v>
      </c>
      <c r="C119" t="s">
        <v>1</v>
      </c>
      <c r="D119" t="s">
        <v>1</v>
      </c>
      <c r="E119" t="s">
        <v>774</v>
      </c>
      <c r="F119" t="s">
        <v>3</v>
      </c>
      <c r="G119" t="s">
        <v>445</v>
      </c>
      <c r="H119" t="s">
        <v>445</v>
      </c>
      <c r="I119">
        <v>25</v>
      </c>
      <c r="J119">
        <v>8</v>
      </c>
      <c r="K119">
        <v>3</v>
      </c>
      <c r="L119">
        <v>1</v>
      </c>
      <c r="M119" t="s">
        <v>34</v>
      </c>
      <c r="N119" t="s">
        <v>775</v>
      </c>
      <c r="O119" t="s">
        <v>1</v>
      </c>
      <c r="Q119">
        <v>3</v>
      </c>
      <c r="R119" t="s">
        <v>79</v>
      </c>
      <c r="S119" t="s">
        <v>80</v>
      </c>
      <c r="T119" t="s">
        <v>776</v>
      </c>
      <c r="U119" s="3" t="s">
        <v>777</v>
      </c>
      <c r="V119" s="3" t="s">
        <v>778</v>
      </c>
      <c r="W119" s="3" t="s">
        <v>4530</v>
      </c>
      <c r="X119" t="s">
        <v>719</v>
      </c>
      <c r="Y119">
        <v>8</v>
      </c>
      <c r="Z119">
        <v>0</v>
      </c>
      <c r="AA119">
        <f>IF('Στατιστικά'!$C$6,1,IFERROR(INDEX('Στατιστικά'!$C$10:$C$83,MATCH(G119,'Στατιστικά'!$B$10:$B$83,0))*1,0))</f>
        <v>1</v>
      </c>
    </row>
    <row r="120" spans="1:27">
      <c r="A120" s="2">
        <v>46260</v>
      </c>
      <c r="B120" t="s">
        <v>72</v>
      </c>
      <c r="C120" t="s">
        <v>1</v>
      </c>
      <c r="D120" t="s">
        <v>1</v>
      </c>
      <c r="E120" t="s">
        <v>780</v>
      </c>
      <c r="F120" t="s">
        <v>488</v>
      </c>
      <c r="G120" t="s">
        <v>724</v>
      </c>
      <c r="H120" t="s">
        <v>781</v>
      </c>
      <c r="I120">
        <v>50</v>
      </c>
      <c r="J120">
        <v>16</v>
      </c>
      <c r="K120">
        <v>4</v>
      </c>
      <c r="L120">
        <v>3</v>
      </c>
      <c r="M120" t="s">
        <v>782</v>
      </c>
      <c r="N120" t="s">
        <v>783</v>
      </c>
      <c r="O120" t="s">
        <v>1</v>
      </c>
      <c r="Q120">
        <v>3</v>
      </c>
      <c r="R120" t="s">
        <v>79</v>
      </c>
      <c r="S120" t="s">
        <v>107</v>
      </c>
      <c r="T120" t="s">
        <v>784</v>
      </c>
      <c r="U120" s="3" t="s">
        <v>1</v>
      </c>
      <c r="V120" s="3" t="s">
        <v>785</v>
      </c>
      <c r="W120" s="3" t="s">
        <v>786</v>
      </c>
      <c r="X120" t="s">
        <v>409</v>
      </c>
      <c r="Y120">
        <v>8</v>
      </c>
      <c r="Z120">
        <v>0</v>
      </c>
      <c r="AA120">
        <f>IF('Στατιστικά'!$C$6,1,IFERROR(INDEX('Στατιστικά'!$C$10:$C$83,MATCH(G120,'Στατιστικά'!$B$10:$B$83,0))*1,0))</f>
        <v>1</v>
      </c>
    </row>
    <row r="121" spans="1:27">
      <c r="A121" s="2">
        <v>46260</v>
      </c>
      <c r="B121" t="s">
        <v>1</v>
      </c>
      <c r="C121" t="s">
        <v>1</v>
      </c>
      <c r="D121" t="s">
        <v>1</v>
      </c>
      <c r="E121" t="s">
        <v>787</v>
      </c>
      <c r="F121" t="s">
        <v>450</v>
      </c>
      <c r="G121" t="s">
        <v>465</v>
      </c>
      <c r="H121" t="s">
        <v>788</v>
      </c>
      <c r="I121">
        <v>16</v>
      </c>
      <c r="J121">
        <v>4</v>
      </c>
      <c r="K121">
        <v>2</v>
      </c>
      <c r="L121">
        <v>0</v>
      </c>
      <c r="M121" t="s">
        <v>452</v>
      </c>
      <c r="N121" t="s">
        <v>419</v>
      </c>
      <c r="O121" t="s">
        <v>1</v>
      </c>
      <c r="P121" t="s">
        <v>4687</v>
      </c>
      <c r="Q121">
        <v>3</v>
      </c>
      <c r="R121" t="s">
        <v>79</v>
      </c>
      <c r="S121" t="s">
        <v>58</v>
      </c>
      <c r="T121" t="s">
        <v>1</v>
      </c>
      <c r="U121" s="3" t="s">
        <v>1</v>
      </c>
      <c r="V121" s="3" t="s">
        <v>789</v>
      </c>
      <c r="W121" s="3" t="s">
        <v>4688</v>
      </c>
      <c r="X121" t="s">
        <v>791</v>
      </c>
      <c r="Y121">
        <v>8</v>
      </c>
      <c r="Z121">
        <v>0</v>
      </c>
      <c r="AA121">
        <f>IF('Στατιστικά'!$C$6,1,IFERROR(INDEX('Στατιστικά'!$C$10:$C$83,MATCH(G121,'Στατιστικά'!$B$10:$B$83,0))*1,0))</f>
        <v>1</v>
      </c>
    </row>
    <row r="122" spans="1:27">
      <c r="A122" s="2">
        <v>46260</v>
      </c>
      <c r="B122" t="s">
        <v>1</v>
      </c>
      <c r="C122" t="s">
        <v>1</v>
      </c>
      <c r="D122" t="s">
        <v>1</v>
      </c>
      <c r="E122" t="s">
        <v>792</v>
      </c>
      <c r="F122" t="s">
        <v>3</v>
      </c>
      <c r="G122" t="s">
        <v>769</v>
      </c>
      <c r="H122" t="s">
        <v>1</v>
      </c>
      <c r="I122">
        <v>25</v>
      </c>
      <c r="J122">
        <v>8</v>
      </c>
      <c r="K122">
        <v>3</v>
      </c>
      <c r="L122">
        <v>1</v>
      </c>
      <c r="M122" t="s">
        <v>793</v>
      </c>
      <c r="N122" t="s">
        <v>1</v>
      </c>
      <c r="O122" t="s">
        <v>1</v>
      </c>
      <c r="P122" t="s">
        <v>4689</v>
      </c>
      <c r="Q122">
        <v>3</v>
      </c>
      <c r="R122" t="s">
        <v>79</v>
      </c>
      <c r="S122" t="s">
        <v>80</v>
      </c>
      <c r="T122" t="s">
        <v>1</v>
      </c>
      <c r="U122" s="3" t="s">
        <v>794</v>
      </c>
      <c r="V122" s="3" t="s">
        <v>795</v>
      </c>
      <c r="W122" s="3" t="s">
        <v>4690</v>
      </c>
      <c r="X122" t="s">
        <v>567</v>
      </c>
      <c r="Y122">
        <v>8</v>
      </c>
      <c r="Z122">
        <v>0</v>
      </c>
      <c r="AA122">
        <f>IF('Στατιστικά'!$C$6,1,IFERROR(INDEX('Στατιστικά'!$C$10:$C$83,MATCH(G122,'Στατιστικά'!$B$10:$B$83,0))*1,0))</f>
        <v>1</v>
      </c>
    </row>
    <row r="123" spans="1:27">
      <c r="A123" s="2">
        <v>46260</v>
      </c>
      <c r="B123" t="s">
        <v>1</v>
      </c>
      <c r="C123" t="s">
        <v>1</v>
      </c>
      <c r="D123" t="s">
        <v>1</v>
      </c>
      <c r="E123" t="s">
        <v>797</v>
      </c>
      <c r="F123" t="s">
        <v>3</v>
      </c>
      <c r="G123" t="s">
        <v>4</v>
      </c>
      <c r="H123" t="s">
        <v>798</v>
      </c>
      <c r="I123">
        <v>7</v>
      </c>
      <c r="K123">
        <v>0</v>
      </c>
      <c r="L123">
        <v>2</v>
      </c>
      <c r="M123" t="s">
        <v>799</v>
      </c>
      <c r="N123" t="s">
        <v>800</v>
      </c>
      <c r="O123" t="s">
        <v>1</v>
      </c>
      <c r="P123" t="s">
        <v>4691</v>
      </c>
      <c r="Q123">
        <v>3</v>
      </c>
      <c r="R123" t="s">
        <v>79</v>
      </c>
      <c r="S123" t="s">
        <v>8</v>
      </c>
      <c r="T123" t="s">
        <v>801</v>
      </c>
      <c r="U123" s="3" t="s">
        <v>1</v>
      </c>
      <c r="V123" s="3" t="s">
        <v>802</v>
      </c>
      <c r="W123" s="3" t="s">
        <v>4692</v>
      </c>
      <c r="X123" t="s">
        <v>409</v>
      </c>
      <c r="Y123">
        <v>8</v>
      </c>
      <c r="Z123">
        <v>0</v>
      </c>
      <c r="AA123">
        <f>IF('Στατιστικά'!$C$6,1,IFERROR(INDEX('Στατιστικά'!$C$10:$C$83,MATCH(G123,'Στατιστικά'!$B$10:$B$83,0))*1,0))</f>
        <v>1</v>
      </c>
    </row>
    <row r="124" spans="1:27">
      <c r="A124" s="2">
        <v>46259</v>
      </c>
      <c r="B124" t="s">
        <v>804</v>
      </c>
      <c r="C124" t="s">
        <v>1</v>
      </c>
      <c r="D124" t="s">
        <v>1</v>
      </c>
      <c r="E124" t="s">
        <v>805</v>
      </c>
      <c r="F124" t="s">
        <v>806</v>
      </c>
      <c r="G124" t="s">
        <v>136</v>
      </c>
      <c r="H124" t="s">
        <v>687</v>
      </c>
      <c r="I124">
        <v>25</v>
      </c>
      <c r="J124">
        <v>8</v>
      </c>
      <c r="K124">
        <v>0</v>
      </c>
      <c r="L124">
        <v>4</v>
      </c>
      <c r="M124" t="s">
        <v>807</v>
      </c>
      <c r="N124" t="s">
        <v>419</v>
      </c>
      <c r="O124" t="s">
        <v>1</v>
      </c>
      <c r="P124" t="s">
        <v>4693</v>
      </c>
      <c r="Q124">
        <v>3</v>
      </c>
      <c r="R124" t="s">
        <v>79</v>
      </c>
      <c r="S124" t="s">
        <v>80</v>
      </c>
      <c r="T124" t="s">
        <v>1</v>
      </c>
      <c r="U124" s="3" t="s">
        <v>808</v>
      </c>
      <c r="V124" s="3" t="s">
        <v>809</v>
      </c>
      <c r="W124" s="3" t="s">
        <v>4694</v>
      </c>
      <c r="X124" t="s">
        <v>761</v>
      </c>
      <c r="Y124">
        <v>8</v>
      </c>
      <c r="Z124">
        <v>0</v>
      </c>
      <c r="AA124">
        <f>IF('Στατιστικά'!$C$6,1,IFERROR(INDEX('Στατιστικά'!$C$10:$C$83,MATCH(G124,'Στατιστικά'!$B$10:$B$83,0))*1,0))</f>
        <v>1</v>
      </c>
    </row>
    <row r="125" spans="1:27">
      <c r="A125" s="2">
        <v>46259</v>
      </c>
      <c r="B125" t="s">
        <v>811</v>
      </c>
      <c r="C125" t="s">
        <v>1</v>
      </c>
      <c r="D125" t="s">
        <v>1</v>
      </c>
      <c r="E125" t="s">
        <v>812</v>
      </c>
      <c r="F125" t="s">
        <v>450</v>
      </c>
      <c r="G125" t="s">
        <v>45</v>
      </c>
      <c r="H125" t="s">
        <v>813</v>
      </c>
      <c r="I125">
        <v>92</v>
      </c>
      <c r="J125">
        <v>25</v>
      </c>
      <c r="K125">
        <v>14</v>
      </c>
      <c r="L125">
        <v>4</v>
      </c>
      <c r="M125" t="s">
        <v>814</v>
      </c>
      <c r="N125" t="s">
        <v>815</v>
      </c>
      <c r="O125" t="s">
        <v>1</v>
      </c>
      <c r="Q125">
        <v>3</v>
      </c>
      <c r="R125" t="s">
        <v>79</v>
      </c>
      <c r="S125" t="s">
        <v>107</v>
      </c>
      <c r="T125" t="s">
        <v>1</v>
      </c>
      <c r="U125" s="3" t="s">
        <v>816</v>
      </c>
      <c r="V125" s="3" t="s">
        <v>817</v>
      </c>
      <c r="W125" s="3" t="s">
        <v>818</v>
      </c>
      <c r="X125" t="s">
        <v>719</v>
      </c>
      <c r="Y125">
        <v>8</v>
      </c>
      <c r="Z125">
        <v>0</v>
      </c>
      <c r="AA125">
        <f>IF('Στατιστικά'!$C$6,1,IFERROR(INDEX('Στατιστικά'!$C$10:$C$83,MATCH(G125,'Στατιστικά'!$B$10:$B$83,0))*1,0))</f>
        <v>1</v>
      </c>
    </row>
    <row r="126" spans="1:27">
      <c r="A126" s="2">
        <v>46259</v>
      </c>
      <c r="B126" t="s">
        <v>762</v>
      </c>
      <c r="C126" t="s">
        <v>1</v>
      </c>
      <c r="D126" t="s">
        <v>1</v>
      </c>
      <c r="E126" t="s">
        <v>819</v>
      </c>
      <c r="F126" t="s">
        <v>74</v>
      </c>
      <c r="G126" t="s">
        <v>136</v>
      </c>
      <c r="H126" t="s">
        <v>687</v>
      </c>
      <c r="I126">
        <v>75</v>
      </c>
      <c r="J126">
        <v>22</v>
      </c>
      <c r="K126">
        <v>0</v>
      </c>
      <c r="L126">
        <v>4</v>
      </c>
      <c r="M126" t="s">
        <v>820</v>
      </c>
      <c r="N126" t="s">
        <v>821</v>
      </c>
      <c r="O126" t="s">
        <v>1</v>
      </c>
      <c r="Q126">
        <v>3</v>
      </c>
      <c r="R126" t="s">
        <v>79</v>
      </c>
      <c r="S126" t="s">
        <v>80</v>
      </c>
      <c r="T126" t="s">
        <v>1</v>
      </c>
      <c r="U126" s="3" t="s">
        <v>822</v>
      </c>
      <c r="V126" s="3" t="s">
        <v>823</v>
      </c>
      <c r="W126" s="3" t="s">
        <v>824</v>
      </c>
      <c r="X126" t="s">
        <v>791</v>
      </c>
      <c r="Y126">
        <v>8</v>
      </c>
      <c r="Z126">
        <v>0</v>
      </c>
      <c r="AA126">
        <f>IF('Στατιστικά'!$C$6,1,IFERROR(INDEX('Στατιστικά'!$C$10:$C$83,MATCH(G126,'Στατιστικά'!$B$10:$B$83,0))*1,0))</f>
        <v>1</v>
      </c>
    </row>
    <row r="127" spans="1:27">
      <c r="A127" s="2">
        <v>46259</v>
      </c>
      <c r="B127" t="s">
        <v>762</v>
      </c>
      <c r="C127" t="s">
        <v>825</v>
      </c>
      <c r="D127" t="s">
        <v>1</v>
      </c>
      <c r="E127" t="s">
        <v>826</v>
      </c>
      <c r="F127" t="s">
        <v>38</v>
      </c>
      <c r="G127" t="s">
        <v>15</v>
      </c>
      <c r="H127" t="s">
        <v>827</v>
      </c>
      <c r="I127">
        <v>80</v>
      </c>
      <c r="J127">
        <v>25</v>
      </c>
      <c r="K127">
        <v>3</v>
      </c>
      <c r="L127">
        <v>3</v>
      </c>
      <c r="M127" t="s">
        <v>828</v>
      </c>
      <c r="N127" t="s">
        <v>1</v>
      </c>
      <c r="O127" t="s">
        <v>239</v>
      </c>
      <c r="Q127">
        <v>3</v>
      </c>
      <c r="R127" t="s">
        <v>79</v>
      </c>
      <c r="S127" t="s">
        <v>80</v>
      </c>
      <c r="T127" t="s">
        <v>829</v>
      </c>
      <c r="U127" s="3" t="s">
        <v>830</v>
      </c>
      <c r="V127" s="3" t="s">
        <v>831</v>
      </c>
      <c r="W127" s="3" t="s">
        <v>832</v>
      </c>
      <c r="X127" t="s">
        <v>761</v>
      </c>
      <c r="Y127">
        <v>8</v>
      </c>
      <c r="Z127">
        <v>0</v>
      </c>
      <c r="AA127">
        <f>IF('Στατιστικά'!$C$6,1,IFERROR(INDEX('Στατιστικά'!$C$10:$C$83,MATCH(G127,'Στατιστικά'!$B$10:$B$83,0))*1,0))</f>
        <v>1</v>
      </c>
    </row>
    <row r="128" spans="1:27">
      <c r="A128" s="2">
        <v>46259</v>
      </c>
      <c r="B128" t="s">
        <v>762</v>
      </c>
      <c r="C128" t="s">
        <v>825</v>
      </c>
      <c r="D128" t="s">
        <v>1</v>
      </c>
      <c r="E128" t="s">
        <v>833</v>
      </c>
      <c r="F128" t="s">
        <v>38</v>
      </c>
      <c r="G128" t="s">
        <v>15</v>
      </c>
      <c r="H128" t="s">
        <v>827</v>
      </c>
      <c r="I128">
        <v>80</v>
      </c>
      <c r="J128">
        <v>25</v>
      </c>
      <c r="K128">
        <v>3</v>
      </c>
      <c r="L128">
        <v>3</v>
      </c>
      <c r="M128" t="s">
        <v>828</v>
      </c>
      <c r="N128" t="s">
        <v>834</v>
      </c>
      <c r="O128" t="s">
        <v>106</v>
      </c>
      <c r="Q128">
        <v>3</v>
      </c>
      <c r="R128" t="s">
        <v>79</v>
      </c>
      <c r="S128" t="s">
        <v>80</v>
      </c>
      <c r="T128" t="s">
        <v>835</v>
      </c>
      <c r="U128" s="3" t="s">
        <v>836</v>
      </c>
      <c r="V128" s="3" t="s">
        <v>837</v>
      </c>
      <c r="W128" s="3" t="s">
        <v>4531</v>
      </c>
      <c r="X128" t="s">
        <v>719</v>
      </c>
      <c r="Y128">
        <v>8</v>
      </c>
      <c r="Z128">
        <v>0</v>
      </c>
      <c r="AA128">
        <f>IF('Στατιστικά'!$C$6,1,IFERROR(INDEX('Στατιστικά'!$C$10:$C$83,MATCH(G128,'Στατιστικά'!$B$10:$B$83,0))*1,0))</f>
        <v>1</v>
      </c>
    </row>
    <row r="129" spans="1:27">
      <c r="A129" s="2">
        <v>46259</v>
      </c>
      <c r="B129" t="s">
        <v>762</v>
      </c>
      <c r="C129" t="s">
        <v>1</v>
      </c>
      <c r="D129" t="s">
        <v>1</v>
      </c>
      <c r="E129" t="s">
        <v>839</v>
      </c>
      <c r="F129" t="s">
        <v>15</v>
      </c>
      <c r="G129" t="s">
        <v>15</v>
      </c>
      <c r="H129" t="s">
        <v>840</v>
      </c>
      <c r="I129">
        <v>80</v>
      </c>
      <c r="J129">
        <v>25</v>
      </c>
      <c r="K129">
        <v>3</v>
      </c>
      <c r="L129">
        <v>3</v>
      </c>
      <c r="M129" t="s">
        <v>841</v>
      </c>
      <c r="N129" t="s">
        <v>834</v>
      </c>
      <c r="O129" t="s">
        <v>106</v>
      </c>
      <c r="Q129">
        <v>3</v>
      </c>
      <c r="R129" t="s">
        <v>79</v>
      </c>
      <c r="S129" t="s">
        <v>58</v>
      </c>
      <c r="T129" t="s">
        <v>842</v>
      </c>
      <c r="U129" s="3" t="s">
        <v>843</v>
      </c>
      <c r="V129" s="3" t="s">
        <v>844</v>
      </c>
      <c r="W129" s="3" t="s">
        <v>4532</v>
      </c>
      <c r="X129" t="s">
        <v>719</v>
      </c>
      <c r="Y129">
        <v>8</v>
      </c>
      <c r="Z129">
        <v>0</v>
      </c>
      <c r="AA129">
        <f>IF('Στατιστικά'!$C$6,1,IFERROR(INDEX('Στατιστικά'!$C$10:$C$83,MATCH(G129,'Στατιστικά'!$B$10:$B$83,0))*1,0))</f>
        <v>1</v>
      </c>
    </row>
    <row r="130" spans="1:27">
      <c r="A130" s="2">
        <v>46259</v>
      </c>
      <c r="B130" t="s">
        <v>503</v>
      </c>
      <c r="C130" t="s">
        <v>1</v>
      </c>
      <c r="D130" t="s">
        <v>1</v>
      </c>
      <c r="E130" t="s">
        <v>846</v>
      </c>
      <c r="F130" t="s">
        <v>38</v>
      </c>
      <c r="G130" t="s">
        <v>15</v>
      </c>
      <c r="H130" t="s">
        <v>847</v>
      </c>
      <c r="I130">
        <v>70</v>
      </c>
      <c r="J130">
        <v>23</v>
      </c>
      <c r="K130">
        <v>5</v>
      </c>
      <c r="L130">
        <v>4</v>
      </c>
      <c r="M130" t="s">
        <v>848</v>
      </c>
      <c r="N130" t="s">
        <v>849</v>
      </c>
      <c r="O130" t="s">
        <v>850</v>
      </c>
      <c r="Q130">
        <v>3</v>
      </c>
      <c r="R130" t="s">
        <v>79</v>
      </c>
      <c r="S130" t="s">
        <v>107</v>
      </c>
      <c r="T130" t="s">
        <v>851</v>
      </c>
      <c r="U130" s="3" t="s">
        <v>852</v>
      </c>
      <c r="V130" s="3" t="s">
        <v>853</v>
      </c>
      <c r="W130" s="3" t="s">
        <v>854</v>
      </c>
      <c r="X130" t="s">
        <v>761</v>
      </c>
      <c r="Y130">
        <v>8</v>
      </c>
      <c r="Z130">
        <v>0</v>
      </c>
      <c r="AA130">
        <f>IF('Στατιστικά'!$C$6,1,IFERROR(INDEX('Στατιστικά'!$C$10:$C$83,MATCH(G130,'Στατιστικά'!$B$10:$B$83,0))*1,0))</f>
        <v>1</v>
      </c>
    </row>
    <row r="131" spans="1:27">
      <c r="A131" s="2">
        <v>46259</v>
      </c>
      <c r="B131" t="s">
        <v>503</v>
      </c>
      <c r="C131" t="s">
        <v>42</v>
      </c>
      <c r="D131" t="s">
        <v>1</v>
      </c>
      <c r="E131" t="s">
        <v>855</v>
      </c>
      <c r="F131" t="s">
        <v>15</v>
      </c>
      <c r="G131" t="s">
        <v>15</v>
      </c>
      <c r="H131" t="s">
        <v>856</v>
      </c>
      <c r="I131">
        <v>70</v>
      </c>
      <c r="J131">
        <v>23</v>
      </c>
      <c r="K131">
        <v>5</v>
      </c>
      <c r="L131">
        <v>4</v>
      </c>
      <c r="M131" t="s">
        <v>828</v>
      </c>
      <c r="N131" t="s">
        <v>857</v>
      </c>
      <c r="O131" t="s">
        <v>1</v>
      </c>
      <c r="Q131">
        <v>3</v>
      </c>
      <c r="R131" t="s">
        <v>79</v>
      </c>
      <c r="S131" t="s">
        <v>80</v>
      </c>
      <c r="T131" t="s">
        <v>98</v>
      </c>
      <c r="U131" s="3" t="s">
        <v>858</v>
      </c>
      <c r="V131" s="3" t="s">
        <v>859</v>
      </c>
      <c r="W131" s="3" t="s">
        <v>4533</v>
      </c>
      <c r="X131" t="s">
        <v>567</v>
      </c>
      <c r="Y131">
        <v>8</v>
      </c>
      <c r="Z131">
        <v>0</v>
      </c>
      <c r="AA131">
        <f>IF('Στατιστικά'!$C$6,1,IFERROR(INDEX('Στατιστικά'!$C$10:$C$83,MATCH(G131,'Στατιστικά'!$B$10:$B$83,0))*1,0))</f>
        <v>1</v>
      </c>
    </row>
    <row r="132" spans="1:27">
      <c r="A132" s="2">
        <v>46259</v>
      </c>
      <c r="B132" t="s">
        <v>158</v>
      </c>
      <c r="C132" t="s">
        <v>1</v>
      </c>
      <c r="D132" t="s">
        <v>1</v>
      </c>
      <c r="E132" t="s">
        <v>861</v>
      </c>
      <c r="F132" t="s">
        <v>44</v>
      </c>
      <c r="G132" t="s">
        <v>45</v>
      </c>
      <c r="H132" t="s">
        <v>813</v>
      </c>
      <c r="I132">
        <v>92</v>
      </c>
      <c r="J132">
        <v>28</v>
      </c>
      <c r="K132">
        <v>14</v>
      </c>
      <c r="L132">
        <v>4</v>
      </c>
      <c r="M132" t="s">
        <v>862</v>
      </c>
      <c r="N132" t="s">
        <v>863</v>
      </c>
      <c r="O132" t="s">
        <v>1</v>
      </c>
      <c r="Q132">
        <v>3</v>
      </c>
      <c r="R132" t="s">
        <v>79</v>
      </c>
      <c r="S132" t="s">
        <v>107</v>
      </c>
      <c r="T132" t="s">
        <v>1</v>
      </c>
      <c r="U132" s="3" t="s">
        <v>864</v>
      </c>
      <c r="V132" s="3" t="s">
        <v>865</v>
      </c>
      <c r="W132" s="3" t="s">
        <v>866</v>
      </c>
      <c r="X132" t="s">
        <v>719</v>
      </c>
      <c r="Y132">
        <v>8</v>
      </c>
      <c r="Z132">
        <v>0</v>
      </c>
      <c r="AA132">
        <f>IF('Στατιστικά'!$C$6,1,IFERROR(INDEX('Στατιστικά'!$C$10:$C$83,MATCH(G132,'Στατιστικά'!$B$10:$B$83,0))*1,0))</f>
        <v>1</v>
      </c>
    </row>
    <row r="133" spans="1:27">
      <c r="A133" s="2">
        <v>46259</v>
      </c>
      <c r="B133" t="s">
        <v>300</v>
      </c>
      <c r="C133" t="s">
        <v>1</v>
      </c>
      <c r="D133" t="s">
        <v>1</v>
      </c>
      <c r="E133" t="s">
        <v>867</v>
      </c>
      <c r="F133" t="s">
        <v>450</v>
      </c>
      <c r="G133" t="s">
        <v>45</v>
      </c>
      <c r="H133" t="s">
        <v>272</v>
      </c>
      <c r="I133">
        <v>85</v>
      </c>
      <c r="J133">
        <v>28</v>
      </c>
      <c r="K133">
        <v>4</v>
      </c>
      <c r="L133">
        <v>4</v>
      </c>
      <c r="M133" t="s">
        <v>868</v>
      </c>
      <c r="N133" t="s">
        <v>869</v>
      </c>
      <c r="O133" t="s">
        <v>239</v>
      </c>
      <c r="Q133">
        <v>3</v>
      </c>
      <c r="R133" t="s">
        <v>79</v>
      </c>
      <c r="S133" t="s">
        <v>80</v>
      </c>
      <c r="T133" t="s">
        <v>870</v>
      </c>
      <c r="U133" s="3" t="s">
        <v>871</v>
      </c>
      <c r="V133" s="3" t="s">
        <v>872</v>
      </c>
      <c r="W133" s="3" t="s">
        <v>873</v>
      </c>
      <c r="X133" t="s">
        <v>685</v>
      </c>
      <c r="Y133">
        <v>8</v>
      </c>
      <c r="Z133">
        <v>0</v>
      </c>
      <c r="AA133">
        <f>IF('Στατιστικά'!$C$6,1,IFERROR(INDEX('Στατιστικά'!$C$10:$C$83,MATCH(G133,'Στατιστικά'!$B$10:$B$83,0))*1,0))</f>
        <v>1</v>
      </c>
    </row>
    <row r="134" spans="1:27">
      <c r="A134" s="2">
        <v>46259</v>
      </c>
      <c r="B134" t="s">
        <v>118</v>
      </c>
      <c r="C134" t="s">
        <v>1</v>
      </c>
      <c r="D134" t="s">
        <v>1</v>
      </c>
      <c r="E134" t="s">
        <v>874</v>
      </c>
      <c r="F134" t="s">
        <v>53</v>
      </c>
      <c r="G134" t="s">
        <v>645</v>
      </c>
      <c r="H134" t="s">
        <v>875</v>
      </c>
      <c r="I134">
        <v>30</v>
      </c>
      <c r="J134">
        <v>8</v>
      </c>
      <c r="K134">
        <v>2</v>
      </c>
      <c r="L134">
        <v>1</v>
      </c>
      <c r="M134" t="s">
        <v>876</v>
      </c>
      <c r="N134" t="s">
        <v>877</v>
      </c>
      <c r="O134" t="s">
        <v>1</v>
      </c>
      <c r="Q134">
        <v>3</v>
      </c>
      <c r="R134" t="s">
        <v>79</v>
      </c>
      <c r="S134" t="s">
        <v>80</v>
      </c>
      <c r="T134" t="s">
        <v>878</v>
      </c>
      <c r="U134" s="3" t="s">
        <v>1</v>
      </c>
      <c r="V134" s="3" t="s">
        <v>879</v>
      </c>
      <c r="W134" s="3" t="s">
        <v>4534</v>
      </c>
      <c r="X134" t="s">
        <v>719</v>
      </c>
      <c r="Y134">
        <v>8</v>
      </c>
      <c r="Z134">
        <v>0</v>
      </c>
      <c r="AA134">
        <f>IF('Στατιστικά'!$C$6,1,IFERROR(INDEX('Στατιστικά'!$C$10:$C$83,MATCH(G134,'Στατιστικά'!$B$10:$B$83,0))*1,0))</f>
        <v>1</v>
      </c>
    </row>
    <row r="135" spans="1:27">
      <c r="A135" s="2">
        <v>46259</v>
      </c>
      <c r="B135" t="s">
        <v>881</v>
      </c>
      <c r="C135" t="s">
        <v>1</v>
      </c>
      <c r="D135" t="s">
        <v>1</v>
      </c>
      <c r="E135" t="s">
        <v>882</v>
      </c>
      <c r="F135" t="s">
        <v>33</v>
      </c>
      <c r="G135" t="s">
        <v>4</v>
      </c>
      <c r="H135" t="s">
        <v>570</v>
      </c>
      <c r="I135">
        <v>15</v>
      </c>
      <c r="J135">
        <v>3</v>
      </c>
      <c r="K135">
        <v>0</v>
      </c>
      <c r="L135">
        <v>1</v>
      </c>
      <c r="M135" t="s">
        <v>883</v>
      </c>
      <c r="N135" t="s">
        <v>419</v>
      </c>
      <c r="O135" t="s">
        <v>1</v>
      </c>
      <c r="P135" t="s">
        <v>4695</v>
      </c>
      <c r="Q135">
        <v>3</v>
      </c>
      <c r="R135" t="s">
        <v>79</v>
      </c>
      <c r="S135" t="s">
        <v>8</v>
      </c>
      <c r="T135" t="s">
        <v>9</v>
      </c>
      <c r="U135" s="3" t="s">
        <v>1</v>
      </c>
      <c r="V135" s="3" t="s">
        <v>884</v>
      </c>
      <c r="W135" s="3" t="s">
        <v>4696</v>
      </c>
      <c r="X135" t="s">
        <v>791</v>
      </c>
      <c r="Y135">
        <v>8</v>
      </c>
      <c r="Z135">
        <v>0</v>
      </c>
      <c r="AA135">
        <f>IF('Στατιστικά'!$C$6,1,IFERROR(INDEX('Στατιστικά'!$C$10:$C$83,MATCH(G135,'Στατιστικά'!$B$10:$B$83,0))*1,0))</f>
        <v>1</v>
      </c>
    </row>
    <row r="136" spans="1:27">
      <c r="A136" s="2">
        <v>46259</v>
      </c>
      <c r="B136" t="s">
        <v>196</v>
      </c>
      <c r="C136" t="s">
        <v>1</v>
      </c>
      <c r="D136" t="s">
        <v>1</v>
      </c>
      <c r="E136" t="s">
        <v>886</v>
      </c>
      <c r="F136" t="s">
        <v>887</v>
      </c>
      <c r="G136" t="s">
        <v>198</v>
      </c>
      <c r="H136" t="s">
        <v>888</v>
      </c>
      <c r="I136">
        <v>34</v>
      </c>
      <c r="J136">
        <v>8</v>
      </c>
      <c r="K136">
        <v>2</v>
      </c>
      <c r="L136">
        <v>2</v>
      </c>
      <c r="M136" t="s">
        <v>889</v>
      </c>
      <c r="N136" t="s">
        <v>890</v>
      </c>
      <c r="O136" t="s">
        <v>1</v>
      </c>
      <c r="Q136">
        <v>3</v>
      </c>
      <c r="R136" t="s">
        <v>79</v>
      </c>
      <c r="S136" t="s">
        <v>891</v>
      </c>
      <c r="T136" t="s">
        <v>892</v>
      </c>
      <c r="U136" s="3" t="s">
        <v>1</v>
      </c>
      <c r="V136" s="3" t="s">
        <v>893</v>
      </c>
      <c r="W136" s="3" t="s">
        <v>894</v>
      </c>
      <c r="X136" t="s">
        <v>719</v>
      </c>
      <c r="Y136">
        <v>8</v>
      </c>
      <c r="Z136">
        <v>0</v>
      </c>
      <c r="AA136">
        <f>IF('Στατιστικά'!$C$6,1,IFERROR(INDEX('Στατιστικά'!$C$10:$C$83,MATCH(G136,'Στατιστικά'!$B$10:$B$83,0))*1,0))</f>
        <v>1</v>
      </c>
    </row>
    <row r="137" spans="1:27">
      <c r="A137" s="2">
        <v>46259</v>
      </c>
      <c r="B137" t="s">
        <v>1</v>
      </c>
      <c r="C137" t="s">
        <v>1</v>
      </c>
      <c r="D137" t="s">
        <v>1</v>
      </c>
      <c r="E137" t="s">
        <v>895</v>
      </c>
      <c r="F137" t="s">
        <v>74</v>
      </c>
      <c r="G137" t="s">
        <v>136</v>
      </c>
      <c r="H137" t="s">
        <v>896</v>
      </c>
      <c r="I137">
        <v>32</v>
      </c>
      <c r="J137">
        <v>10</v>
      </c>
      <c r="K137">
        <v>0</v>
      </c>
      <c r="L137">
        <v>4</v>
      </c>
      <c r="M137" t="s">
        <v>897</v>
      </c>
      <c r="N137" t="s">
        <v>821</v>
      </c>
      <c r="O137" t="s">
        <v>1</v>
      </c>
      <c r="Q137">
        <v>3</v>
      </c>
      <c r="R137" t="s">
        <v>79</v>
      </c>
      <c r="S137" t="s">
        <v>80</v>
      </c>
      <c r="T137" t="s">
        <v>1</v>
      </c>
      <c r="U137" s="3" t="s">
        <v>898</v>
      </c>
      <c r="V137" s="3" t="s">
        <v>899</v>
      </c>
      <c r="W137" s="3" t="s">
        <v>900</v>
      </c>
      <c r="X137" t="s">
        <v>791</v>
      </c>
      <c r="Y137">
        <v>8</v>
      </c>
      <c r="Z137">
        <v>0</v>
      </c>
      <c r="AA137">
        <f>IF('Στατιστικά'!$C$6,1,IFERROR(INDEX('Στατιστικά'!$C$10:$C$83,MATCH(G137,'Στατιστικά'!$B$10:$B$83,0))*1,0))</f>
        <v>1</v>
      </c>
    </row>
    <row r="138" spans="1:27">
      <c r="A138" s="2">
        <v>46259</v>
      </c>
      <c r="B138" t="s">
        <v>1</v>
      </c>
      <c r="C138" t="s">
        <v>42</v>
      </c>
      <c r="D138" t="s">
        <v>1</v>
      </c>
      <c r="E138" t="s">
        <v>901</v>
      </c>
      <c r="F138" t="s">
        <v>38</v>
      </c>
      <c r="G138" t="s">
        <v>15</v>
      </c>
      <c r="H138" t="s">
        <v>902</v>
      </c>
      <c r="I138">
        <v>70</v>
      </c>
      <c r="J138">
        <v>23</v>
      </c>
      <c r="K138">
        <v>5</v>
      </c>
      <c r="L138">
        <v>4</v>
      </c>
      <c r="M138" t="s">
        <v>1</v>
      </c>
      <c r="N138" t="s">
        <v>1</v>
      </c>
      <c r="O138" t="s">
        <v>1</v>
      </c>
      <c r="R138" t="s">
        <v>1</v>
      </c>
      <c r="S138" t="s">
        <v>80</v>
      </c>
      <c r="T138" t="s">
        <v>903</v>
      </c>
      <c r="U138" s="3" t="s">
        <v>904</v>
      </c>
      <c r="V138" s="3" t="s">
        <v>905</v>
      </c>
      <c r="W138" s="3" t="s">
        <v>906</v>
      </c>
      <c r="X138" t="s">
        <v>567</v>
      </c>
      <c r="Y138">
        <v>8</v>
      </c>
      <c r="Z138">
        <v>0</v>
      </c>
      <c r="AA138">
        <f>IF('Στατιστικά'!$C$6,1,IFERROR(INDEX('Στατιστικά'!$C$10:$C$83,MATCH(G138,'Στατιστικά'!$B$10:$B$83,0))*1,0))</f>
        <v>1</v>
      </c>
    </row>
    <row r="139" spans="1:27">
      <c r="A139" s="2">
        <v>46259</v>
      </c>
      <c r="B139" t="s">
        <v>1</v>
      </c>
      <c r="C139" t="s">
        <v>1</v>
      </c>
      <c r="D139" t="s">
        <v>1</v>
      </c>
      <c r="E139" t="s">
        <v>907</v>
      </c>
      <c r="F139" t="s">
        <v>64</v>
      </c>
      <c r="G139" t="s">
        <v>65</v>
      </c>
      <c r="H139" t="s">
        <v>66</v>
      </c>
      <c r="I139">
        <v>34</v>
      </c>
      <c r="J139">
        <v>9</v>
      </c>
      <c r="K139">
        <v>0</v>
      </c>
      <c r="L139">
        <v>1</v>
      </c>
      <c r="M139" t="s">
        <v>754</v>
      </c>
      <c r="N139" t="s">
        <v>1</v>
      </c>
      <c r="O139" t="s">
        <v>1</v>
      </c>
      <c r="Q139">
        <v>2</v>
      </c>
      <c r="R139" t="s">
        <v>17</v>
      </c>
      <c r="S139" t="s">
        <v>8</v>
      </c>
      <c r="T139" t="s">
        <v>1</v>
      </c>
      <c r="U139" s="3" t="s">
        <v>1</v>
      </c>
      <c r="V139" s="3" t="s">
        <v>908</v>
      </c>
      <c r="W139" s="3" t="s">
        <v>1</v>
      </c>
      <c r="X139" t="s">
        <v>761</v>
      </c>
      <c r="Y139">
        <v>8</v>
      </c>
      <c r="Z139">
        <v>0</v>
      </c>
      <c r="AA139">
        <f>IF('Στατιστικά'!$C$6,1,IFERROR(INDEX('Στατιστικά'!$C$10:$C$83,MATCH(G139,'Στατιστικά'!$B$10:$B$83,0))*1,0))</f>
        <v>1</v>
      </c>
    </row>
    <row r="140" spans="1:27">
      <c r="A140" s="2">
        <v>46259</v>
      </c>
      <c r="B140" t="s">
        <v>1</v>
      </c>
      <c r="C140" t="s">
        <v>1</v>
      </c>
      <c r="D140" t="s">
        <v>1</v>
      </c>
      <c r="E140" t="s">
        <v>909</v>
      </c>
      <c r="F140" t="s">
        <v>1</v>
      </c>
      <c r="G140" t="s">
        <v>1</v>
      </c>
      <c r="H140" t="s">
        <v>1</v>
      </c>
      <c r="M140" t="s">
        <v>1</v>
      </c>
      <c r="N140" t="s">
        <v>1</v>
      </c>
      <c r="O140" t="s">
        <v>1</v>
      </c>
      <c r="Q140">
        <v>3</v>
      </c>
      <c r="R140" t="s">
        <v>79</v>
      </c>
      <c r="S140" t="s">
        <v>1</v>
      </c>
      <c r="T140" t="s">
        <v>1</v>
      </c>
      <c r="U140" s="3" t="s">
        <v>1</v>
      </c>
      <c r="V140" s="3" t="s">
        <v>910</v>
      </c>
      <c r="W140" s="3" t="s">
        <v>911</v>
      </c>
      <c r="X140" t="s">
        <v>791</v>
      </c>
      <c r="Y140">
        <v>8</v>
      </c>
      <c r="Z140">
        <v>0</v>
      </c>
      <c r="AA140">
        <f>IF('Στατιστικά'!$C$6,1,IFERROR(INDEX('Στατιστικά'!$C$10:$C$83,MATCH(G140,'Στατιστικά'!$B$10:$B$83,0))*1,0))</f>
        <v>1</v>
      </c>
    </row>
    <row r="141" spans="1:27">
      <c r="A141" s="2">
        <v>46259</v>
      </c>
      <c r="B141" t="s">
        <v>1</v>
      </c>
      <c r="C141" t="s">
        <v>1</v>
      </c>
      <c r="D141" t="s">
        <v>1</v>
      </c>
      <c r="E141" t="s">
        <v>912</v>
      </c>
      <c r="F141" t="s">
        <v>38</v>
      </c>
      <c r="G141" t="s">
        <v>15</v>
      </c>
      <c r="H141" t="s">
        <v>913</v>
      </c>
      <c r="M141" t="s">
        <v>1</v>
      </c>
      <c r="N141" t="s">
        <v>1</v>
      </c>
      <c r="O141" t="s">
        <v>1</v>
      </c>
      <c r="Q141">
        <v>3</v>
      </c>
      <c r="R141" t="s">
        <v>79</v>
      </c>
      <c r="S141" t="s">
        <v>1</v>
      </c>
      <c r="T141" t="s">
        <v>1</v>
      </c>
      <c r="U141" s="3" t="s">
        <v>1</v>
      </c>
      <c r="V141" s="3" t="s">
        <v>910</v>
      </c>
      <c r="W141" s="3" t="s">
        <v>914</v>
      </c>
      <c r="X141" t="s">
        <v>791</v>
      </c>
      <c r="Y141">
        <v>8</v>
      </c>
      <c r="Z141">
        <v>0</v>
      </c>
      <c r="AA141">
        <f>IF('Στατιστικά'!$C$6,1,IFERROR(INDEX('Στατιστικά'!$C$10:$C$83,MATCH(G141,'Στατιστικά'!$B$10:$B$83,0))*1,0))</f>
        <v>1</v>
      </c>
    </row>
    <row r="142" spans="1:27">
      <c r="A142" s="2">
        <v>46258</v>
      </c>
      <c r="B142" t="s">
        <v>643</v>
      </c>
      <c r="C142" t="s">
        <v>1</v>
      </c>
      <c r="D142" t="s">
        <v>1</v>
      </c>
      <c r="E142" t="s">
        <v>915</v>
      </c>
      <c r="F142" t="s">
        <v>64</v>
      </c>
      <c r="G142" t="s">
        <v>753</v>
      </c>
      <c r="H142" t="s">
        <v>916</v>
      </c>
      <c r="I142">
        <v>14</v>
      </c>
      <c r="J142">
        <v>7</v>
      </c>
      <c r="K142">
        <v>0</v>
      </c>
      <c r="L142">
        <v>1</v>
      </c>
      <c r="M142" t="s">
        <v>1</v>
      </c>
      <c r="N142" t="s">
        <v>1</v>
      </c>
      <c r="O142" t="s">
        <v>1</v>
      </c>
      <c r="P142" t="s">
        <v>4697</v>
      </c>
      <c r="Q142">
        <v>3</v>
      </c>
      <c r="R142" t="s">
        <v>79</v>
      </c>
      <c r="S142" t="s">
        <v>891</v>
      </c>
      <c r="T142" t="s">
        <v>917</v>
      </c>
      <c r="U142" s="3" t="s">
        <v>1</v>
      </c>
      <c r="V142" s="3" t="s">
        <v>918</v>
      </c>
      <c r="W142" s="3" t="s">
        <v>4698</v>
      </c>
      <c r="X142" t="s">
        <v>685</v>
      </c>
      <c r="Y142">
        <v>8</v>
      </c>
      <c r="Z142">
        <v>0</v>
      </c>
      <c r="AA142">
        <f>IF('Στατιστικά'!$C$6,1,IFERROR(INDEX('Στατιστικά'!$C$10:$C$83,MATCH(G142,'Στατιστικά'!$B$10:$B$83,0))*1,0))</f>
        <v>1</v>
      </c>
    </row>
    <row r="143" spans="1:27">
      <c r="A143" s="2">
        <v>46258</v>
      </c>
      <c r="B143" t="s">
        <v>643</v>
      </c>
      <c r="C143" t="s">
        <v>1</v>
      </c>
      <c r="D143" t="s">
        <v>1</v>
      </c>
      <c r="E143" t="s">
        <v>920</v>
      </c>
      <c r="F143" t="s">
        <v>53</v>
      </c>
      <c r="G143" t="s">
        <v>753</v>
      </c>
      <c r="H143" t="s">
        <v>921</v>
      </c>
      <c r="I143">
        <v>14</v>
      </c>
      <c r="J143">
        <v>7</v>
      </c>
      <c r="K143">
        <v>0</v>
      </c>
      <c r="L143">
        <v>1</v>
      </c>
      <c r="M143" t="s">
        <v>922</v>
      </c>
      <c r="N143" t="s">
        <v>923</v>
      </c>
      <c r="O143" t="s">
        <v>1</v>
      </c>
      <c r="R143" t="s">
        <v>1</v>
      </c>
      <c r="S143" t="s">
        <v>80</v>
      </c>
      <c r="T143" t="s">
        <v>98</v>
      </c>
      <c r="U143" s="3" t="s">
        <v>1</v>
      </c>
      <c r="V143" s="3" t="s">
        <v>924</v>
      </c>
      <c r="W143" s="3" t="s">
        <v>4535</v>
      </c>
      <c r="X143" t="s">
        <v>685</v>
      </c>
      <c r="Y143">
        <v>8</v>
      </c>
      <c r="Z143">
        <v>0</v>
      </c>
      <c r="AA143">
        <f>IF('Στατιστικά'!$C$6,1,IFERROR(INDEX('Στατιστικά'!$C$10:$C$83,MATCH(G143,'Στατιστικά'!$B$10:$B$83,0))*1,0))</f>
        <v>1</v>
      </c>
    </row>
    <row r="144" spans="1:27">
      <c r="A144" s="2">
        <v>46258</v>
      </c>
      <c r="B144" t="s">
        <v>926</v>
      </c>
      <c r="C144" t="s">
        <v>1</v>
      </c>
      <c r="D144" t="s">
        <v>1</v>
      </c>
      <c r="E144" t="s">
        <v>927</v>
      </c>
      <c r="F144" t="s">
        <v>53</v>
      </c>
      <c r="G144" t="s">
        <v>753</v>
      </c>
      <c r="H144" t="s">
        <v>921</v>
      </c>
      <c r="I144">
        <v>30</v>
      </c>
      <c r="J144">
        <v>14</v>
      </c>
      <c r="K144">
        <v>1</v>
      </c>
      <c r="L144">
        <v>1</v>
      </c>
      <c r="M144" t="s">
        <v>1</v>
      </c>
      <c r="N144" t="s">
        <v>419</v>
      </c>
      <c r="O144" t="s">
        <v>1</v>
      </c>
      <c r="Q144">
        <v>3</v>
      </c>
      <c r="R144" t="s">
        <v>79</v>
      </c>
      <c r="S144" t="s">
        <v>80</v>
      </c>
      <c r="T144" t="s">
        <v>928</v>
      </c>
      <c r="U144" s="3" t="s">
        <v>1</v>
      </c>
      <c r="V144" s="3" t="s">
        <v>929</v>
      </c>
      <c r="W144" s="3" t="s">
        <v>930</v>
      </c>
      <c r="X144" t="s">
        <v>685</v>
      </c>
      <c r="Y144">
        <v>8</v>
      </c>
      <c r="Z144">
        <v>0</v>
      </c>
      <c r="AA144">
        <f>IF('Στατιστικά'!$C$6,1,IFERROR(INDEX('Στατιστικά'!$C$10:$C$83,MATCH(G144,'Στατιστικά'!$B$10:$B$83,0))*1,0))</f>
        <v>1</v>
      </c>
    </row>
    <row r="145" spans="1:27">
      <c r="A145" s="2">
        <v>46258</v>
      </c>
      <c r="B145" t="s">
        <v>931</v>
      </c>
      <c r="C145" t="s">
        <v>1</v>
      </c>
      <c r="D145" t="s">
        <v>1</v>
      </c>
      <c r="E145" t="s">
        <v>932</v>
      </c>
      <c r="F145" t="s">
        <v>217</v>
      </c>
      <c r="G145" t="s">
        <v>205</v>
      </c>
      <c r="H145" t="s">
        <v>403</v>
      </c>
      <c r="I145">
        <v>24</v>
      </c>
      <c r="J145">
        <v>8</v>
      </c>
      <c r="K145">
        <v>3</v>
      </c>
      <c r="L145">
        <v>0</v>
      </c>
      <c r="M145" t="s">
        <v>360</v>
      </c>
      <c r="N145" t="s">
        <v>933</v>
      </c>
      <c r="O145" t="s">
        <v>1</v>
      </c>
      <c r="P145" t="s">
        <v>4699</v>
      </c>
      <c r="Q145">
        <v>3</v>
      </c>
      <c r="R145" t="s">
        <v>79</v>
      </c>
      <c r="S145" t="s">
        <v>80</v>
      </c>
      <c r="T145" t="s">
        <v>934</v>
      </c>
      <c r="U145" s="3" t="s">
        <v>1</v>
      </c>
      <c r="V145" s="3" t="s">
        <v>935</v>
      </c>
      <c r="W145" s="3" t="s">
        <v>4700</v>
      </c>
      <c r="X145" t="s">
        <v>567</v>
      </c>
      <c r="Y145">
        <v>8</v>
      </c>
      <c r="Z145">
        <v>0</v>
      </c>
      <c r="AA145">
        <f>IF('Στατιστικά'!$C$6,1,IFERROR(INDEX('Στατιστικά'!$C$10:$C$83,MATCH(G145,'Στατιστικά'!$B$10:$B$83,0))*1,0))</f>
        <v>1</v>
      </c>
    </row>
    <row r="146" spans="1:27">
      <c r="A146" s="2">
        <v>46258</v>
      </c>
      <c r="B146" t="s">
        <v>72</v>
      </c>
      <c r="C146" t="s">
        <v>1</v>
      </c>
      <c r="D146" t="s">
        <v>1</v>
      </c>
      <c r="E146" t="s">
        <v>937</v>
      </c>
      <c r="F146" t="s">
        <v>141</v>
      </c>
      <c r="G146" t="s">
        <v>481</v>
      </c>
      <c r="H146" t="s">
        <v>938</v>
      </c>
      <c r="I146">
        <v>28</v>
      </c>
      <c r="J146">
        <v>8</v>
      </c>
      <c r="K146">
        <v>0</v>
      </c>
      <c r="L146">
        <v>0</v>
      </c>
      <c r="M146" t="s">
        <v>939</v>
      </c>
      <c r="N146" t="s">
        <v>940</v>
      </c>
      <c r="O146" t="s">
        <v>1</v>
      </c>
      <c r="Q146">
        <v>4</v>
      </c>
      <c r="R146" t="s">
        <v>137</v>
      </c>
      <c r="S146" t="s">
        <v>80</v>
      </c>
      <c r="T146" t="s">
        <v>98</v>
      </c>
      <c r="U146" s="3" t="s">
        <v>1</v>
      </c>
      <c r="V146" s="3" t="s">
        <v>941</v>
      </c>
      <c r="W146" s="3" t="s">
        <v>942</v>
      </c>
      <c r="X146" t="s">
        <v>685</v>
      </c>
      <c r="Y146">
        <v>8</v>
      </c>
      <c r="Z146">
        <v>0</v>
      </c>
      <c r="AA146">
        <f>IF('Στατιστικά'!$C$6,1,IFERROR(INDEX('Στατιστικά'!$C$10:$C$83,MATCH(G146,'Στατιστικά'!$B$10:$B$83,0))*1,0))</f>
        <v>1</v>
      </c>
    </row>
    <row r="147" spans="1:27">
      <c r="A147" s="2">
        <v>46258</v>
      </c>
      <c r="B147" t="s">
        <v>679</v>
      </c>
      <c r="C147" t="s">
        <v>1</v>
      </c>
      <c r="D147" t="s">
        <v>1</v>
      </c>
      <c r="E147" t="s">
        <v>943</v>
      </c>
      <c r="F147" t="s">
        <v>324</v>
      </c>
      <c r="G147" t="s">
        <v>944</v>
      </c>
      <c r="H147" t="s">
        <v>945</v>
      </c>
      <c r="I147">
        <v>28</v>
      </c>
      <c r="J147">
        <v>10</v>
      </c>
      <c r="K147">
        <v>0</v>
      </c>
      <c r="L147">
        <v>1</v>
      </c>
      <c r="M147" t="s">
        <v>946</v>
      </c>
      <c r="N147" t="s">
        <v>947</v>
      </c>
      <c r="O147" t="s">
        <v>1</v>
      </c>
      <c r="Q147">
        <v>4</v>
      </c>
      <c r="R147" t="s">
        <v>137</v>
      </c>
      <c r="S147" t="s">
        <v>80</v>
      </c>
      <c r="T147" t="s">
        <v>1</v>
      </c>
      <c r="U147" s="3" t="s">
        <v>1</v>
      </c>
      <c r="V147" s="3" t="s">
        <v>948</v>
      </c>
      <c r="W147" s="3" t="s">
        <v>949</v>
      </c>
      <c r="X147" t="s">
        <v>791</v>
      </c>
      <c r="Y147">
        <v>8</v>
      </c>
      <c r="Z147">
        <v>0</v>
      </c>
      <c r="AA147">
        <f>IF('Στατιστικά'!$C$6,1,IFERROR(INDEX('Στατιστικά'!$C$10:$C$83,MATCH(G147,'Στατιστικά'!$B$10:$B$83,0))*1,0))</f>
        <v>1</v>
      </c>
    </row>
    <row r="148" spans="1:27">
      <c r="A148" s="2">
        <v>46258</v>
      </c>
      <c r="B148" t="s">
        <v>679</v>
      </c>
      <c r="C148" t="s">
        <v>1</v>
      </c>
      <c r="D148" t="s">
        <v>1</v>
      </c>
      <c r="E148" t="s">
        <v>950</v>
      </c>
      <c r="F148" t="s">
        <v>324</v>
      </c>
      <c r="G148" t="s">
        <v>944</v>
      </c>
      <c r="H148" t="s">
        <v>951</v>
      </c>
      <c r="I148">
        <v>28</v>
      </c>
      <c r="J148">
        <v>10</v>
      </c>
      <c r="K148">
        <v>0</v>
      </c>
      <c r="L148">
        <v>1</v>
      </c>
      <c r="M148" t="s">
        <v>952</v>
      </c>
      <c r="N148" t="s">
        <v>953</v>
      </c>
      <c r="O148" t="s">
        <v>1</v>
      </c>
      <c r="Q148">
        <v>4</v>
      </c>
      <c r="R148" t="s">
        <v>137</v>
      </c>
      <c r="S148" t="s">
        <v>80</v>
      </c>
      <c r="T148" t="s">
        <v>1</v>
      </c>
      <c r="U148" s="3" t="s">
        <v>1</v>
      </c>
      <c r="V148" s="3" t="s">
        <v>954</v>
      </c>
      <c r="W148" s="3" t="s">
        <v>4536</v>
      </c>
      <c r="X148" t="s">
        <v>791</v>
      </c>
      <c r="Y148">
        <v>8</v>
      </c>
      <c r="Z148">
        <v>0</v>
      </c>
      <c r="AA148">
        <f>IF('Στατιστικά'!$C$6,1,IFERROR(INDEX('Στατιστικά'!$C$10:$C$83,MATCH(G148,'Στατιστικά'!$B$10:$B$83,0))*1,0))</f>
        <v>1</v>
      </c>
    </row>
    <row r="149" spans="1:27">
      <c r="A149" s="2">
        <v>46258</v>
      </c>
      <c r="B149" t="s">
        <v>118</v>
      </c>
      <c r="C149" t="s">
        <v>1</v>
      </c>
      <c r="D149" t="s">
        <v>1</v>
      </c>
      <c r="E149" t="s">
        <v>956</v>
      </c>
      <c r="F149" t="s">
        <v>64</v>
      </c>
      <c r="G149" t="s">
        <v>645</v>
      </c>
      <c r="H149" t="s">
        <v>957</v>
      </c>
      <c r="I149">
        <v>30</v>
      </c>
      <c r="J149">
        <v>8</v>
      </c>
      <c r="K149">
        <v>2</v>
      </c>
      <c r="L149">
        <v>1</v>
      </c>
      <c r="M149" t="s">
        <v>958</v>
      </c>
      <c r="N149" t="s">
        <v>877</v>
      </c>
      <c r="O149" t="s">
        <v>1</v>
      </c>
      <c r="Q149">
        <v>3</v>
      </c>
      <c r="R149" t="s">
        <v>79</v>
      </c>
      <c r="S149" t="s">
        <v>80</v>
      </c>
      <c r="T149" t="s">
        <v>1</v>
      </c>
      <c r="U149" s="3" t="s">
        <v>1</v>
      </c>
      <c r="V149" s="3" t="s">
        <v>959</v>
      </c>
      <c r="W149" s="3" t="s">
        <v>960</v>
      </c>
      <c r="X149" t="s">
        <v>567</v>
      </c>
      <c r="Y149">
        <v>8</v>
      </c>
      <c r="Z149">
        <v>0</v>
      </c>
      <c r="AA149">
        <f>IF('Στατιστικά'!$C$6,1,IFERROR(INDEX('Στατιστικά'!$C$10:$C$83,MATCH(G149,'Στατιστικά'!$B$10:$B$83,0))*1,0))</f>
        <v>1</v>
      </c>
    </row>
    <row r="150" spans="1:27">
      <c r="A150" s="2">
        <v>46258</v>
      </c>
      <c r="B150" t="s">
        <v>422</v>
      </c>
      <c r="C150" t="s">
        <v>1</v>
      </c>
      <c r="D150" t="s">
        <v>1</v>
      </c>
      <c r="E150" t="s">
        <v>961</v>
      </c>
      <c r="F150" t="s">
        <v>15</v>
      </c>
      <c r="G150" t="s">
        <v>15</v>
      </c>
      <c r="H150" t="s">
        <v>962</v>
      </c>
      <c r="I150">
        <v>32</v>
      </c>
      <c r="J150">
        <v>13</v>
      </c>
      <c r="K150">
        <v>0</v>
      </c>
      <c r="L150">
        <v>0</v>
      </c>
      <c r="M150" t="s">
        <v>963</v>
      </c>
      <c r="N150" t="s">
        <v>964</v>
      </c>
      <c r="O150" t="s">
        <v>1</v>
      </c>
      <c r="Q150">
        <v>4</v>
      </c>
      <c r="R150" t="s">
        <v>137</v>
      </c>
      <c r="S150" t="s">
        <v>80</v>
      </c>
      <c r="T150" t="s">
        <v>1</v>
      </c>
      <c r="U150" s="3" t="s">
        <v>1</v>
      </c>
      <c r="V150" s="3" t="s">
        <v>965</v>
      </c>
      <c r="W150" s="3" t="s">
        <v>966</v>
      </c>
      <c r="X150" t="s">
        <v>967</v>
      </c>
      <c r="Y150">
        <v>8</v>
      </c>
      <c r="Z150">
        <v>0</v>
      </c>
      <c r="AA150">
        <f>IF('Στατιστικά'!$C$6,1,IFERROR(INDEX('Στατιστικά'!$C$10:$C$83,MATCH(G150,'Στατιστικά'!$B$10:$B$83,0))*1,0))</f>
        <v>1</v>
      </c>
    </row>
    <row r="151" spans="1:27">
      <c r="A151" s="2">
        <v>46258</v>
      </c>
      <c r="B151" t="s">
        <v>182</v>
      </c>
      <c r="C151" t="s">
        <v>1</v>
      </c>
      <c r="D151" t="s">
        <v>1</v>
      </c>
      <c r="E151" t="s">
        <v>968</v>
      </c>
      <c r="F151" t="s">
        <v>324</v>
      </c>
      <c r="G151" t="s">
        <v>944</v>
      </c>
      <c r="H151" t="s">
        <v>951</v>
      </c>
      <c r="I151">
        <v>28</v>
      </c>
      <c r="J151">
        <v>10</v>
      </c>
      <c r="K151">
        <v>0</v>
      </c>
      <c r="L151">
        <v>1</v>
      </c>
      <c r="M151" t="s">
        <v>969</v>
      </c>
      <c r="N151" t="s">
        <v>970</v>
      </c>
      <c r="O151" t="s">
        <v>1</v>
      </c>
      <c r="Q151">
        <v>4</v>
      </c>
      <c r="R151" t="s">
        <v>137</v>
      </c>
      <c r="S151" t="s">
        <v>80</v>
      </c>
      <c r="T151" t="s">
        <v>1</v>
      </c>
      <c r="U151" s="3" t="s">
        <v>1</v>
      </c>
      <c r="V151" s="3" t="s">
        <v>971</v>
      </c>
      <c r="W151" s="3" t="s">
        <v>4537</v>
      </c>
      <c r="X151" t="s">
        <v>567</v>
      </c>
      <c r="Y151">
        <v>8</v>
      </c>
      <c r="Z151">
        <v>0</v>
      </c>
      <c r="AA151">
        <f>IF('Στατιστικά'!$C$6,1,IFERROR(INDEX('Στατιστικά'!$C$10:$C$83,MATCH(G151,'Στατιστικά'!$B$10:$B$83,0))*1,0))</f>
        <v>1</v>
      </c>
    </row>
    <row r="152" spans="1:27">
      <c r="A152" s="2">
        <v>46258</v>
      </c>
      <c r="B152" t="s">
        <v>278</v>
      </c>
      <c r="C152" t="s">
        <v>1</v>
      </c>
      <c r="D152" t="s">
        <v>1</v>
      </c>
      <c r="E152" t="s">
        <v>973</v>
      </c>
      <c r="F152" t="s">
        <v>64</v>
      </c>
      <c r="G152" t="s">
        <v>645</v>
      </c>
      <c r="H152" t="s">
        <v>974</v>
      </c>
      <c r="I152">
        <v>62</v>
      </c>
      <c r="J152">
        <v>18</v>
      </c>
      <c r="K152">
        <v>0</v>
      </c>
      <c r="L152">
        <v>2</v>
      </c>
      <c r="M152" t="s">
        <v>975</v>
      </c>
      <c r="N152" t="s">
        <v>976</v>
      </c>
      <c r="O152" t="s">
        <v>1</v>
      </c>
      <c r="Q152">
        <v>3</v>
      </c>
      <c r="R152" t="s">
        <v>79</v>
      </c>
      <c r="S152" t="s">
        <v>8</v>
      </c>
      <c r="T152" t="s">
        <v>1</v>
      </c>
      <c r="U152" s="3" t="s">
        <v>1</v>
      </c>
      <c r="V152" s="3" t="s">
        <v>977</v>
      </c>
      <c r="W152" s="3" t="s">
        <v>978</v>
      </c>
      <c r="X152" t="s">
        <v>719</v>
      </c>
      <c r="Y152">
        <v>8</v>
      </c>
      <c r="Z152">
        <v>0</v>
      </c>
      <c r="AA152">
        <f>IF('Στατιστικά'!$C$6,1,IFERROR(INDEX('Στατιστικά'!$C$10:$C$83,MATCH(G152,'Στατιστικά'!$B$10:$B$83,0))*1,0))</f>
        <v>1</v>
      </c>
    </row>
    <row r="153" spans="1:27">
      <c r="A153" s="2">
        <v>46258</v>
      </c>
      <c r="B153" t="s">
        <v>322</v>
      </c>
      <c r="C153" t="s">
        <v>979</v>
      </c>
      <c r="D153" t="s">
        <v>1</v>
      </c>
      <c r="E153" t="s">
        <v>980</v>
      </c>
      <c r="F153" t="s">
        <v>488</v>
      </c>
      <c r="G153" t="s">
        <v>724</v>
      </c>
      <c r="H153" t="s">
        <v>981</v>
      </c>
      <c r="I153">
        <v>62</v>
      </c>
      <c r="J153">
        <v>18</v>
      </c>
      <c r="K153">
        <v>0</v>
      </c>
      <c r="L153">
        <v>2</v>
      </c>
      <c r="M153" t="s">
        <v>982</v>
      </c>
      <c r="N153" t="s">
        <v>983</v>
      </c>
      <c r="O153" t="s">
        <v>1</v>
      </c>
      <c r="Q153">
        <v>2</v>
      </c>
      <c r="R153" t="s">
        <v>17</v>
      </c>
      <c r="S153" t="s">
        <v>80</v>
      </c>
      <c r="T153" t="s">
        <v>984</v>
      </c>
      <c r="U153" s="3" t="s">
        <v>1</v>
      </c>
      <c r="V153" s="3" t="s">
        <v>985</v>
      </c>
      <c r="W153" s="3" t="s">
        <v>986</v>
      </c>
      <c r="X153" t="s">
        <v>719</v>
      </c>
      <c r="Y153">
        <v>8</v>
      </c>
      <c r="Z153">
        <v>0</v>
      </c>
      <c r="AA153">
        <f>IF('Στατιστικά'!$C$6,1,IFERROR(INDEX('Στατιστικά'!$C$10:$C$83,MATCH(G153,'Στατιστικά'!$B$10:$B$83,0))*1,0))</f>
        <v>1</v>
      </c>
    </row>
    <row r="154" spans="1:27">
      <c r="A154" s="2">
        <v>46258</v>
      </c>
      <c r="B154" t="s">
        <v>1</v>
      </c>
      <c r="C154" t="s">
        <v>1</v>
      </c>
      <c r="D154" t="s">
        <v>1</v>
      </c>
      <c r="E154" t="s">
        <v>987</v>
      </c>
      <c r="F154" t="s">
        <v>33</v>
      </c>
      <c r="G154" t="s">
        <v>4</v>
      </c>
      <c r="H154" t="s">
        <v>988</v>
      </c>
      <c r="I154">
        <v>12</v>
      </c>
      <c r="J154">
        <v>2</v>
      </c>
      <c r="K154">
        <v>0</v>
      </c>
      <c r="L154">
        <v>1</v>
      </c>
      <c r="M154" t="s">
        <v>989</v>
      </c>
      <c r="N154" t="s">
        <v>1</v>
      </c>
      <c r="O154" t="s">
        <v>1</v>
      </c>
      <c r="P154" t="s">
        <v>4701</v>
      </c>
      <c r="Q154">
        <v>3</v>
      </c>
      <c r="R154" t="s">
        <v>79</v>
      </c>
      <c r="S154" t="s">
        <v>1</v>
      </c>
      <c r="T154" t="s">
        <v>1</v>
      </c>
      <c r="U154" s="3" t="s">
        <v>1</v>
      </c>
      <c r="V154" s="3" t="s">
        <v>990</v>
      </c>
      <c r="W154" s="3" t="s">
        <v>4702</v>
      </c>
      <c r="X154" t="s">
        <v>992</v>
      </c>
      <c r="Y154">
        <v>8</v>
      </c>
      <c r="Z154">
        <v>0</v>
      </c>
      <c r="AA154">
        <f>IF('Στατιστικά'!$C$6,1,IFERROR(INDEX('Στατιστικά'!$C$10:$C$83,MATCH(G154,'Στατιστικά'!$B$10:$B$83,0))*1,0))</f>
        <v>1</v>
      </c>
    </row>
    <row r="155" spans="1:27">
      <c r="A155" s="2">
        <v>46257</v>
      </c>
      <c r="B155" t="s">
        <v>591</v>
      </c>
      <c r="C155" t="s">
        <v>1</v>
      </c>
      <c r="D155" t="s">
        <v>1</v>
      </c>
      <c r="E155" t="s">
        <v>993</v>
      </c>
      <c r="F155" t="s">
        <v>488</v>
      </c>
      <c r="G155" t="s">
        <v>657</v>
      </c>
      <c r="H155" t="s">
        <v>657</v>
      </c>
      <c r="I155">
        <v>15</v>
      </c>
      <c r="J155">
        <v>3</v>
      </c>
      <c r="K155">
        <v>0</v>
      </c>
      <c r="L155">
        <v>1</v>
      </c>
      <c r="M155" t="s">
        <v>664</v>
      </c>
      <c r="N155" t="s">
        <v>1</v>
      </c>
      <c r="O155" t="s">
        <v>1</v>
      </c>
      <c r="P155" t="s">
        <v>4703</v>
      </c>
      <c r="Q155">
        <v>3</v>
      </c>
      <c r="R155" t="s">
        <v>79</v>
      </c>
      <c r="S155" t="s">
        <v>80</v>
      </c>
      <c r="T155" t="s">
        <v>994</v>
      </c>
      <c r="U155" s="3" t="s">
        <v>1</v>
      </c>
      <c r="V155" s="3" t="s">
        <v>995</v>
      </c>
      <c r="W155" s="3" t="s">
        <v>4704</v>
      </c>
      <c r="X155" t="s">
        <v>685</v>
      </c>
      <c r="Y155">
        <v>8</v>
      </c>
      <c r="Z155">
        <v>0</v>
      </c>
      <c r="AA155">
        <f>IF('Στατιστικά'!$C$6,1,IFERROR(INDEX('Στατιστικά'!$C$10:$C$83,MATCH(G155,'Στατιστικά'!$B$10:$B$83,0))*1,0))</f>
        <v>1</v>
      </c>
    </row>
    <row r="156" spans="1:27">
      <c r="A156" s="2">
        <v>46257</v>
      </c>
      <c r="B156" t="s">
        <v>286</v>
      </c>
      <c r="C156" t="s">
        <v>1</v>
      </c>
      <c r="D156" t="s">
        <v>1</v>
      </c>
      <c r="E156" t="s">
        <v>997</v>
      </c>
      <c r="F156" t="s">
        <v>217</v>
      </c>
      <c r="G156" t="s">
        <v>412</v>
      </c>
      <c r="H156" t="s">
        <v>998</v>
      </c>
      <c r="I156">
        <v>39</v>
      </c>
      <c r="J156">
        <v>11</v>
      </c>
      <c r="K156">
        <v>5</v>
      </c>
      <c r="L156">
        <v>1</v>
      </c>
      <c r="M156" t="s">
        <v>220</v>
      </c>
      <c r="N156" t="s">
        <v>999</v>
      </c>
      <c r="O156" t="s">
        <v>239</v>
      </c>
      <c r="Q156">
        <v>3</v>
      </c>
      <c r="R156" t="s">
        <v>79</v>
      </c>
      <c r="S156" t="s">
        <v>8</v>
      </c>
      <c r="T156" t="s">
        <v>994</v>
      </c>
      <c r="U156" s="3" t="s">
        <v>1</v>
      </c>
      <c r="V156" s="3" t="s">
        <v>1000</v>
      </c>
      <c r="W156" s="3" t="s">
        <v>1001</v>
      </c>
      <c r="X156" t="s">
        <v>719</v>
      </c>
      <c r="Y156">
        <v>8</v>
      </c>
      <c r="Z156">
        <v>0</v>
      </c>
      <c r="AA156">
        <f>IF('Στατιστικά'!$C$6,1,IFERROR(INDEX('Στατιστικά'!$C$10:$C$83,MATCH(G156,'Στατιστικά'!$B$10:$B$83,0))*1,0))</f>
        <v>1</v>
      </c>
    </row>
    <row r="157" spans="1:27">
      <c r="A157" s="2">
        <v>46257</v>
      </c>
      <c r="B157" t="s">
        <v>251</v>
      </c>
      <c r="C157" t="s">
        <v>1</v>
      </c>
      <c r="D157" t="s">
        <v>1</v>
      </c>
      <c r="E157" t="s">
        <v>1002</v>
      </c>
      <c r="F157" t="s">
        <v>1003</v>
      </c>
      <c r="G157" t="s">
        <v>1004</v>
      </c>
      <c r="H157" t="s">
        <v>1005</v>
      </c>
      <c r="I157">
        <v>52</v>
      </c>
      <c r="J157">
        <v>17</v>
      </c>
      <c r="K157">
        <v>6</v>
      </c>
      <c r="L157">
        <v>1</v>
      </c>
      <c r="M157" t="s">
        <v>1006</v>
      </c>
      <c r="N157" t="s">
        <v>1007</v>
      </c>
      <c r="O157" t="s">
        <v>239</v>
      </c>
      <c r="Q157">
        <v>3</v>
      </c>
      <c r="R157" t="s">
        <v>79</v>
      </c>
      <c r="S157" t="s">
        <v>107</v>
      </c>
      <c r="T157" t="s">
        <v>1</v>
      </c>
      <c r="U157" s="3" t="s">
        <v>1</v>
      </c>
      <c r="V157" s="3" t="s">
        <v>1008</v>
      </c>
      <c r="W157" s="3" t="s">
        <v>1009</v>
      </c>
      <c r="X157" t="s">
        <v>719</v>
      </c>
      <c r="Y157">
        <v>8</v>
      </c>
      <c r="Z157">
        <v>0</v>
      </c>
      <c r="AA157">
        <f>IF('Στατιστικά'!$C$6,1,IFERROR(INDEX('Στατιστικά'!$C$10:$C$83,MATCH(G157,'Στατιστικά'!$B$10:$B$83,0))*1,0))</f>
        <v>1</v>
      </c>
    </row>
    <row r="158" spans="1:27">
      <c r="A158" s="2">
        <v>46257</v>
      </c>
      <c r="B158" t="s">
        <v>251</v>
      </c>
      <c r="C158" t="s">
        <v>1</v>
      </c>
      <c r="D158" t="s">
        <v>1</v>
      </c>
      <c r="E158" t="s">
        <v>1010</v>
      </c>
      <c r="F158" t="s">
        <v>1003</v>
      </c>
      <c r="G158" t="s">
        <v>1004</v>
      </c>
      <c r="H158" t="s">
        <v>1005</v>
      </c>
      <c r="I158">
        <v>52</v>
      </c>
      <c r="J158">
        <v>17</v>
      </c>
      <c r="K158">
        <v>6</v>
      </c>
      <c r="L158">
        <v>1</v>
      </c>
      <c r="M158" t="s">
        <v>1011</v>
      </c>
      <c r="N158" t="s">
        <v>419</v>
      </c>
      <c r="O158" t="s">
        <v>239</v>
      </c>
      <c r="Q158">
        <v>3</v>
      </c>
      <c r="R158" t="s">
        <v>79</v>
      </c>
      <c r="S158" t="s">
        <v>107</v>
      </c>
      <c r="T158" t="s">
        <v>98</v>
      </c>
      <c r="U158" s="3" t="s">
        <v>1</v>
      </c>
      <c r="V158" s="3" t="s">
        <v>1012</v>
      </c>
      <c r="W158" s="3" t="s">
        <v>4538</v>
      </c>
      <c r="X158" t="s">
        <v>992</v>
      </c>
      <c r="Y158">
        <v>8</v>
      </c>
      <c r="Z158">
        <v>0</v>
      </c>
      <c r="AA158">
        <f>IF('Στατιστικά'!$C$6,1,IFERROR(INDEX('Στατιστικά'!$C$10:$C$83,MATCH(G158,'Στατιστικά'!$B$10:$B$83,0))*1,0))</f>
        <v>1</v>
      </c>
    </row>
    <row r="159" spans="1:27">
      <c r="A159" s="2">
        <v>46257</v>
      </c>
      <c r="B159" t="s">
        <v>167</v>
      </c>
      <c r="C159" t="s">
        <v>1</v>
      </c>
      <c r="D159" t="s">
        <v>1</v>
      </c>
      <c r="E159" t="s">
        <v>1014</v>
      </c>
      <c r="F159" t="s">
        <v>86</v>
      </c>
      <c r="G159" t="s">
        <v>111</v>
      </c>
      <c r="H159" t="s">
        <v>1015</v>
      </c>
      <c r="I159">
        <v>56</v>
      </c>
      <c r="J159">
        <v>13</v>
      </c>
      <c r="K159">
        <v>3</v>
      </c>
      <c r="L159">
        <v>1</v>
      </c>
      <c r="M159" t="s">
        <v>1016</v>
      </c>
      <c r="N159" t="s">
        <v>1017</v>
      </c>
      <c r="O159" t="s">
        <v>239</v>
      </c>
      <c r="Q159">
        <v>3</v>
      </c>
      <c r="R159" t="s">
        <v>79</v>
      </c>
      <c r="S159" t="s">
        <v>80</v>
      </c>
      <c r="T159" t="s">
        <v>98</v>
      </c>
      <c r="U159" s="3" t="s">
        <v>1</v>
      </c>
      <c r="V159" s="3" t="s">
        <v>1018</v>
      </c>
      <c r="W159" s="3" t="s">
        <v>1019</v>
      </c>
      <c r="X159" t="s">
        <v>567</v>
      </c>
      <c r="Y159">
        <v>8</v>
      </c>
      <c r="Z159">
        <v>0</v>
      </c>
      <c r="AA159">
        <f>IF('Στατιστικά'!$C$6,1,IFERROR(INDEX('Στατιστικά'!$C$10:$C$83,MATCH(G159,'Στατιστικά'!$B$10:$B$83,0))*1,0))</f>
        <v>1</v>
      </c>
    </row>
    <row r="160" spans="1:27">
      <c r="A160" s="2">
        <v>46257</v>
      </c>
      <c r="B160" t="s">
        <v>422</v>
      </c>
      <c r="C160" t="s">
        <v>1</v>
      </c>
      <c r="D160" t="s">
        <v>1</v>
      </c>
      <c r="E160" t="s">
        <v>1020</v>
      </c>
      <c r="F160" t="s">
        <v>38</v>
      </c>
      <c r="G160" t="s">
        <v>15</v>
      </c>
      <c r="H160" t="s">
        <v>827</v>
      </c>
      <c r="K160">
        <v>0</v>
      </c>
      <c r="L160">
        <v>0</v>
      </c>
      <c r="M160" t="s">
        <v>1</v>
      </c>
      <c r="N160" t="s">
        <v>1</v>
      </c>
      <c r="O160" t="s">
        <v>1</v>
      </c>
      <c r="P160">
        <v>0.01</v>
      </c>
      <c r="Q160">
        <v>3</v>
      </c>
      <c r="R160" t="s">
        <v>79</v>
      </c>
      <c r="S160" t="s">
        <v>58</v>
      </c>
      <c r="T160" t="s">
        <v>1021</v>
      </c>
      <c r="U160" s="3" t="s">
        <v>1</v>
      </c>
      <c r="V160" s="3" t="s">
        <v>1022</v>
      </c>
      <c r="W160" s="3" t="s">
        <v>1023</v>
      </c>
      <c r="X160" t="s">
        <v>685</v>
      </c>
      <c r="Y160">
        <v>8</v>
      </c>
      <c r="Z160">
        <v>0.01</v>
      </c>
      <c r="AA160">
        <f>IF('Στατιστικά'!$C$6,1,IFERROR(INDEX('Στατιστικά'!$C$10:$C$83,MATCH(G160,'Στατιστικά'!$B$10:$B$83,0))*1,0))</f>
        <v>1</v>
      </c>
    </row>
    <row r="161" spans="1:27">
      <c r="A161" s="2">
        <v>46257</v>
      </c>
      <c r="B161" t="s">
        <v>422</v>
      </c>
      <c r="C161" t="s">
        <v>62</v>
      </c>
      <c r="D161" t="s">
        <v>1</v>
      </c>
      <c r="E161" t="s">
        <v>1024</v>
      </c>
      <c r="F161" t="s">
        <v>44</v>
      </c>
      <c r="G161" t="s">
        <v>1025</v>
      </c>
      <c r="H161" t="s">
        <v>1026</v>
      </c>
      <c r="I161">
        <v>40</v>
      </c>
      <c r="J161">
        <v>13</v>
      </c>
      <c r="K161">
        <v>4</v>
      </c>
      <c r="L161">
        <v>2</v>
      </c>
      <c r="M161" t="s">
        <v>876</v>
      </c>
      <c r="N161" t="s">
        <v>1027</v>
      </c>
      <c r="O161" t="s">
        <v>239</v>
      </c>
      <c r="Q161">
        <v>3</v>
      </c>
      <c r="R161" t="s">
        <v>79</v>
      </c>
      <c r="S161" t="s">
        <v>80</v>
      </c>
      <c r="T161" t="s">
        <v>994</v>
      </c>
      <c r="U161" s="3" t="s">
        <v>1028</v>
      </c>
      <c r="V161" s="3" t="s">
        <v>1029</v>
      </c>
      <c r="W161" s="3" t="s">
        <v>1030</v>
      </c>
      <c r="X161" t="s">
        <v>719</v>
      </c>
      <c r="Y161">
        <v>8</v>
      </c>
      <c r="Z161">
        <v>0</v>
      </c>
      <c r="AA161">
        <f>IF('Στατιστικά'!$C$6,1,IFERROR(INDEX('Στατιστικά'!$C$10:$C$83,MATCH(G161,'Στατιστικά'!$B$10:$B$83,0))*1,0))</f>
        <v>1</v>
      </c>
    </row>
    <row r="162" spans="1:27">
      <c r="A162" s="2">
        <v>46257</v>
      </c>
      <c r="B162" t="s">
        <v>322</v>
      </c>
      <c r="C162" t="s">
        <v>1</v>
      </c>
      <c r="D162" t="s">
        <v>1</v>
      </c>
      <c r="E162" t="s">
        <v>1031</v>
      </c>
      <c r="F162" t="s">
        <v>1032</v>
      </c>
      <c r="G162" t="s">
        <v>724</v>
      </c>
      <c r="H162" t="s">
        <v>724</v>
      </c>
      <c r="I162">
        <v>40</v>
      </c>
      <c r="J162">
        <v>9</v>
      </c>
      <c r="K162">
        <v>0</v>
      </c>
      <c r="L162">
        <v>2</v>
      </c>
      <c r="M162" t="s">
        <v>725</v>
      </c>
      <c r="N162" t="s">
        <v>1033</v>
      </c>
      <c r="O162" t="s">
        <v>1</v>
      </c>
      <c r="Q162">
        <v>2</v>
      </c>
      <c r="R162" t="s">
        <v>17</v>
      </c>
      <c r="S162" t="s">
        <v>8</v>
      </c>
      <c r="T162" t="s">
        <v>1</v>
      </c>
      <c r="U162" s="3" t="s">
        <v>1</v>
      </c>
      <c r="V162" s="3" t="s">
        <v>1034</v>
      </c>
      <c r="W162" s="3" t="s">
        <v>1035</v>
      </c>
      <c r="X162" t="s">
        <v>719</v>
      </c>
      <c r="Y162">
        <v>8</v>
      </c>
      <c r="Z162">
        <v>0</v>
      </c>
      <c r="AA162">
        <f>IF('Στατιστικά'!$C$6,1,IFERROR(INDEX('Στατιστικά'!$C$10:$C$83,MATCH(G162,'Στατιστικά'!$B$10:$B$83,0))*1,0))</f>
        <v>1</v>
      </c>
    </row>
    <row r="163" spans="1:27">
      <c r="A163" s="2">
        <v>46256</v>
      </c>
      <c r="B163" t="s">
        <v>1036</v>
      </c>
      <c r="C163" t="s">
        <v>1</v>
      </c>
      <c r="D163" t="s">
        <v>1</v>
      </c>
      <c r="E163" t="s">
        <v>1037</v>
      </c>
      <c r="F163" t="s">
        <v>64</v>
      </c>
      <c r="G163" t="s">
        <v>54</v>
      </c>
      <c r="H163" t="s">
        <v>1038</v>
      </c>
      <c r="I163">
        <v>60</v>
      </c>
      <c r="J163">
        <v>9</v>
      </c>
      <c r="K163">
        <v>1</v>
      </c>
      <c r="L163">
        <v>1</v>
      </c>
      <c r="M163" t="s">
        <v>1039</v>
      </c>
      <c r="N163" t="s">
        <v>1040</v>
      </c>
      <c r="O163" t="s">
        <v>1</v>
      </c>
      <c r="Q163">
        <v>3</v>
      </c>
      <c r="R163" t="s">
        <v>79</v>
      </c>
      <c r="S163" t="s">
        <v>891</v>
      </c>
      <c r="T163" t="s">
        <v>98</v>
      </c>
      <c r="U163" s="3" t="s">
        <v>1</v>
      </c>
      <c r="V163" s="3" t="s">
        <v>1041</v>
      </c>
      <c r="W163" s="3" t="s">
        <v>1042</v>
      </c>
      <c r="X163" t="s">
        <v>791</v>
      </c>
      <c r="Y163">
        <v>8</v>
      </c>
      <c r="Z163">
        <v>0</v>
      </c>
      <c r="AA163">
        <f>IF('Στατιστικά'!$C$6,1,IFERROR(INDEX('Στατιστικά'!$C$10:$C$83,MATCH(G163,'Στατιστικά'!$B$10:$B$83,0))*1,0))</f>
        <v>1</v>
      </c>
    </row>
    <row r="164" spans="1:27">
      <c r="A164" s="2">
        <v>46256</v>
      </c>
      <c r="B164" t="s">
        <v>741</v>
      </c>
      <c r="C164" t="s">
        <v>1</v>
      </c>
      <c r="D164" t="s">
        <v>1</v>
      </c>
      <c r="E164" t="s">
        <v>1043</v>
      </c>
      <c r="F164" t="s">
        <v>53</v>
      </c>
      <c r="G164" t="s">
        <v>54</v>
      </c>
      <c r="H164" t="s">
        <v>1044</v>
      </c>
      <c r="I164">
        <v>60</v>
      </c>
      <c r="J164">
        <v>9</v>
      </c>
      <c r="K164">
        <v>0</v>
      </c>
      <c r="L164">
        <v>1</v>
      </c>
      <c r="M164" t="s">
        <v>1045</v>
      </c>
      <c r="N164" t="s">
        <v>1046</v>
      </c>
      <c r="O164" t="s">
        <v>1</v>
      </c>
      <c r="Q164">
        <v>3</v>
      </c>
      <c r="R164" t="s">
        <v>79</v>
      </c>
      <c r="S164" t="s">
        <v>107</v>
      </c>
      <c r="T164" t="s">
        <v>1047</v>
      </c>
      <c r="U164" s="3" t="s">
        <v>1</v>
      </c>
      <c r="V164" s="3" t="s">
        <v>1048</v>
      </c>
      <c r="W164" s="3" t="s">
        <v>4539</v>
      </c>
      <c r="X164" t="s">
        <v>719</v>
      </c>
      <c r="Y164">
        <v>8</v>
      </c>
      <c r="Z164">
        <v>0</v>
      </c>
      <c r="AA164">
        <f>IF('Στατιστικά'!$C$6,1,IFERROR(INDEX('Στατιστικά'!$C$10:$C$83,MATCH(G164,'Στατιστικά'!$B$10:$B$83,0))*1,0))</f>
        <v>1</v>
      </c>
    </row>
    <row r="165" spans="1:27">
      <c r="A165" s="2">
        <v>46256</v>
      </c>
      <c r="B165" t="s">
        <v>561</v>
      </c>
      <c r="C165" t="s">
        <v>1</v>
      </c>
      <c r="D165" t="s">
        <v>1</v>
      </c>
      <c r="E165" t="s">
        <v>1050</v>
      </c>
      <c r="F165" t="s">
        <v>160</v>
      </c>
      <c r="G165" t="s">
        <v>169</v>
      </c>
      <c r="H165" t="s">
        <v>1051</v>
      </c>
      <c r="I165">
        <v>28</v>
      </c>
      <c r="J165">
        <v>7</v>
      </c>
      <c r="K165">
        <v>0</v>
      </c>
      <c r="L165">
        <v>1</v>
      </c>
      <c r="M165" t="s">
        <v>1052</v>
      </c>
      <c r="N165" t="s">
        <v>262</v>
      </c>
      <c r="O165" t="s">
        <v>1</v>
      </c>
      <c r="Q165">
        <v>3</v>
      </c>
      <c r="R165" t="s">
        <v>79</v>
      </c>
      <c r="S165" t="s">
        <v>80</v>
      </c>
      <c r="T165" t="s">
        <v>1053</v>
      </c>
      <c r="U165" s="3" t="s">
        <v>1</v>
      </c>
      <c r="V165" s="3" t="s">
        <v>1054</v>
      </c>
      <c r="W165" s="3" t="s">
        <v>1055</v>
      </c>
      <c r="X165" t="s">
        <v>685</v>
      </c>
      <c r="Y165">
        <v>8</v>
      </c>
      <c r="Z165">
        <v>0</v>
      </c>
      <c r="AA165">
        <f>IF('Στατιστικά'!$C$6,1,IFERROR(INDEX('Στατιστικά'!$C$10:$C$83,MATCH(G165,'Στατιστικά'!$B$10:$B$83,0))*1,0))</f>
        <v>1</v>
      </c>
    </row>
    <row r="166" spans="1:27">
      <c r="A166" s="2">
        <v>46256</v>
      </c>
      <c r="B166" t="s">
        <v>561</v>
      </c>
      <c r="C166" t="s">
        <v>1</v>
      </c>
      <c r="D166" t="s">
        <v>1</v>
      </c>
      <c r="E166" t="s">
        <v>1056</v>
      </c>
      <c r="F166" t="s">
        <v>1057</v>
      </c>
      <c r="G166" t="s">
        <v>169</v>
      </c>
      <c r="H166" t="s">
        <v>1051</v>
      </c>
      <c r="I166">
        <v>28</v>
      </c>
      <c r="J166">
        <v>7</v>
      </c>
      <c r="K166">
        <v>0</v>
      </c>
      <c r="L166">
        <v>1</v>
      </c>
      <c r="M166" t="s">
        <v>1058</v>
      </c>
      <c r="N166" t="s">
        <v>1</v>
      </c>
      <c r="O166" t="s">
        <v>1</v>
      </c>
      <c r="Q166">
        <v>3</v>
      </c>
      <c r="R166" t="s">
        <v>79</v>
      </c>
      <c r="S166" t="s">
        <v>80</v>
      </c>
      <c r="T166" t="s">
        <v>1059</v>
      </c>
      <c r="U166" s="3" t="s">
        <v>1</v>
      </c>
      <c r="V166" s="3" t="s">
        <v>1060</v>
      </c>
      <c r="W166" s="3" t="s">
        <v>4540</v>
      </c>
      <c r="X166" t="s">
        <v>719</v>
      </c>
      <c r="Y166">
        <v>8</v>
      </c>
      <c r="Z166">
        <v>0</v>
      </c>
      <c r="AA166">
        <f>IF('Στατιστικά'!$C$6,1,IFERROR(INDEX('Στατιστικά'!$C$10:$C$83,MATCH(G166,'Στατιστικά'!$B$10:$B$83,0))*1,0))</f>
        <v>1</v>
      </c>
    </row>
    <row r="167" spans="1:27">
      <c r="A167" s="2">
        <v>46256</v>
      </c>
      <c r="B167" t="s">
        <v>1062</v>
      </c>
      <c r="C167" t="s">
        <v>1</v>
      </c>
      <c r="D167" t="s">
        <v>1</v>
      </c>
      <c r="E167" t="s">
        <v>1063</v>
      </c>
      <c r="F167" t="s">
        <v>1064</v>
      </c>
      <c r="G167" t="s">
        <v>152</v>
      </c>
      <c r="H167" t="s">
        <v>1065</v>
      </c>
      <c r="I167">
        <v>15</v>
      </c>
      <c r="J167">
        <v>4</v>
      </c>
      <c r="K167">
        <v>0</v>
      </c>
      <c r="L167">
        <v>0</v>
      </c>
      <c r="M167" t="s">
        <v>1066</v>
      </c>
      <c r="N167" t="s">
        <v>1067</v>
      </c>
      <c r="O167" t="s">
        <v>1</v>
      </c>
      <c r="P167" t="s">
        <v>4705</v>
      </c>
      <c r="Q167">
        <v>3</v>
      </c>
      <c r="R167" t="s">
        <v>79</v>
      </c>
      <c r="S167" t="s">
        <v>107</v>
      </c>
      <c r="T167" t="s">
        <v>1068</v>
      </c>
      <c r="U167" s="3" t="s">
        <v>1</v>
      </c>
      <c r="V167" s="3" t="s">
        <v>1069</v>
      </c>
      <c r="W167" s="3" t="s">
        <v>4706</v>
      </c>
      <c r="X167" t="s">
        <v>992</v>
      </c>
      <c r="Y167">
        <v>8</v>
      </c>
      <c r="Z167">
        <v>0</v>
      </c>
      <c r="AA167">
        <f>IF('Στατιστικά'!$C$6,1,IFERROR(INDEX('Στατιστικά'!$C$10:$C$83,MATCH(G167,'Στατιστικά'!$B$10:$B$83,0))*1,0))</f>
        <v>1</v>
      </c>
    </row>
    <row r="168" spans="1:27">
      <c r="A168" s="2">
        <v>46255</v>
      </c>
      <c r="B168" t="s">
        <v>158</v>
      </c>
      <c r="C168" t="s">
        <v>561</v>
      </c>
      <c r="D168" t="s">
        <v>1</v>
      </c>
      <c r="E168" t="s">
        <v>1071</v>
      </c>
      <c r="F168" t="s">
        <v>1003</v>
      </c>
      <c r="G168" t="s">
        <v>142</v>
      </c>
      <c r="H168" t="s">
        <v>1072</v>
      </c>
      <c r="I168">
        <v>48</v>
      </c>
      <c r="J168">
        <v>17</v>
      </c>
      <c r="K168">
        <v>4</v>
      </c>
      <c r="L168">
        <v>1</v>
      </c>
      <c r="M168" t="s">
        <v>1073</v>
      </c>
      <c r="N168" t="s">
        <v>1074</v>
      </c>
      <c r="O168" t="s">
        <v>1</v>
      </c>
      <c r="P168">
        <v>3</v>
      </c>
      <c r="Q168">
        <v>3</v>
      </c>
      <c r="R168" t="s">
        <v>79</v>
      </c>
      <c r="S168" t="s">
        <v>891</v>
      </c>
      <c r="T168" t="s">
        <v>1075</v>
      </c>
      <c r="U168" s="3" t="s">
        <v>1076</v>
      </c>
      <c r="V168" s="3" t="s">
        <v>1077</v>
      </c>
      <c r="W168" s="3" t="s">
        <v>1078</v>
      </c>
      <c r="X168" t="s">
        <v>1079</v>
      </c>
      <c r="Y168">
        <v>8</v>
      </c>
      <c r="Z168">
        <v>3</v>
      </c>
      <c r="AA168">
        <f>IF('Στατιστικά'!$C$6,1,IFERROR(INDEX('Στατιστικά'!$C$10:$C$83,MATCH(G168,'Στατιστικά'!$B$10:$B$83,0))*1,0))</f>
        <v>1</v>
      </c>
    </row>
    <row r="169" spans="1:27">
      <c r="A169" s="2">
        <v>46255</v>
      </c>
      <c r="B169" t="s">
        <v>300</v>
      </c>
      <c r="C169" t="s">
        <v>1</v>
      </c>
      <c r="D169" t="s">
        <v>1</v>
      </c>
      <c r="E169" t="s">
        <v>1080</v>
      </c>
      <c r="F169" t="s">
        <v>86</v>
      </c>
      <c r="G169" t="s">
        <v>152</v>
      </c>
      <c r="H169" t="s">
        <v>1081</v>
      </c>
      <c r="I169">
        <v>40</v>
      </c>
      <c r="J169">
        <v>12</v>
      </c>
      <c r="K169">
        <v>2</v>
      </c>
      <c r="L169">
        <v>0</v>
      </c>
      <c r="M169" t="s">
        <v>1082</v>
      </c>
      <c r="N169" t="s">
        <v>1083</v>
      </c>
      <c r="O169" t="s">
        <v>1</v>
      </c>
      <c r="Q169">
        <v>3</v>
      </c>
      <c r="R169" t="s">
        <v>79</v>
      </c>
      <c r="S169" t="s">
        <v>80</v>
      </c>
      <c r="T169" t="s">
        <v>1</v>
      </c>
      <c r="U169" s="3" t="s">
        <v>1</v>
      </c>
      <c r="V169" s="3" t="s">
        <v>1084</v>
      </c>
      <c r="W169" s="3" t="s">
        <v>1085</v>
      </c>
      <c r="X169" t="s">
        <v>719</v>
      </c>
      <c r="Y169">
        <v>8</v>
      </c>
      <c r="Z169">
        <v>0</v>
      </c>
      <c r="AA169">
        <f>IF('Στατιστικά'!$C$6,1,IFERROR(INDEX('Στατιστικά'!$C$10:$C$83,MATCH(G169,'Στατιστικά'!$B$10:$B$83,0))*1,0))</f>
        <v>1</v>
      </c>
    </row>
    <row r="170" spans="1:27">
      <c r="A170" s="2">
        <v>46255</v>
      </c>
      <c r="B170" t="s">
        <v>72</v>
      </c>
      <c r="C170" t="s">
        <v>62</v>
      </c>
      <c r="D170" t="s">
        <v>1</v>
      </c>
      <c r="E170" t="s">
        <v>1086</v>
      </c>
      <c r="F170" t="s">
        <v>324</v>
      </c>
      <c r="G170" t="s">
        <v>325</v>
      </c>
      <c r="H170" t="s">
        <v>1087</v>
      </c>
      <c r="I170">
        <v>33</v>
      </c>
      <c r="J170">
        <v>12</v>
      </c>
      <c r="K170">
        <v>9</v>
      </c>
      <c r="L170">
        <v>1</v>
      </c>
      <c r="M170" t="s">
        <v>664</v>
      </c>
      <c r="N170" t="s">
        <v>1088</v>
      </c>
      <c r="O170" t="s">
        <v>1</v>
      </c>
      <c r="P170">
        <v>50</v>
      </c>
      <c r="Q170">
        <v>3</v>
      </c>
      <c r="R170" t="s">
        <v>79</v>
      </c>
      <c r="S170" t="s">
        <v>891</v>
      </c>
      <c r="T170" t="s">
        <v>1089</v>
      </c>
      <c r="U170" s="3" t="s">
        <v>1090</v>
      </c>
      <c r="V170" s="3" t="s">
        <v>1091</v>
      </c>
      <c r="W170" s="3" t="s">
        <v>1092</v>
      </c>
      <c r="X170" t="s">
        <v>1079</v>
      </c>
      <c r="Y170">
        <v>8</v>
      </c>
      <c r="Z170">
        <v>50</v>
      </c>
      <c r="AA170">
        <f>IF('Στατιστικά'!$C$6,1,IFERROR(INDEX('Στατιστικά'!$C$10:$C$83,MATCH(G170,'Στατιστικά'!$B$10:$B$83,0))*1,0))</f>
        <v>1</v>
      </c>
    </row>
    <row r="171" spans="1:27">
      <c r="A171" s="2">
        <v>46255</v>
      </c>
      <c r="B171" t="s">
        <v>72</v>
      </c>
      <c r="C171" t="s">
        <v>1</v>
      </c>
      <c r="D171" t="s">
        <v>1</v>
      </c>
      <c r="E171" t="s">
        <v>1093</v>
      </c>
      <c r="F171" t="s">
        <v>160</v>
      </c>
      <c r="G171" t="s">
        <v>169</v>
      </c>
      <c r="H171" t="s">
        <v>1094</v>
      </c>
      <c r="I171">
        <v>32</v>
      </c>
      <c r="J171">
        <v>2</v>
      </c>
      <c r="K171">
        <v>2</v>
      </c>
      <c r="L171">
        <v>2</v>
      </c>
      <c r="M171" t="s">
        <v>1095</v>
      </c>
      <c r="N171" t="s">
        <v>1096</v>
      </c>
      <c r="O171" t="s">
        <v>1</v>
      </c>
      <c r="Q171">
        <v>2</v>
      </c>
      <c r="R171" t="s">
        <v>17</v>
      </c>
      <c r="S171" t="s">
        <v>47</v>
      </c>
      <c r="T171" t="s">
        <v>801</v>
      </c>
      <c r="U171" s="3" t="s">
        <v>1</v>
      </c>
      <c r="V171" s="3" t="s">
        <v>1097</v>
      </c>
      <c r="W171" s="3" t="s">
        <v>1098</v>
      </c>
      <c r="X171" t="s">
        <v>1099</v>
      </c>
      <c r="Y171">
        <v>8</v>
      </c>
      <c r="Z171">
        <v>0</v>
      </c>
      <c r="AA171">
        <f>IF('Στατιστικά'!$C$6,1,IFERROR(INDEX('Στατιστικά'!$C$10:$C$83,MATCH(G171,'Στατιστικά'!$B$10:$B$83,0))*1,0))</f>
        <v>1</v>
      </c>
    </row>
    <row r="172" spans="1:27">
      <c r="A172" s="2">
        <v>46255</v>
      </c>
      <c r="B172" t="s">
        <v>72</v>
      </c>
      <c r="C172" t="s">
        <v>1100</v>
      </c>
      <c r="D172" t="s">
        <v>1</v>
      </c>
      <c r="E172" t="s">
        <v>1101</v>
      </c>
      <c r="F172" t="s">
        <v>347</v>
      </c>
      <c r="G172" t="s">
        <v>1102</v>
      </c>
      <c r="H172" t="s">
        <v>1102</v>
      </c>
      <c r="I172">
        <v>33</v>
      </c>
      <c r="J172">
        <v>12</v>
      </c>
      <c r="K172">
        <v>6</v>
      </c>
      <c r="L172">
        <v>1</v>
      </c>
      <c r="M172" t="s">
        <v>1103</v>
      </c>
      <c r="N172" t="s">
        <v>1</v>
      </c>
      <c r="O172" t="s">
        <v>1</v>
      </c>
      <c r="P172">
        <v>50</v>
      </c>
      <c r="Q172">
        <v>3</v>
      </c>
      <c r="R172" t="s">
        <v>79</v>
      </c>
      <c r="S172" t="s">
        <v>58</v>
      </c>
      <c r="T172" t="s">
        <v>1104</v>
      </c>
      <c r="U172" s="3" t="s">
        <v>1105</v>
      </c>
      <c r="V172" s="3" t="s">
        <v>1106</v>
      </c>
      <c r="W172" s="3" t="s">
        <v>1107</v>
      </c>
      <c r="X172" t="s">
        <v>791</v>
      </c>
      <c r="Y172">
        <v>8</v>
      </c>
      <c r="Z172">
        <v>50</v>
      </c>
      <c r="AA172">
        <f>IF('Στατιστικά'!$C$6,1,IFERROR(INDEX('Στατιστικά'!$C$10:$C$83,MATCH(G172,'Στατιστικά'!$B$10:$B$83,0))*1,0))</f>
        <v>1</v>
      </c>
    </row>
    <row r="173" spans="1:27">
      <c r="A173" s="2">
        <v>46255</v>
      </c>
      <c r="B173" t="s">
        <v>72</v>
      </c>
      <c r="C173" t="s">
        <v>1</v>
      </c>
      <c r="D173" t="s">
        <v>1</v>
      </c>
      <c r="E173" t="s">
        <v>1108</v>
      </c>
      <c r="F173" t="s">
        <v>347</v>
      </c>
      <c r="G173" t="s">
        <v>1102</v>
      </c>
      <c r="H173" t="s">
        <v>1102</v>
      </c>
      <c r="I173">
        <v>26</v>
      </c>
      <c r="J173">
        <v>9</v>
      </c>
      <c r="M173" t="s">
        <v>1109</v>
      </c>
      <c r="N173" t="s">
        <v>1110</v>
      </c>
      <c r="O173" t="s">
        <v>1</v>
      </c>
      <c r="Q173">
        <v>3</v>
      </c>
      <c r="R173" t="s">
        <v>79</v>
      </c>
      <c r="S173" t="s">
        <v>8</v>
      </c>
      <c r="T173" t="s">
        <v>1111</v>
      </c>
      <c r="U173" s="3" t="s">
        <v>1112</v>
      </c>
      <c r="V173" s="3" t="s">
        <v>1113</v>
      </c>
      <c r="W173" s="3" t="s">
        <v>1114</v>
      </c>
      <c r="X173" t="s">
        <v>1115</v>
      </c>
      <c r="Y173">
        <v>8</v>
      </c>
      <c r="Z173">
        <v>0</v>
      </c>
      <c r="AA173">
        <f>IF('Στατιστικά'!$C$6,1,IFERROR(INDEX('Στατιστικά'!$C$10:$C$83,MATCH(G173,'Στατιστικά'!$B$10:$B$83,0))*1,0))</f>
        <v>1</v>
      </c>
    </row>
    <row r="174" spans="1:27">
      <c r="A174" s="2">
        <v>46255</v>
      </c>
      <c r="B174" t="s">
        <v>72</v>
      </c>
      <c r="C174" t="s">
        <v>1100</v>
      </c>
      <c r="D174" t="s">
        <v>1</v>
      </c>
      <c r="E174" t="s">
        <v>1108</v>
      </c>
      <c r="F174" t="s">
        <v>324</v>
      </c>
      <c r="G174" t="s">
        <v>325</v>
      </c>
      <c r="H174" t="s">
        <v>1102</v>
      </c>
      <c r="I174">
        <v>33</v>
      </c>
      <c r="J174">
        <v>12</v>
      </c>
      <c r="K174">
        <v>6</v>
      </c>
      <c r="L174">
        <v>1</v>
      </c>
      <c r="M174" t="s">
        <v>1116</v>
      </c>
      <c r="N174" t="s">
        <v>1088</v>
      </c>
      <c r="O174" t="s">
        <v>1</v>
      </c>
      <c r="P174">
        <v>50</v>
      </c>
      <c r="Q174">
        <v>3</v>
      </c>
      <c r="R174" t="s">
        <v>79</v>
      </c>
      <c r="S174" t="s">
        <v>891</v>
      </c>
      <c r="T174" t="s">
        <v>1117</v>
      </c>
      <c r="U174" s="3" t="s">
        <v>1118</v>
      </c>
      <c r="V174" s="3" t="s">
        <v>1119</v>
      </c>
      <c r="W174" s="3" t="s">
        <v>1120</v>
      </c>
      <c r="X174" t="s">
        <v>1099</v>
      </c>
      <c r="Y174">
        <v>8</v>
      </c>
      <c r="Z174">
        <v>50</v>
      </c>
      <c r="AA174">
        <f>IF('Στατιστικά'!$C$6,1,IFERROR(INDEX('Στατιστικά'!$C$10:$C$83,MATCH(G174,'Στατιστικά'!$B$10:$B$83,0))*1,0))</f>
        <v>1</v>
      </c>
    </row>
    <row r="175" spans="1:27">
      <c r="A175" s="2">
        <v>46255</v>
      </c>
      <c r="B175" t="s">
        <v>679</v>
      </c>
      <c r="C175" t="s">
        <v>1</v>
      </c>
      <c r="D175" t="s">
        <v>1</v>
      </c>
      <c r="E175" t="s">
        <v>1121</v>
      </c>
      <c r="F175" t="s">
        <v>44</v>
      </c>
      <c r="G175" t="s">
        <v>94</v>
      </c>
      <c r="H175" t="s">
        <v>1122</v>
      </c>
      <c r="I175">
        <v>30</v>
      </c>
      <c r="J175">
        <v>11</v>
      </c>
      <c r="K175">
        <v>1</v>
      </c>
      <c r="L175">
        <v>1</v>
      </c>
      <c r="M175" t="s">
        <v>1123</v>
      </c>
      <c r="N175" t="s">
        <v>1124</v>
      </c>
      <c r="O175" t="s">
        <v>106</v>
      </c>
      <c r="Q175">
        <v>3</v>
      </c>
      <c r="R175" t="s">
        <v>79</v>
      </c>
      <c r="S175" t="s">
        <v>80</v>
      </c>
      <c r="T175" t="s">
        <v>1125</v>
      </c>
      <c r="U175" s="3" t="s">
        <v>1</v>
      </c>
      <c r="V175" s="3" t="s">
        <v>1126</v>
      </c>
      <c r="W175" s="3" t="s">
        <v>1127</v>
      </c>
      <c r="X175" t="s">
        <v>791</v>
      </c>
      <c r="Y175">
        <v>8</v>
      </c>
      <c r="Z175">
        <v>0</v>
      </c>
      <c r="AA175">
        <f>IF('Στατιστικά'!$C$6,1,IFERROR(INDEX('Στατιστικά'!$C$10:$C$83,MATCH(G175,'Στατιστικά'!$B$10:$B$83,0))*1,0))</f>
        <v>1</v>
      </c>
    </row>
    <row r="176" spans="1:27">
      <c r="A176" s="2">
        <v>46255</v>
      </c>
      <c r="B176" t="s">
        <v>679</v>
      </c>
      <c r="C176" t="s">
        <v>1</v>
      </c>
      <c r="D176" t="s">
        <v>1</v>
      </c>
      <c r="E176" t="s">
        <v>1128</v>
      </c>
      <c r="F176" t="s">
        <v>450</v>
      </c>
      <c r="G176" t="s">
        <v>94</v>
      </c>
      <c r="H176" t="s">
        <v>95</v>
      </c>
      <c r="I176">
        <v>30</v>
      </c>
      <c r="J176">
        <v>11</v>
      </c>
      <c r="K176">
        <v>1</v>
      </c>
      <c r="L176">
        <v>1</v>
      </c>
      <c r="M176" t="s">
        <v>1129</v>
      </c>
      <c r="N176" t="s">
        <v>1</v>
      </c>
      <c r="O176" t="s">
        <v>106</v>
      </c>
      <c r="Q176">
        <v>3</v>
      </c>
      <c r="R176" t="s">
        <v>79</v>
      </c>
      <c r="S176" t="s">
        <v>80</v>
      </c>
      <c r="T176" t="s">
        <v>1130</v>
      </c>
      <c r="U176" s="3" t="s">
        <v>1</v>
      </c>
      <c r="V176" s="3" t="s">
        <v>1131</v>
      </c>
      <c r="W176" s="3" t="s">
        <v>1132</v>
      </c>
      <c r="X176" t="s">
        <v>992</v>
      </c>
      <c r="Y176">
        <v>8</v>
      </c>
      <c r="Z176">
        <v>0</v>
      </c>
      <c r="AA176">
        <f>IF('Στατιστικά'!$C$6,1,IFERROR(INDEX('Στατιστικά'!$C$10:$C$83,MATCH(G176,'Στατιστικά'!$B$10:$B$83,0))*1,0))</f>
        <v>1</v>
      </c>
    </row>
    <row r="177" spans="1:27">
      <c r="A177" s="2">
        <v>46255</v>
      </c>
      <c r="B177" t="s">
        <v>182</v>
      </c>
      <c r="C177" t="s">
        <v>1</v>
      </c>
      <c r="D177" t="s">
        <v>1</v>
      </c>
      <c r="E177" t="s">
        <v>1133</v>
      </c>
      <c r="F177" t="s">
        <v>217</v>
      </c>
      <c r="G177" t="s">
        <v>412</v>
      </c>
      <c r="H177" t="s">
        <v>1</v>
      </c>
      <c r="I177">
        <v>42</v>
      </c>
      <c r="J177">
        <v>14</v>
      </c>
      <c r="K177">
        <v>1</v>
      </c>
      <c r="L177">
        <v>1</v>
      </c>
      <c r="M177" t="s">
        <v>1134</v>
      </c>
      <c r="N177" t="s">
        <v>419</v>
      </c>
      <c r="O177" t="s">
        <v>1</v>
      </c>
      <c r="Q177">
        <v>3</v>
      </c>
      <c r="R177" t="s">
        <v>79</v>
      </c>
      <c r="S177" t="s">
        <v>8</v>
      </c>
      <c r="T177" t="s">
        <v>1</v>
      </c>
      <c r="U177" s="3" t="s">
        <v>1135</v>
      </c>
      <c r="V177" s="3" t="s">
        <v>1136</v>
      </c>
      <c r="W177" s="3" t="s">
        <v>1137</v>
      </c>
      <c r="X177" t="s">
        <v>1099</v>
      </c>
      <c r="Y177">
        <v>8</v>
      </c>
      <c r="Z177">
        <v>0</v>
      </c>
      <c r="AA177">
        <f>IF('Στατιστικά'!$C$6,1,IFERROR(INDEX('Στατιστικά'!$C$10:$C$83,MATCH(G177,'Στατιστικά'!$B$10:$B$83,0))*1,0))</f>
        <v>1</v>
      </c>
    </row>
    <row r="178" spans="1:27">
      <c r="A178" s="2">
        <v>46255</v>
      </c>
      <c r="B178" t="s">
        <v>1138</v>
      </c>
      <c r="C178" t="s">
        <v>1</v>
      </c>
      <c r="D178" t="s">
        <v>1</v>
      </c>
      <c r="E178" t="s">
        <v>1139</v>
      </c>
      <c r="F178" t="s">
        <v>806</v>
      </c>
      <c r="G178" t="s">
        <v>1140</v>
      </c>
      <c r="H178" t="s">
        <v>1141</v>
      </c>
      <c r="I178">
        <v>21</v>
      </c>
      <c r="J178">
        <v>7</v>
      </c>
      <c r="K178">
        <v>0</v>
      </c>
      <c r="L178">
        <v>1</v>
      </c>
      <c r="M178" t="s">
        <v>1</v>
      </c>
      <c r="N178" t="s">
        <v>1142</v>
      </c>
      <c r="O178" t="s">
        <v>1</v>
      </c>
      <c r="P178" t="s">
        <v>4707</v>
      </c>
      <c r="Q178">
        <v>3</v>
      </c>
      <c r="R178" t="s">
        <v>79</v>
      </c>
      <c r="S178" t="s">
        <v>80</v>
      </c>
      <c r="T178" t="s">
        <v>1143</v>
      </c>
      <c r="U178" s="3" t="s">
        <v>1</v>
      </c>
      <c r="V178" s="3" t="s">
        <v>1144</v>
      </c>
      <c r="W178" s="3" t="s">
        <v>4708</v>
      </c>
      <c r="X178" t="s">
        <v>992</v>
      </c>
      <c r="Y178">
        <v>8</v>
      </c>
      <c r="Z178">
        <v>0</v>
      </c>
      <c r="AA178">
        <f>IF('Στατιστικά'!$C$6,1,IFERROR(INDEX('Στατιστικά'!$C$10:$C$83,MATCH(G178,'Στατιστικά'!$B$10:$B$83,0))*1,0))</f>
        <v>1</v>
      </c>
    </row>
    <row r="179" spans="1:27">
      <c r="A179" s="2">
        <v>46255</v>
      </c>
      <c r="B179" t="s">
        <v>1138</v>
      </c>
      <c r="C179" t="s">
        <v>1</v>
      </c>
      <c r="D179" t="s">
        <v>1</v>
      </c>
      <c r="E179" t="s">
        <v>1139</v>
      </c>
      <c r="F179" t="s">
        <v>806</v>
      </c>
      <c r="G179" t="s">
        <v>1146</v>
      </c>
      <c r="H179" t="s">
        <v>1147</v>
      </c>
      <c r="I179">
        <v>21</v>
      </c>
      <c r="J179">
        <v>7</v>
      </c>
      <c r="K179">
        <v>0</v>
      </c>
      <c r="L179">
        <v>1</v>
      </c>
      <c r="M179" t="s">
        <v>1148</v>
      </c>
      <c r="N179" t="s">
        <v>296</v>
      </c>
      <c r="O179" t="s">
        <v>1</v>
      </c>
      <c r="Q179">
        <v>3</v>
      </c>
      <c r="R179" t="s">
        <v>79</v>
      </c>
      <c r="S179" t="s">
        <v>80</v>
      </c>
      <c r="T179" t="s">
        <v>1143</v>
      </c>
      <c r="U179" s="3" t="s">
        <v>1</v>
      </c>
      <c r="V179" s="3" t="s">
        <v>1149</v>
      </c>
      <c r="W179" s="3" t="s">
        <v>4541</v>
      </c>
      <c r="X179" t="s">
        <v>992</v>
      </c>
      <c r="Y179">
        <v>8</v>
      </c>
      <c r="Z179">
        <v>0</v>
      </c>
      <c r="AA179">
        <f>IF('Στατιστικά'!$C$6,1,IFERROR(INDEX('Στατιστικά'!$C$10:$C$83,MATCH(G179,'Στατιστικά'!$B$10:$B$83,0))*1,0))</f>
        <v>1</v>
      </c>
    </row>
    <row r="180" spans="1:27">
      <c r="A180" s="2">
        <v>46255</v>
      </c>
      <c r="B180" t="s">
        <v>1</v>
      </c>
      <c r="C180" t="s">
        <v>1</v>
      </c>
      <c r="D180" t="s">
        <v>1</v>
      </c>
      <c r="E180" t="s">
        <v>1151</v>
      </c>
      <c r="F180" t="s">
        <v>1152</v>
      </c>
      <c r="G180" t="s">
        <v>169</v>
      </c>
      <c r="H180" t="s">
        <v>1153</v>
      </c>
      <c r="I180">
        <v>32</v>
      </c>
      <c r="J180">
        <v>2</v>
      </c>
      <c r="K180">
        <v>4</v>
      </c>
      <c r="L180">
        <v>2</v>
      </c>
      <c r="M180" t="s">
        <v>1154</v>
      </c>
      <c r="N180" t="s">
        <v>1</v>
      </c>
      <c r="O180" t="s">
        <v>1</v>
      </c>
      <c r="Q180">
        <v>2</v>
      </c>
      <c r="R180" t="s">
        <v>17</v>
      </c>
      <c r="S180" t="s">
        <v>1</v>
      </c>
      <c r="T180" t="s">
        <v>1</v>
      </c>
      <c r="U180" s="3" t="s">
        <v>1</v>
      </c>
      <c r="V180" s="3" t="s">
        <v>1155</v>
      </c>
      <c r="W180" s="3" t="s">
        <v>1156</v>
      </c>
      <c r="X180" t="s">
        <v>719</v>
      </c>
      <c r="Y180">
        <v>8</v>
      </c>
      <c r="Z180">
        <v>0</v>
      </c>
      <c r="AA180">
        <f>IF('Στατιστικά'!$C$6,1,IFERROR(INDEX('Στατιστικά'!$C$10:$C$83,MATCH(G180,'Στατιστικά'!$B$10:$B$83,0))*1,0))</f>
        <v>1</v>
      </c>
    </row>
    <row r="181" spans="1:27">
      <c r="A181" s="2">
        <v>46255</v>
      </c>
      <c r="B181" t="s">
        <v>1</v>
      </c>
      <c r="C181" t="s">
        <v>1</v>
      </c>
      <c r="D181" t="s">
        <v>1</v>
      </c>
      <c r="E181" t="s">
        <v>1157</v>
      </c>
      <c r="F181" t="s">
        <v>332</v>
      </c>
      <c r="G181" t="s">
        <v>412</v>
      </c>
      <c r="H181" t="s">
        <v>998</v>
      </c>
      <c r="I181">
        <v>58</v>
      </c>
      <c r="J181">
        <v>22</v>
      </c>
      <c r="K181">
        <v>4</v>
      </c>
      <c r="L181">
        <v>1</v>
      </c>
      <c r="M181" t="s">
        <v>1158</v>
      </c>
      <c r="N181" t="s">
        <v>419</v>
      </c>
      <c r="O181" t="s">
        <v>1</v>
      </c>
      <c r="Q181">
        <v>3</v>
      </c>
      <c r="R181" t="s">
        <v>79</v>
      </c>
      <c r="S181" t="s">
        <v>8</v>
      </c>
      <c r="T181" t="s">
        <v>1</v>
      </c>
      <c r="U181" s="3" t="s">
        <v>1159</v>
      </c>
      <c r="V181" s="3" t="s">
        <v>1160</v>
      </c>
      <c r="W181" s="3" t="s">
        <v>1161</v>
      </c>
      <c r="X181" t="s">
        <v>1162</v>
      </c>
      <c r="Y181">
        <v>8</v>
      </c>
      <c r="Z181">
        <v>0</v>
      </c>
      <c r="AA181">
        <f>IF('Στατιστικά'!$C$6,1,IFERROR(INDEX('Στατιστικά'!$C$10:$C$83,MATCH(G181,'Στατιστικά'!$B$10:$B$83,0))*1,0))</f>
        <v>1</v>
      </c>
    </row>
    <row r="182" spans="1:27">
      <c r="A182" s="2">
        <v>46254</v>
      </c>
      <c r="B182" t="s">
        <v>72</v>
      </c>
      <c r="C182" t="s">
        <v>1163</v>
      </c>
      <c r="D182" t="s">
        <v>1</v>
      </c>
      <c r="E182" t="s">
        <v>1164</v>
      </c>
      <c r="F182" t="s">
        <v>141</v>
      </c>
      <c r="G182" t="s">
        <v>1004</v>
      </c>
      <c r="H182" t="s">
        <v>1165</v>
      </c>
      <c r="I182">
        <v>35</v>
      </c>
      <c r="J182">
        <v>9</v>
      </c>
      <c r="K182">
        <v>3</v>
      </c>
      <c r="L182">
        <v>1</v>
      </c>
      <c r="M182" t="s">
        <v>1011</v>
      </c>
      <c r="N182" t="s">
        <v>1</v>
      </c>
      <c r="O182" t="s">
        <v>1</v>
      </c>
      <c r="Q182">
        <v>3</v>
      </c>
      <c r="R182" t="s">
        <v>79</v>
      </c>
      <c r="S182" t="s">
        <v>891</v>
      </c>
      <c r="T182" t="s">
        <v>1</v>
      </c>
      <c r="U182" s="3" t="s">
        <v>1</v>
      </c>
      <c r="V182" s="3" t="s">
        <v>1166</v>
      </c>
      <c r="W182" s="3" t="s">
        <v>1167</v>
      </c>
      <c r="X182" t="s">
        <v>992</v>
      </c>
      <c r="Y182">
        <v>8</v>
      </c>
      <c r="Z182">
        <v>0</v>
      </c>
      <c r="AA182">
        <f>IF('Στατιστικά'!$C$6,1,IFERROR(INDEX('Στατιστικά'!$C$10:$C$83,MATCH(G182,'Στατιστικά'!$B$10:$B$83,0))*1,0))</f>
        <v>1</v>
      </c>
    </row>
    <row r="183" spans="1:27">
      <c r="A183" s="2">
        <v>46254</v>
      </c>
      <c r="B183" t="s">
        <v>417</v>
      </c>
      <c r="C183" t="s">
        <v>51</v>
      </c>
      <c r="D183" t="s">
        <v>1</v>
      </c>
      <c r="E183" t="s">
        <v>1168</v>
      </c>
      <c r="F183" t="s">
        <v>86</v>
      </c>
      <c r="G183" t="s">
        <v>1169</v>
      </c>
      <c r="H183" t="s">
        <v>85</v>
      </c>
      <c r="I183">
        <v>18</v>
      </c>
      <c r="J183">
        <v>7</v>
      </c>
      <c r="K183">
        <v>0</v>
      </c>
      <c r="L183">
        <v>1</v>
      </c>
      <c r="M183" t="s">
        <v>1170</v>
      </c>
      <c r="N183" t="s">
        <v>1171</v>
      </c>
      <c r="O183" t="s">
        <v>1</v>
      </c>
      <c r="P183">
        <v>1</v>
      </c>
      <c r="Q183">
        <v>2</v>
      </c>
      <c r="R183" t="s">
        <v>17</v>
      </c>
      <c r="S183" t="s">
        <v>80</v>
      </c>
      <c r="T183" t="s">
        <v>1172</v>
      </c>
      <c r="U183" s="3" t="s">
        <v>1</v>
      </c>
      <c r="V183" s="3" t="s">
        <v>1173</v>
      </c>
      <c r="W183" s="3" t="s">
        <v>1174</v>
      </c>
      <c r="X183" t="s">
        <v>1162</v>
      </c>
      <c r="Y183">
        <v>8</v>
      </c>
      <c r="Z183">
        <v>1</v>
      </c>
      <c r="AA183">
        <f>IF('Στατιστικά'!$C$6,1,IFERROR(INDEX('Στατιστικά'!$C$10:$C$83,MATCH(G183,'Στατιστικά'!$B$10:$B$83,0))*1,0))</f>
        <v>1</v>
      </c>
    </row>
    <row r="184" spans="1:27">
      <c r="A184" s="2">
        <v>46254</v>
      </c>
      <c r="B184" t="s">
        <v>182</v>
      </c>
      <c r="C184" t="s">
        <v>1</v>
      </c>
      <c r="D184" t="s">
        <v>1</v>
      </c>
      <c r="E184" t="s">
        <v>1175</v>
      </c>
      <c r="F184" t="s">
        <v>86</v>
      </c>
      <c r="G184" t="s">
        <v>87</v>
      </c>
      <c r="H184" t="s">
        <v>1</v>
      </c>
      <c r="I184">
        <v>18</v>
      </c>
      <c r="J184">
        <v>6</v>
      </c>
      <c r="L184">
        <v>1</v>
      </c>
      <c r="M184" t="s">
        <v>1066</v>
      </c>
      <c r="N184" t="s">
        <v>1</v>
      </c>
      <c r="O184" t="s">
        <v>1</v>
      </c>
      <c r="P184">
        <v>10</v>
      </c>
      <c r="Q184">
        <v>3</v>
      </c>
      <c r="R184" t="s">
        <v>79</v>
      </c>
      <c r="S184" t="s">
        <v>107</v>
      </c>
      <c r="T184" t="s">
        <v>1</v>
      </c>
      <c r="U184" s="3" t="s">
        <v>1</v>
      </c>
      <c r="V184" s="3" t="s">
        <v>1176</v>
      </c>
      <c r="W184" s="3" t="s">
        <v>4542</v>
      </c>
      <c r="X184" t="s">
        <v>761</v>
      </c>
      <c r="Y184">
        <v>8</v>
      </c>
      <c r="Z184">
        <v>0</v>
      </c>
      <c r="AA184">
        <f>IF('Στατιστικά'!$C$6,1,IFERROR(INDEX('Στατιστικά'!$C$10:$C$83,MATCH(G184,'Στατιστικά'!$B$10:$B$83,0))*1,0))</f>
        <v>1</v>
      </c>
    </row>
    <row r="185" spans="1:27">
      <c r="A185" s="2">
        <v>46254</v>
      </c>
      <c r="B185" t="s">
        <v>330</v>
      </c>
      <c r="C185" t="s">
        <v>1178</v>
      </c>
      <c r="D185" t="s">
        <v>1</v>
      </c>
      <c r="E185" t="s">
        <v>1179</v>
      </c>
      <c r="F185" t="s">
        <v>3</v>
      </c>
      <c r="G185" t="s">
        <v>601</v>
      </c>
      <c r="H185" t="s">
        <v>1180</v>
      </c>
      <c r="I185">
        <v>25</v>
      </c>
      <c r="J185">
        <v>6</v>
      </c>
      <c r="K185">
        <v>1</v>
      </c>
      <c r="L185">
        <v>1</v>
      </c>
      <c r="M185" t="s">
        <v>1181</v>
      </c>
      <c r="N185" t="s">
        <v>1</v>
      </c>
      <c r="O185" t="s">
        <v>1</v>
      </c>
      <c r="P185" t="s">
        <v>4709</v>
      </c>
      <c r="Q185">
        <v>3</v>
      </c>
      <c r="R185" t="s">
        <v>79</v>
      </c>
      <c r="S185" t="s">
        <v>107</v>
      </c>
      <c r="T185" t="s">
        <v>1182</v>
      </c>
      <c r="U185" s="3" t="s">
        <v>1</v>
      </c>
      <c r="V185" s="3" t="s">
        <v>1183</v>
      </c>
      <c r="W185" s="3" t="s">
        <v>4710</v>
      </c>
      <c r="X185" t="s">
        <v>719</v>
      </c>
      <c r="Y185">
        <v>8</v>
      </c>
      <c r="Z185">
        <v>0</v>
      </c>
      <c r="AA185">
        <f>IF('Στατιστικά'!$C$6,1,IFERROR(INDEX('Στατιστικά'!$C$10:$C$83,MATCH(G185,'Στατιστικά'!$B$10:$B$83,0))*1,0))</f>
        <v>1</v>
      </c>
    </row>
    <row r="186" spans="1:27">
      <c r="A186" s="2">
        <v>46253</v>
      </c>
      <c r="B186" t="s">
        <v>62</v>
      </c>
      <c r="C186" t="s">
        <v>1</v>
      </c>
      <c r="D186" t="s">
        <v>1</v>
      </c>
      <c r="E186" t="s">
        <v>1185</v>
      </c>
      <c r="F186" t="s">
        <v>44</v>
      </c>
      <c r="G186" t="s">
        <v>1186</v>
      </c>
      <c r="H186" t="s">
        <v>1187</v>
      </c>
      <c r="I186">
        <v>25</v>
      </c>
      <c r="J186">
        <v>3</v>
      </c>
      <c r="K186">
        <v>3</v>
      </c>
      <c r="L186">
        <v>1</v>
      </c>
      <c r="M186" t="s">
        <v>176</v>
      </c>
      <c r="N186" t="s">
        <v>1</v>
      </c>
      <c r="O186" t="s">
        <v>1</v>
      </c>
      <c r="P186" t="s">
        <v>4711</v>
      </c>
      <c r="Q186">
        <v>2</v>
      </c>
      <c r="R186" t="s">
        <v>17</v>
      </c>
      <c r="S186" t="s">
        <v>8</v>
      </c>
      <c r="T186" t="s">
        <v>98</v>
      </c>
      <c r="U186" s="3" t="s">
        <v>1</v>
      </c>
      <c r="V186" s="3" t="s">
        <v>1188</v>
      </c>
      <c r="W186" s="3" t="s">
        <v>4712</v>
      </c>
      <c r="X186" t="s">
        <v>791</v>
      </c>
      <c r="Y186">
        <v>8</v>
      </c>
      <c r="Z186">
        <v>0</v>
      </c>
      <c r="AA186">
        <f>IF('Στατιστικά'!$C$6,1,IFERROR(INDEX('Στατιστικά'!$C$10:$C$83,MATCH(G186,'Στατιστικά'!$B$10:$B$83,0))*1,0))</f>
        <v>1</v>
      </c>
    </row>
    <row r="187" spans="1:27">
      <c r="A187" s="2">
        <v>46253</v>
      </c>
      <c r="B187" t="s">
        <v>62</v>
      </c>
      <c r="C187" t="s">
        <v>1</v>
      </c>
      <c r="D187" t="s">
        <v>1</v>
      </c>
      <c r="E187" t="s">
        <v>1185</v>
      </c>
      <c r="F187" t="s">
        <v>86</v>
      </c>
      <c r="G187" t="s">
        <v>1169</v>
      </c>
      <c r="H187" t="s">
        <v>1190</v>
      </c>
      <c r="I187">
        <v>25</v>
      </c>
      <c r="J187">
        <v>3</v>
      </c>
      <c r="K187">
        <v>2</v>
      </c>
      <c r="L187">
        <v>1</v>
      </c>
      <c r="M187" t="s">
        <v>876</v>
      </c>
      <c r="N187" t="s">
        <v>1</v>
      </c>
      <c r="O187" t="s">
        <v>1</v>
      </c>
      <c r="P187" t="s">
        <v>4713</v>
      </c>
      <c r="Q187">
        <v>2</v>
      </c>
      <c r="R187" t="s">
        <v>17</v>
      </c>
      <c r="S187" t="s">
        <v>8</v>
      </c>
      <c r="T187" t="s">
        <v>1191</v>
      </c>
      <c r="U187" s="3" t="s">
        <v>1</v>
      </c>
      <c r="V187" s="3" t="s">
        <v>1192</v>
      </c>
      <c r="W187" s="3" t="s">
        <v>4714</v>
      </c>
      <c r="X187" t="s">
        <v>791</v>
      </c>
      <c r="Y187">
        <v>8</v>
      </c>
      <c r="Z187">
        <v>0</v>
      </c>
      <c r="AA187">
        <f>IF('Στατιστικά'!$C$6,1,IFERROR(INDEX('Στατιστικά'!$C$10:$C$83,MATCH(G187,'Στατιστικά'!$B$10:$B$83,0))*1,0))</f>
        <v>1</v>
      </c>
    </row>
    <row r="188" spans="1:27">
      <c r="A188" s="2">
        <v>46253</v>
      </c>
      <c r="B188" t="s">
        <v>62</v>
      </c>
      <c r="C188" t="s">
        <v>1</v>
      </c>
      <c r="D188" t="s">
        <v>1</v>
      </c>
      <c r="E188" t="s">
        <v>1185</v>
      </c>
      <c r="F188" t="s">
        <v>86</v>
      </c>
      <c r="G188" t="s">
        <v>87</v>
      </c>
      <c r="H188" t="s">
        <v>1194</v>
      </c>
      <c r="I188">
        <v>25</v>
      </c>
      <c r="J188">
        <v>3</v>
      </c>
      <c r="K188">
        <v>2</v>
      </c>
      <c r="L188">
        <v>1</v>
      </c>
      <c r="M188" t="s">
        <v>1195</v>
      </c>
      <c r="N188" t="s">
        <v>1</v>
      </c>
      <c r="O188" t="s">
        <v>1</v>
      </c>
      <c r="Q188">
        <v>2</v>
      </c>
      <c r="R188" t="s">
        <v>17</v>
      </c>
      <c r="S188" t="s">
        <v>1</v>
      </c>
      <c r="T188" t="s">
        <v>745</v>
      </c>
      <c r="U188" s="3" t="s">
        <v>1</v>
      </c>
      <c r="V188" s="3" t="s">
        <v>1196</v>
      </c>
      <c r="W188" s="3" t="s">
        <v>4543</v>
      </c>
      <c r="X188" t="s">
        <v>1162</v>
      </c>
      <c r="Y188">
        <v>8</v>
      </c>
      <c r="Z188">
        <v>0</v>
      </c>
      <c r="AA188">
        <f>IF('Στατιστικά'!$C$6,1,IFERROR(INDEX('Στατιστικά'!$C$10:$C$83,MATCH(G188,'Στατιστικά'!$B$10:$B$83,0))*1,0))</f>
        <v>1</v>
      </c>
    </row>
    <row r="189" spans="1:27">
      <c r="A189" s="2">
        <v>46253</v>
      </c>
      <c r="B189" t="s">
        <v>158</v>
      </c>
      <c r="C189" t="s">
        <v>668</v>
      </c>
      <c r="D189" t="s">
        <v>1</v>
      </c>
      <c r="E189" t="s">
        <v>1198</v>
      </c>
      <c r="F189" t="s">
        <v>38</v>
      </c>
      <c r="G189" t="s">
        <v>15</v>
      </c>
      <c r="H189" t="s">
        <v>1199</v>
      </c>
      <c r="I189">
        <v>46</v>
      </c>
      <c r="J189">
        <v>9</v>
      </c>
      <c r="K189">
        <v>2</v>
      </c>
      <c r="L189">
        <v>2</v>
      </c>
      <c r="M189" t="s">
        <v>1200</v>
      </c>
      <c r="N189" t="s">
        <v>1201</v>
      </c>
      <c r="O189" t="s">
        <v>1202</v>
      </c>
      <c r="P189">
        <v>1</v>
      </c>
      <c r="Q189">
        <v>2</v>
      </c>
      <c r="R189" t="s">
        <v>17</v>
      </c>
      <c r="S189" t="s">
        <v>80</v>
      </c>
      <c r="T189" t="s">
        <v>1203</v>
      </c>
      <c r="U189" s="3" t="s">
        <v>1204</v>
      </c>
      <c r="V189" s="3" t="s">
        <v>1205</v>
      </c>
      <c r="W189" s="3" t="s">
        <v>1206</v>
      </c>
      <c r="X189" t="s">
        <v>1207</v>
      </c>
      <c r="Y189">
        <v>8</v>
      </c>
      <c r="Z189">
        <v>1</v>
      </c>
      <c r="AA189">
        <f>IF('Στατιστικά'!$C$6,1,IFERROR(INDEX('Στατιστικά'!$C$10:$C$83,MATCH(G189,'Στατιστικά'!$B$10:$B$83,0))*1,0))</f>
        <v>1</v>
      </c>
    </row>
    <row r="190" spans="1:27">
      <c r="A190" s="2">
        <v>46253</v>
      </c>
      <c r="B190" t="s">
        <v>158</v>
      </c>
      <c r="C190" t="s">
        <v>668</v>
      </c>
      <c r="D190" t="s">
        <v>1</v>
      </c>
      <c r="E190" t="s">
        <v>1208</v>
      </c>
      <c r="F190" t="s">
        <v>15</v>
      </c>
      <c r="G190" t="s">
        <v>1209</v>
      </c>
      <c r="H190" t="s">
        <v>1199</v>
      </c>
      <c r="I190">
        <v>46</v>
      </c>
      <c r="J190">
        <v>9</v>
      </c>
      <c r="K190">
        <v>2</v>
      </c>
      <c r="L190">
        <v>2</v>
      </c>
      <c r="M190" t="s">
        <v>1210</v>
      </c>
      <c r="N190" t="s">
        <v>1211</v>
      </c>
      <c r="O190" t="s">
        <v>1</v>
      </c>
      <c r="P190">
        <v>0.1</v>
      </c>
      <c r="Q190">
        <v>2</v>
      </c>
      <c r="R190" t="s">
        <v>17</v>
      </c>
      <c r="S190" t="s">
        <v>80</v>
      </c>
      <c r="T190" t="s">
        <v>1111</v>
      </c>
      <c r="U190" s="3" t="s">
        <v>1212</v>
      </c>
      <c r="V190" s="3" t="s">
        <v>1213</v>
      </c>
      <c r="W190" s="3" t="s">
        <v>1214</v>
      </c>
      <c r="X190" t="s">
        <v>1115</v>
      </c>
      <c r="Y190">
        <v>8</v>
      </c>
      <c r="Z190">
        <v>0.1</v>
      </c>
      <c r="AA190">
        <f>IF('Στατιστικά'!$C$6,1,IFERROR(INDEX('Στατιστικά'!$C$10:$C$83,MATCH(G190,'Στατιστικά'!$B$10:$B$83,0))*1,0))</f>
        <v>1</v>
      </c>
    </row>
    <row r="191" spans="1:27">
      <c r="A191" s="2">
        <v>46253</v>
      </c>
      <c r="B191" t="s">
        <v>158</v>
      </c>
      <c r="C191" t="s">
        <v>668</v>
      </c>
      <c r="D191" t="s">
        <v>1</v>
      </c>
      <c r="E191" t="s">
        <v>1215</v>
      </c>
      <c r="F191" t="s">
        <v>38</v>
      </c>
      <c r="G191" t="s">
        <v>15</v>
      </c>
      <c r="H191" t="s">
        <v>1199</v>
      </c>
      <c r="I191">
        <v>46</v>
      </c>
      <c r="J191">
        <v>9</v>
      </c>
      <c r="K191">
        <v>2</v>
      </c>
      <c r="L191">
        <v>2</v>
      </c>
      <c r="M191" t="s">
        <v>1216</v>
      </c>
      <c r="N191" t="s">
        <v>1217</v>
      </c>
      <c r="O191" t="s">
        <v>1</v>
      </c>
      <c r="P191">
        <v>0.1</v>
      </c>
      <c r="Q191">
        <v>2</v>
      </c>
      <c r="R191" t="s">
        <v>17</v>
      </c>
      <c r="S191" t="s">
        <v>80</v>
      </c>
      <c r="T191" t="s">
        <v>1218</v>
      </c>
      <c r="U191" s="3" t="s">
        <v>1219</v>
      </c>
      <c r="V191" s="3" t="s">
        <v>1220</v>
      </c>
      <c r="W191" s="3" t="s">
        <v>4544</v>
      </c>
      <c r="X191" t="s">
        <v>1115</v>
      </c>
      <c r="Y191">
        <v>8</v>
      </c>
      <c r="Z191">
        <v>0</v>
      </c>
      <c r="AA191">
        <f>IF('Στατιστικά'!$C$6,1,IFERROR(INDEX('Στατιστικά'!$C$10:$C$83,MATCH(G191,'Στατιστικά'!$B$10:$B$83,0))*1,0))</f>
        <v>1</v>
      </c>
    </row>
    <row r="192" spans="1:27">
      <c r="A192" s="2">
        <v>46253</v>
      </c>
      <c r="B192" t="s">
        <v>1222</v>
      </c>
      <c r="C192" t="s">
        <v>1</v>
      </c>
      <c r="D192" t="s">
        <v>1</v>
      </c>
      <c r="E192" t="s">
        <v>1223</v>
      </c>
      <c r="F192" t="s">
        <v>3</v>
      </c>
      <c r="G192" t="s">
        <v>4</v>
      </c>
      <c r="H192" t="s">
        <v>577</v>
      </c>
      <c r="I192">
        <v>12</v>
      </c>
      <c r="J192">
        <v>2</v>
      </c>
      <c r="K192">
        <v>0</v>
      </c>
      <c r="L192">
        <v>1</v>
      </c>
      <c r="M192" t="s">
        <v>1224</v>
      </c>
      <c r="N192" t="s">
        <v>1</v>
      </c>
      <c r="O192" t="s">
        <v>1</v>
      </c>
      <c r="P192" t="s">
        <v>4715</v>
      </c>
      <c r="Q192">
        <v>2</v>
      </c>
      <c r="R192" t="s">
        <v>17</v>
      </c>
      <c r="S192" t="s">
        <v>8</v>
      </c>
      <c r="T192" t="s">
        <v>1</v>
      </c>
      <c r="U192" s="3" t="s">
        <v>1</v>
      </c>
      <c r="V192" s="3" t="s">
        <v>1225</v>
      </c>
      <c r="W192" s="3" t="s">
        <v>4716</v>
      </c>
      <c r="X192" t="s">
        <v>1207</v>
      </c>
      <c r="Y192">
        <v>8</v>
      </c>
      <c r="Z192">
        <v>0</v>
      </c>
      <c r="AA192">
        <f>IF('Στατιστικά'!$C$6,1,IFERROR(INDEX('Στατιστικά'!$C$10:$C$83,MATCH(G192,'Στατιστικά'!$B$10:$B$83,0))*1,0))</f>
        <v>1</v>
      </c>
    </row>
    <row r="193" spans="1:27">
      <c r="A193" s="2">
        <v>46253</v>
      </c>
      <c r="B193" t="s">
        <v>1138</v>
      </c>
      <c r="C193" t="s">
        <v>1</v>
      </c>
      <c r="D193" t="s">
        <v>1</v>
      </c>
      <c r="E193" t="s">
        <v>1227</v>
      </c>
      <c r="F193" t="s">
        <v>3</v>
      </c>
      <c r="G193" t="s">
        <v>4</v>
      </c>
      <c r="H193" t="s">
        <v>577</v>
      </c>
      <c r="I193">
        <v>12</v>
      </c>
      <c r="J193">
        <v>2</v>
      </c>
      <c r="K193">
        <v>0</v>
      </c>
      <c r="L193">
        <v>1</v>
      </c>
      <c r="M193" t="s">
        <v>764</v>
      </c>
      <c r="N193" t="s">
        <v>1</v>
      </c>
      <c r="O193" t="s">
        <v>1</v>
      </c>
      <c r="Q193">
        <v>2</v>
      </c>
      <c r="R193" t="s">
        <v>1228</v>
      </c>
      <c r="S193" t="s">
        <v>1</v>
      </c>
      <c r="T193" t="s">
        <v>745</v>
      </c>
      <c r="U193" s="3" t="s">
        <v>1</v>
      </c>
      <c r="V193" s="3" t="s">
        <v>1229</v>
      </c>
      <c r="W193" s="3" t="s">
        <v>4545</v>
      </c>
      <c r="X193" t="s">
        <v>1115</v>
      </c>
      <c r="Y193">
        <v>8</v>
      </c>
      <c r="Z193">
        <v>0</v>
      </c>
      <c r="AA193">
        <f>IF('Στατιστικά'!$C$6,1,IFERROR(INDEX('Στατιστικά'!$C$10:$C$83,MATCH(G193,'Στατιστικά'!$B$10:$B$83,0))*1,0))</f>
        <v>1</v>
      </c>
    </row>
    <row r="194" spans="1:27">
      <c r="A194" s="2">
        <v>46252</v>
      </c>
      <c r="B194" t="s">
        <v>637</v>
      </c>
      <c r="C194" t="s">
        <v>1</v>
      </c>
      <c r="D194" t="s">
        <v>1</v>
      </c>
      <c r="E194" t="s">
        <v>1231</v>
      </c>
      <c r="F194" t="s">
        <v>1003</v>
      </c>
      <c r="G194" t="s">
        <v>1232</v>
      </c>
      <c r="H194" t="s">
        <v>1233</v>
      </c>
      <c r="I194">
        <v>25</v>
      </c>
      <c r="J194">
        <v>5</v>
      </c>
      <c r="K194">
        <v>2</v>
      </c>
      <c r="L194">
        <v>1</v>
      </c>
      <c r="M194" t="s">
        <v>1234</v>
      </c>
      <c r="N194" t="s">
        <v>1235</v>
      </c>
      <c r="O194" t="s">
        <v>1</v>
      </c>
      <c r="P194" t="s">
        <v>4717</v>
      </c>
      <c r="Q194">
        <v>3</v>
      </c>
      <c r="R194" t="s">
        <v>79</v>
      </c>
      <c r="S194" t="s">
        <v>80</v>
      </c>
      <c r="T194" t="s">
        <v>9</v>
      </c>
      <c r="U194" s="3" t="s">
        <v>1</v>
      </c>
      <c r="V194" s="3" t="s">
        <v>1236</v>
      </c>
      <c r="W194" s="3" t="s">
        <v>4718</v>
      </c>
      <c r="X194" t="s">
        <v>1207</v>
      </c>
      <c r="Y194">
        <v>8</v>
      </c>
      <c r="Z194">
        <v>0</v>
      </c>
      <c r="AA194">
        <f>IF('Στατιστικά'!$C$6,1,IFERROR(INDEX('Στατιστικά'!$C$10:$C$83,MATCH(G194,'Στατιστικά'!$B$10:$B$83,0))*1,0))</f>
        <v>1</v>
      </c>
    </row>
    <row r="195" spans="1:27">
      <c r="A195" s="2">
        <v>46252</v>
      </c>
      <c r="B195" t="s">
        <v>1100</v>
      </c>
      <c r="C195" t="s">
        <v>637</v>
      </c>
      <c r="D195" t="s">
        <v>1</v>
      </c>
      <c r="E195" t="s">
        <v>1238</v>
      </c>
      <c r="F195" t="s">
        <v>120</v>
      </c>
      <c r="G195" t="s">
        <v>121</v>
      </c>
      <c r="H195" t="s">
        <v>1239</v>
      </c>
      <c r="I195">
        <v>4</v>
      </c>
      <c r="J195">
        <v>1</v>
      </c>
      <c r="K195">
        <v>4</v>
      </c>
      <c r="L195">
        <v>1</v>
      </c>
      <c r="M195" t="s">
        <v>1</v>
      </c>
      <c r="N195" t="s">
        <v>1</v>
      </c>
      <c r="O195" t="s">
        <v>1</v>
      </c>
      <c r="Q195">
        <v>3</v>
      </c>
      <c r="R195" t="s">
        <v>79</v>
      </c>
      <c r="S195" t="s">
        <v>80</v>
      </c>
      <c r="T195" t="s">
        <v>1240</v>
      </c>
      <c r="U195" s="3" t="s">
        <v>1</v>
      </c>
      <c r="V195" s="3" t="s">
        <v>1241</v>
      </c>
      <c r="W195" s="3" t="s">
        <v>1242</v>
      </c>
      <c r="X195" t="s">
        <v>1162</v>
      </c>
      <c r="Y195">
        <v>8</v>
      </c>
      <c r="Z195">
        <v>0</v>
      </c>
      <c r="AA195">
        <f>IF('Στατιστικά'!$C$6,1,IFERROR(INDEX('Στατιστικά'!$C$10:$C$83,MATCH(G195,'Στατιστικά'!$B$10:$B$83,0))*1,0))</f>
        <v>1</v>
      </c>
    </row>
    <row r="196" spans="1:27">
      <c r="A196" s="2">
        <v>46252</v>
      </c>
      <c r="B196" t="s">
        <v>591</v>
      </c>
      <c r="C196" t="s">
        <v>1</v>
      </c>
      <c r="D196" t="s">
        <v>1</v>
      </c>
      <c r="E196" t="s">
        <v>1243</v>
      </c>
      <c r="F196" t="s">
        <v>332</v>
      </c>
      <c r="G196" t="s">
        <v>218</v>
      </c>
      <c r="H196" t="s">
        <v>1244</v>
      </c>
      <c r="I196">
        <v>10</v>
      </c>
      <c r="J196">
        <v>2</v>
      </c>
      <c r="K196">
        <v>0</v>
      </c>
      <c r="L196">
        <v>1</v>
      </c>
      <c r="M196" t="s">
        <v>220</v>
      </c>
      <c r="N196" t="s">
        <v>1</v>
      </c>
      <c r="O196" t="s">
        <v>1</v>
      </c>
      <c r="P196" t="s">
        <v>4719</v>
      </c>
      <c r="Q196">
        <v>3</v>
      </c>
      <c r="R196" t="s">
        <v>79</v>
      </c>
      <c r="S196" t="s">
        <v>107</v>
      </c>
      <c r="T196" t="s">
        <v>9</v>
      </c>
      <c r="U196" s="3" t="s">
        <v>1</v>
      </c>
      <c r="V196" s="3" t="s">
        <v>1245</v>
      </c>
      <c r="W196" s="3" t="s">
        <v>4720</v>
      </c>
      <c r="X196" t="s">
        <v>1079</v>
      </c>
      <c r="Y196">
        <v>8</v>
      </c>
      <c r="Z196">
        <v>0</v>
      </c>
      <c r="AA196">
        <f>IF('Στατιστικά'!$C$6,1,IFERROR(INDEX('Στατιστικά'!$C$10:$C$83,MATCH(G196,'Στατιστικά'!$B$10:$B$83,0))*1,0))</f>
        <v>1</v>
      </c>
    </row>
    <row r="197" spans="1:27">
      <c r="A197" s="2">
        <v>46252</v>
      </c>
      <c r="B197" t="s">
        <v>62</v>
      </c>
      <c r="C197" t="s">
        <v>1</v>
      </c>
      <c r="D197" t="s">
        <v>1</v>
      </c>
      <c r="E197" t="s">
        <v>1247</v>
      </c>
      <c r="F197" t="s">
        <v>86</v>
      </c>
      <c r="G197" t="s">
        <v>188</v>
      </c>
      <c r="H197" t="s">
        <v>1248</v>
      </c>
      <c r="I197">
        <v>41</v>
      </c>
      <c r="J197">
        <v>10</v>
      </c>
      <c r="K197">
        <v>3</v>
      </c>
      <c r="L197">
        <v>2</v>
      </c>
      <c r="M197" t="s">
        <v>190</v>
      </c>
      <c r="N197" t="s">
        <v>1</v>
      </c>
      <c r="O197" t="s">
        <v>1</v>
      </c>
      <c r="Q197">
        <v>3</v>
      </c>
      <c r="R197" t="s">
        <v>79</v>
      </c>
      <c r="S197" t="s">
        <v>58</v>
      </c>
      <c r="T197" t="s">
        <v>1249</v>
      </c>
      <c r="U197" s="3" t="s">
        <v>1250</v>
      </c>
      <c r="V197" s="3" t="s">
        <v>1251</v>
      </c>
      <c r="W197" s="3" t="s">
        <v>1252</v>
      </c>
      <c r="X197" t="s">
        <v>1099</v>
      </c>
      <c r="Y197">
        <v>8</v>
      </c>
      <c r="Z197">
        <v>0</v>
      </c>
      <c r="AA197">
        <f>IF('Στατιστικά'!$C$6,1,IFERROR(INDEX('Στατιστικά'!$C$10:$C$83,MATCH(G197,'Στατιστικά'!$B$10:$B$83,0))*1,0))</f>
        <v>1</v>
      </c>
    </row>
    <row r="198" spans="1:27">
      <c r="A198" s="2">
        <v>46252</v>
      </c>
      <c r="B198" t="s">
        <v>62</v>
      </c>
      <c r="C198" t="s">
        <v>1</v>
      </c>
      <c r="D198" t="s">
        <v>1</v>
      </c>
      <c r="E198" t="s">
        <v>1253</v>
      </c>
      <c r="F198" t="s">
        <v>1064</v>
      </c>
      <c r="G198" t="s">
        <v>188</v>
      </c>
      <c r="H198" t="s">
        <v>1248</v>
      </c>
      <c r="I198">
        <v>54</v>
      </c>
      <c r="J198">
        <v>16</v>
      </c>
      <c r="K198">
        <v>3</v>
      </c>
      <c r="L198">
        <v>2</v>
      </c>
      <c r="M198" t="s">
        <v>190</v>
      </c>
      <c r="N198" t="s">
        <v>1</v>
      </c>
      <c r="O198" t="s">
        <v>1</v>
      </c>
      <c r="Q198">
        <v>3</v>
      </c>
      <c r="R198" t="s">
        <v>79</v>
      </c>
      <c r="S198" t="s">
        <v>80</v>
      </c>
      <c r="T198" t="s">
        <v>1254</v>
      </c>
      <c r="U198" s="3" t="s">
        <v>1255</v>
      </c>
      <c r="V198" s="3" t="s">
        <v>1256</v>
      </c>
      <c r="W198" s="3" t="s">
        <v>1257</v>
      </c>
      <c r="X198" t="s">
        <v>1115</v>
      </c>
      <c r="Y198">
        <v>8</v>
      </c>
      <c r="Z198">
        <v>0</v>
      </c>
      <c r="AA198">
        <f>IF('Στατιστικά'!$C$6,1,IFERROR(INDEX('Στατιστικά'!$C$10:$C$83,MATCH(G198,'Στατιστικά'!$B$10:$B$83,0))*1,0))</f>
        <v>1</v>
      </c>
    </row>
    <row r="199" spans="1:27">
      <c r="A199" s="2">
        <v>46252</v>
      </c>
      <c r="B199" t="s">
        <v>373</v>
      </c>
      <c r="C199" t="s">
        <v>1258</v>
      </c>
      <c r="D199" t="s">
        <v>1</v>
      </c>
      <c r="E199" t="s">
        <v>1259</v>
      </c>
      <c r="F199" t="s">
        <v>38</v>
      </c>
      <c r="G199" t="s">
        <v>15</v>
      </c>
      <c r="H199" t="s">
        <v>840</v>
      </c>
      <c r="I199">
        <v>28</v>
      </c>
      <c r="J199">
        <v>11</v>
      </c>
      <c r="K199">
        <v>2</v>
      </c>
      <c r="L199">
        <v>2</v>
      </c>
      <c r="M199" t="s">
        <v>1</v>
      </c>
      <c r="N199" t="s">
        <v>1</v>
      </c>
      <c r="O199" t="s">
        <v>1</v>
      </c>
      <c r="Q199">
        <v>3</v>
      </c>
      <c r="R199" t="s">
        <v>79</v>
      </c>
      <c r="S199" t="s">
        <v>80</v>
      </c>
      <c r="T199" t="s">
        <v>1260</v>
      </c>
      <c r="U199" s="3" t="s">
        <v>1</v>
      </c>
      <c r="V199" s="3" t="s">
        <v>1261</v>
      </c>
      <c r="W199" s="3" t="s">
        <v>1262</v>
      </c>
      <c r="X199" t="s">
        <v>1162</v>
      </c>
      <c r="Y199">
        <v>8</v>
      </c>
      <c r="Z199">
        <v>0</v>
      </c>
      <c r="AA199">
        <f>IF('Στατιστικά'!$C$6,1,IFERROR(INDEX('Στατιστικά'!$C$10:$C$83,MATCH(G199,'Στατιστικά'!$B$10:$B$83,0))*1,0))</f>
        <v>1</v>
      </c>
    </row>
    <row r="200" spans="1:27">
      <c r="A200" s="2">
        <v>46252</v>
      </c>
      <c r="B200" t="s">
        <v>158</v>
      </c>
      <c r="C200" t="s">
        <v>825</v>
      </c>
      <c r="D200" t="s">
        <v>1</v>
      </c>
      <c r="E200" t="s">
        <v>1263</v>
      </c>
      <c r="F200" t="s">
        <v>44</v>
      </c>
      <c r="G200" t="s">
        <v>45</v>
      </c>
      <c r="H200" t="s">
        <v>1264</v>
      </c>
      <c r="I200">
        <v>22</v>
      </c>
      <c r="J200">
        <v>6</v>
      </c>
      <c r="K200">
        <v>2</v>
      </c>
      <c r="L200">
        <v>1</v>
      </c>
      <c r="M200" t="s">
        <v>989</v>
      </c>
      <c r="N200" t="s">
        <v>1265</v>
      </c>
      <c r="O200" t="s">
        <v>1</v>
      </c>
      <c r="P200" t="s">
        <v>4721</v>
      </c>
      <c r="Q200">
        <v>3</v>
      </c>
      <c r="R200" t="s">
        <v>79</v>
      </c>
      <c r="S200" t="s">
        <v>80</v>
      </c>
      <c r="T200" t="s">
        <v>1266</v>
      </c>
      <c r="U200" s="3" t="s">
        <v>1</v>
      </c>
      <c r="V200" s="3" t="s">
        <v>1267</v>
      </c>
      <c r="W200" s="3" t="s">
        <v>4722</v>
      </c>
      <c r="X200" t="s">
        <v>761</v>
      </c>
      <c r="Y200">
        <v>8</v>
      </c>
      <c r="Z200">
        <v>0</v>
      </c>
      <c r="AA200">
        <f>IF('Στατιστικά'!$C$6,1,IFERROR(INDEX('Στατιστικά'!$C$10:$C$83,MATCH(G200,'Στατιστικά'!$B$10:$B$83,0))*1,0))</f>
        <v>1</v>
      </c>
    </row>
    <row r="201" spans="1:27">
      <c r="A201" s="2">
        <v>46252</v>
      </c>
      <c r="B201" t="s">
        <v>158</v>
      </c>
      <c r="C201" t="s">
        <v>825</v>
      </c>
      <c r="D201" t="s">
        <v>1</v>
      </c>
      <c r="E201" t="s">
        <v>1269</v>
      </c>
      <c r="F201" t="s">
        <v>450</v>
      </c>
      <c r="G201" t="s">
        <v>45</v>
      </c>
      <c r="H201" t="s">
        <v>1264</v>
      </c>
      <c r="I201">
        <v>22</v>
      </c>
      <c r="J201">
        <v>6</v>
      </c>
      <c r="K201">
        <v>2</v>
      </c>
      <c r="L201">
        <v>1</v>
      </c>
      <c r="M201" t="s">
        <v>452</v>
      </c>
      <c r="N201" t="s">
        <v>1270</v>
      </c>
      <c r="O201" t="s">
        <v>1</v>
      </c>
      <c r="P201" t="s">
        <v>4723</v>
      </c>
      <c r="Q201">
        <v>3</v>
      </c>
      <c r="R201" t="s">
        <v>79</v>
      </c>
      <c r="S201" t="s">
        <v>80</v>
      </c>
      <c r="T201" t="s">
        <v>98</v>
      </c>
      <c r="U201" s="3" t="s">
        <v>1</v>
      </c>
      <c r="V201" s="3" t="s">
        <v>1271</v>
      </c>
      <c r="W201" s="3" t="s">
        <v>4724</v>
      </c>
      <c r="X201" t="s">
        <v>761</v>
      </c>
      <c r="Y201">
        <v>8</v>
      </c>
      <c r="Z201">
        <v>0</v>
      </c>
      <c r="AA201">
        <f>IF('Στατιστικά'!$C$6,1,IFERROR(INDEX('Στατιστικά'!$C$10:$C$83,MATCH(G201,'Στατιστικά'!$B$10:$B$83,0))*1,0))</f>
        <v>1</v>
      </c>
    </row>
    <row r="202" spans="1:27">
      <c r="A202" s="2">
        <v>46252</v>
      </c>
      <c r="B202" t="s">
        <v>1062</v>
      </c>
      <c r="C202" t="s">
        <v>1</v>
      </c>
      <c r="D202" t="s">
        <v>1</v>
      </c>
      <c r="E202" t="s">
        <v>1273</v>
      </c>
      <c r="F202" t="s">
        <v>22</v>
      </c>
      <c r="G202" t="s">
        <v>470</v>
      </c>
      <c r="H202" t="s">
        <v>1274</v>
      </c>
      <c r="I202">
        <v>20</v>
      </c>
      <c r="J202">
        <v>5</v>
      </c>
      <c r="K202">
        <v>5</v>
      </c>
      <c r="L202">
        <v>2</v>
      </c>
      <c r="M202" t="s">
        <v>1275</v>
      </c>
      <c r="N202" t="s">
        <v>1276</v>
      </c>
      <c r="O202" t="s">
        <v>1</v>
      </c>
      <c r="P202">
        <v>1.5</v>
      </c>
      <c r="Q202">
        <v>2</v>
      </c>
      <c r="R202" t="s">
        <v>17</v>
      </c>
      <c r="S202" t="s">
        <v>58</v>
      </c>
      <c r="T202" t="s">
        <v>1277</v>
      </c>
      <c r="U202" s="3" t="s">
        <v>1278</v>
      </c>
      <c r="V202" s="3" t="s">
        <v>1279</v>
      </c>
      <c r="W202" s="3" t="s">
        <v>1280</v>
      </c>
      <c r="X202" t="s">
        <v>1162</v>
      </c>
      <c r="Y202">
        <v>8</v>
      </c>
      <c r="Z202">
        <v>1.5</v>
      </c>
      <c r="AA202">
        <f>IF('Στατιστικά'!$C$6,1,IFERROR(INDEX('Στατιστικά'!$C$10:$C$83,MATCH(G202,'Στατιστικά'!$B$10:$B$83,0))*1,0))</f>
        <v>1</v>
      </c>
    </row>
    <row r="203" spans="1:27">
      <c r="A203" s="2">
        <v>46252</v>
      </c>
      <c r="B203" t="s">
        <v>300</v>
      </c>
      <c r="C203" t="s">
        <v>825</v>
      </c>
      <c r="D203" t="s">
        <v>1</v>
      </c>
      <c r="E203" t="s">
        <v>1281</v>
      </c>
      <c r="F203" t="s">
        <v>28</v>
      </c>
      <c r="G203" t="s">
        <v>1282</v>
      </c>
      <c r="H203" t="s">
        <v>1274</v>
      </c>
      <c r="I203">
        <v>20</v>
      </c>
      <c r="J203">
        <v>5</v>
      </c>
      <c r="K203">
        <v>5</v>
      </c>
      <c r="L203">
        <v>2</v>
      </c>
      <c r="M203" t="s">
        <v>1283</v>
      </c>
      <c r="N203" t="s">
        <v>1284</v>
      </c>
      <c r="O203" t="s">
        <v>1</v>
      </c>
      <c r="P203">
        <v>1.5</v>
      </c>
      <c r="Q203">
        <v>2</v>
      </c>
      <c r="R203" t="s">
        <v>17</v>
      </c>
      <c r="S203" t="s">
        <v>80</v>
      </c>
      <c r="T203" t="s">
        <v>1285</v>
      </c>
      <c r="U203" s="3" t="s">
        <v>1286</v>
      </c>
      <c r="V203" s="3" t="s">
        <v>1287</v>
      </c>
      <c r="W203" s="3" t="s">
        <v>4546</v>
      </c>
      <c r="X203" t="s">
        <v>1162</v>
      </c>
      <c r="Y203">
        <v>8</v>
      </c>
      <c r="Z203">
        <v>0</v>
      </c>
      <c r="AA203">
        <f>IF('Στατιστικά'!$C$6,1,IFERROR(INDEX('Στατιστικά'!$C$10:$C$83,MATCH(G203,'Στατιστικά'!$B$10:$B$83,0))*1,0))</f>
        <v>1</v>
      </c>
    </row>
    <row r="204" spans="1:27">
      <c r="A204" s="2">
        <v>46252</v>
      </c>
      <c r="B204" t="s">
        <v>72</v>
      </c>
      <c r="C204" t="s">
        <v>1</v>
      </c>
      <c r="D204" t="s">
        <v>1</v>
      </c>
      <c r="E204" t="s">
        <v>1289</v>
      </c>
      <c r="F204" t="s">
        <v>53</v>
      </c>
      <c r="G204" t="s">
        <v>753</v>
      </c>
      <c r="H204" t="s">
        <v>753</v>
      </c>
      <c r="I204">
        <v>28</v>
      </c>
      <c r="J204">
        <v>9</v>
      </c>
      <c r="K204">
        <v>3</v>
      </c>
      <c r="L204">
        <v>0</v>
      </c>
      <c r="M204" t="s">
        <v>1</v>
      </c>
      <c r="N204" t="s">
        <v>1</v>
      </c>
      <c r="O204" t="s">
        <v>1</v>
      </c>
      <c r="Q204">
        <v>2</v>
      </c>
      <c r="R204" t="s">
        <v>17</v>
      </c>
      <c r="S204" t="s">
        <v>80</v>
      </c>
      <c r="T204" t="s">
        <v>1290</v>
      </c>
      <c r="U204" s="3" t="s">
        <v>1</v>
      </c>
      <c r="V204" s="3" t="s">
        <v>1291</v>
      </c>
      <c r="W204" s="3" t="s">
        <v>1292</v>
      </c>
      <c r="X204" t="s">
        <v>1162</v>
      </c>
      <c r="Y204">
        <v>8</v>
      </c>
      <c r="Z204">
        <v>0</v>
      </c>
      <c r="AA204">
        <f>IF('Στατιστικά'!$C$6,1,IFERROR(INDEX('Στατιστικά'!$C$10:$C$83,MATCH(G204,'Στατιστικά'!$B$10:$B$83,0))*1,0))</f>
        <v>1</v>
      </c>
    </row>
    <row r="205" spans="1:27">
      <c r="A205" s="2">
        <v>46252</v>
      </c>
      <c r="B205" t="s">
        <v>410</v>
      </c>
      <c r="C205" t="s">
        <v>1</v>
      </c>
      <c r="D205" t="s">
        <v>1</v>
      </c>
      <c r="E205" t="s">
        <v>1293</v>
      </c>
      <c r="F205" t="s">
        <v>160</v>
      </c>
      <c r="G205" t="s">
        <v>161</v>
      </c>
      <c r="H205" t="s">
        <v>1294</v>
      </c>
      <c r="I205">
        <v>18</v>
      </c>
      <c r="J205">
        <v>6</v>
      </c>
      <c r="K205">
        <v>0</v>
      </c>
      <c r="L205">
        <v>1</v>
      </c>
      <c r="M205" t="s">
        <v>1295</v>
      </c>
      <c r="N205" t="s">
        <v>1296</v>
      </c>
      <c r="O205" t="s">
        <v>1</v>
      </c>
      <c r="P205">
        <v>0.4</v>
      </c>
      <c r="Q205">
        <v>3</v>
      </c>
      <c r="R205" t="s">
        <v>79</v>
      </c>
      <c r="S205" t="s">
        <v>58</v>
      </c>
      <c r="T205" t="s">
        <v>1297</v>
      </c>
      <c r="U205" s="3" t="s">
        <v>1</v>
      </c>
      <c r="V205" s="3" t="s">
        <v>1298</v>
      </c>
      <c r="W205" s="3" t="s">
        <v>4507</v>
      </c>
      <c r="X205" t="s">
        <v>761</v>
      </c>
      <c r="Y205">
        <v>8</v>
      </c>
      <c r="Z205">
        <v>4</v>
      </c>
      <c r="AA205">
        <f>IF('Στατιστικά'!$C$6,1,IFERROR(INDEX('Στατιστικά'!$C$10:$C$83,MATCH(G205,'Στατιστικά'!$B$10:$B$83,0))*1,0))</f>
        <v>1</v>
      </c>
    </row>
    <row r="206" spans="1:27">
      <c r="A206" s="2">
        <v>46252</v>
      </c>
      <c r="B206" t="s">
        <v>881</v>
      </c>
      <c r="C206" t="s">
        <v>1</v>
      </c>
      <c r="D206" t="s">
        <v>1</v>
      </c>
      <c r="E206" t="s">
        <v>1121</v>
      </c>
      <c r="F206" t="s">
        <v>44</v>
      </c>
      <c r="G206" t="s">
        <v>94</v>
      </c>
      <c r="H206" t="s">
        <v>526</v>
      </c>
      <c r="I206">
        <v>29</v>
      </c>
      <c r="J206">
        <v>10</v>
      </c>
      <c r="K206">
        <v>4</v>
      </c>
      <c r="L206">
        <v>1</v>
      </c>
      <c r="M206" t="s">
        <v>664</v>
      </c>
      <c r="N206" t="s">
        <v>419</v>
      </c>
      <c r="O206" t="s">
        <v>239</v>
      </c>
      <c r="Q206">
        <v>3</v>
      </c>
      <c r="R206" t="s">
        <v>79</v>
      </c>
      <c r="S206" t="s">
        <v>107</v>
      </c>
      <c r="T206" t="s">
        <v>1300</v>
      </c>
      <c r="U206" s="3" t="s">
        <v>1</v>
      </c>
      <c r="V206" s="3" t="s">
        <v>1301</v>
      </c>
      <c r="W206" s="3" t="s">
        <v>1302</v>
      </c>
      <c r="X206" t="s">
        <v>1162</v>
      </c>
      <c r="Y206">
        <v>8</v>
      </c>
      <c r="Z206">
        <v>0</v>
      </c>
      <c r="AA206">
        <f>IF('Στατιστικά'!$C$6,1,IFERROR(INDEX('Στατιστικά'!$C$10:$C$83,MATCH(G206,'Στατιστικά'!$B$10:$B$83,0))*1,0))</f>
        <v>1</v>
      </c>
    </row>
    <row r="207" spans="1:27">
      <c r="A207" s="2">
        <v>46252</v>
      </c>
      <c r="B207" t="s">
        <v>182</v>
      </c>
      <c r="C207" t="s">
        <v>1</v>
      </c>
      <c r="D207" t="s">
        <v>1</v>
      </c>
      <c r="E207" t="s">
        <v>1303</v>
      </c>
      <c r="F207" t="s">
        <v>64</v>
      </c>
      <c r="G207" t="s">
        <v>116</v>
      </c>
      <c r="H207" t="s">
        <v>388</v>
      </c>
      <c r="I207">
        <v>41</v>
      </c>
      <c r="J207">
        <v>11</v>
      </c>
      <c r="M207" t="s">
        <v>56</v>
      </c>
      <c r="N207" t="s">
        <v>389</v>
      </c>
      <c r="O207" t="s">
        <v>1304</v>
      </c>
      <c r="Q207">
        <v>2</v>
      </c>
      <c r="R207" t="s">
        <v>17</v>
      </c>
      <c r="S207" t="s">
        <v>80</v>
      </c>
      <c r="T207" t="s">
        <v>1305</v>
      </c>
      <c r="U207" s="3" t="s">
        <v>1</v>
      </c>
      <c r="V207" s="3" t="s">
        <v>1306</v>
      </c>
      <c r="W207" s="3" t="s">
        <v>4547</v>
      </c>
      <c r="X207" t="s">
        <v>992</v>
      </c>
      <c r="Y207">
        <v>8</v>
      </c>
      <c r="Z207">
        <v>0</v>
      </c>
      <c r="AA207">
        <f>IF('Στατιστικά'!$C$6,1,IFERROR(INDEX('Στατιστικά'!$C$10:$C$83,MATCH(G207,'Στατιστικά'!$B$10:$B$83,0))*1,0))</f>
        <v>1</v>
      </c>
    </row>
    <row r="208" spans="1:27">
      <c r="A208" s="2">
        <v>46252</v>
      </c>
      <c r="B208" t="s">
        <v>1</v>
      </c>
      <c r="C208" t="s">
        <v>1</v>
      </c>
      <c r="D208" t="s">
        <v>1</v>
      </c>
      <c r="E208" t="s">
        <v>1308</v>
      </c>
      <c r="F208" t="s">
        <v>160</v>
      </c>
      <c r="G208" t="s">
        <v>161</v>
      </c>
      <c r="H208" t="s">
        <v>1294</v>
      </c>
      <c r="I208">
        <v>41</v>
      </c>
      <c r="J208">
        <v>10</v>
      </c>
      <c r="K208">
        <v>3</v>
      </c>
      <c r="L208">
        <v>2</v>
      </c>
      <c r="M208" t="s">
        <v>1309</v>
      </c>
      <c r="N208" t="s">
        <v>1</v>
      </c>
      <c r="O208" t="s">
        <v>1</v>
      </c>
      <c r="Q208">
        <v>3</v>
      </c>
      <c r="R208" t="s">
        <v>79</v>
      </c>
      <c r="S208" t="s">
        <v>8</v>
      </c>
      <c r="T208" t="s">
        <v>1</v>
      </c>
      <c r="U208" s="3" t="s">
        <v>1</v>
      </c>
      <c r="V208" s="3" t="s">
        <v>1310</v>
      </c>
      <c r="W208" s="3" t="s">
        <v>1311</v>
      </c>
      <c r="X208" t="s">
        <v>1207</v>
      </c>
      <c r="Y208">
        <v>8</v>
      </c>
      <c r="Z208">
        <v>0</v>
      </c>
      <c r="AA208">
        <f>IF('Στατιστικά'!$C$6,1,IFERROR(INDEX('Στατιστικά'!$C$10:$C$83,MATCH(G208,'Στατιστικά'!$B$10:$B$83,0))*1,0))</f>
        <v>1</v>
      </c>
    </row>
    <row r="209" spans="1:27">
      <c r="A209" s="2">
        <v>46252</v>
      </c>
      <c r="B209" t="s">
        <v>1</v>
      </c>
      <c r="C209" t="s">
        <v>1</v>
      </c>
      <c r="D209" t="s">
        <v>1</v>
      </c>
      <c r="E209" t="s">
        <v>1312</v>
      </c>
      <c r="F209" t="s">
        <v>64</v>
      </c>
      <c r="G209" t="s">
        <v>753</v>
      </c>
      <c r="H209" t="s">
        <v>753</v>
      </c>
      <c r="I209">
        <v>45</v>
      </c>
      <c r="J209">
        <v>14</v>
      </c>
      <c r="K209">
        <v>2</v>
      </c>
      <c r="M209" t="s">
        <v>989</v>
      </c>
      <c r="N209" t="s">
        <v>1</v>
      </c>
      <c r="O209" t="s">
        <v>1</v>
      </c>
      <c r="P209">
        <v>12</v>
      </c>
      <c r="R209" t="s">
        <v>1</v>
      </c>
      <c r="S209" t="s">
        <v>80</v>
      </c>
      <c r="T209" t="s">
        <v>1313</v>
      </c>
      <c r="U209" s="3" t="s">
        <v>1</v>
      </c>
      <c r="V209" s="3" t="s">
        <v>1314</v>
      </c>
      <c r="W209" s="3" t="s">
        <v>1315</v>
      </c>
      <c r="X209" t="s">
        <v>1079</v>
      </c>
      <c r="Y209">
        <v>8</v>
      </c>
      <c r="Z209">
        <v>12</v>
      </c>
      <c r="AA209">
        <f>IF('Στατιστικά'!$C$6,1,IFERROR(INDEX('Στατιστικά'!$C$10:$C$83,MATCH(G209,'Στατιστικά'!$B$10:$B$83,0))*1,0))</f>
        <v>1</v>
      </c>
    </row>
    <row r="210" spans="1:27">
      <c r="A210" s="2">
        <v>46252</v>
      </c>
      <c r="B210" t="s">
        <v>1</v>
      </c>
      <c r="C210" t="s">
        <v>1</v>
      </c>
      <c r="D210" t="s">
        <v>1</v>
      </c>
      <c r="E210" t="s">
        <v>1316</v>
      </c>
      <c r="F210" t="s">
        <v>141</v>
      </c>
      <c r="G210" t="s">
        <v>1232</v>
      </c>
      <c r="H210" t="s">
        <v>1</v>
      </c>
      <c r="M210" t="s">
        <v>1</v>
      </c>
      <c r="N210" t="s">
        <v>1</v>
      </c>
      <c r="O210" t="s">
        <v>1</v>
      </c>
      <c r="R210" t="s">
        <v>1</v>
      </c>
      <c r="S210" t="s">
        <v>1</v>
      </c>
      <c r="T210" t="s">
        <v>98</v>
      </c>
      <c r="U210" s="3" t="s">
        <v>1</v>
      </c>
      <c r="V210" s="3" t="s">
        <v>1317</v>
      </c>
      <c r="W210" s="3" t="s">
        <v>1</v>
      </c>
      <c r="X210" t="s">
        <v>1162</v>
      </c>
      <c r="Y210">
        <v>8</v>
      </c>
      <c r="Z210">
        <v>0</v>
      </c>
      <c r="AA210">
        <f>IF('Στατιστικά'!$C$6,1,IFERROR(INDEX('Στατιστικά'!$C$10:$C$83,MATCH(G210,'Στατιστικά'!$B$10:$B$83,0))*1,0))</f>
        <v>1</v>
      </c>
    </row>
    <row r="211" spans="1:27">
      <c r="A211" s="2">
        <v>46251</v>
      </c>
      <c r="B211" t="s">
        <v>1318</v>
      </c>
      <c r="C211" t="s">
        <v>1</v>
      </c>
      <c r="D211" t="s">
        <v>1</v>
      </c>
      <c r="E211" t="s">
        <v>1319</v>
      </c>
      <c r="F211" t="s">
        <v>450</v>
      </c>
      <c r="G211" t="s">
        <v>1186</v>
      </c>
      <c r="H211" t="s">
        <v>1320</v>
      </c>
      <c r="I211">
        <v>14</v>
      </c>
      <c r="J211">
        <v>4</v>
      </c>
      <c r="M211" t="s">
        <v>1321</v>
      </c>
      <c r="N211" t="s">
        <v>1</v>
      </c>
      <c r="O211" t="s">
        <v>1</v>
      </c>
      <c r="P211" t="s">
        <v>4725</v>
      </c>
      <c r="Q211">
        <v>3</v>
      </c>
      <c r="R211" t="s">
        <v>79</v>
      </c>
      <c r="S211" t="s">
        <v>80</v>
      </c>
      <c r="T211" t="s">
        <v>399</v>
      </c>
      <c r="U211" s="3" t="s">
        <v>1</v>
      </c>
      <c r="V211" s="3" t="s">
        <v>1322</v>
      </c>
      <c r="W211" s="3" t="s">
        <v>4726</v>
      </c>
      <c r="X211" t="s">
        <v>992</v>
      </c>
      <c r="Y211">
        <v>8</v>
      </c>
      <c r="Z211">
        <v>0</v>
      </c>
      <c r="AA211">
        <f>IF('Στατιστικά'!$C$6,1,IFERROR(INDEX('Στατιστικά'!$C$10:$C$83,MATCH(G211,'Στατιστικά'!$B$10:$B$83,0))*1,0))</f>
        <v>1</v>
      </c>
    </row>
    <row r="212" spans="1:27">
      <c r="A212" s="2">
        <v>46251</v>
      </c>
      <c r="B212" t="s">
        <v>1318</v>
      </c>
      <c r="C212" t="s">
        <v>1</v>
      </c>
      <c r="D212" t="s">
        <v>1</v>
      </c>
      <c r="E212" t="s">
        <v>1324</v>
      </c>
      <c r="F212" t="s">
        <v>44</v>
      </c>
      <c r="G212" t="s">
        <v>1186</v>
      </c>
      <c r="H212" t="s">
        <v>1325</v>
      </c>
      <c r="I212">
        <v>14</v>
      </c>
      <c r="J212">
        <v>4</v>
      </c>
      <c r="M212" t="s">
        <v>397</v>
      </c>
      <c r="N212" t="s">
        <v>1</v>
      </c>
      <c r="O212" t="s">
        <v>1</v>
      </c>
      <c r="P212" t="s">
        <v>4727</v>
      </c>
      <c r="Q212">
        <v>3</v>
      </c>
      <c r="R212" t="s">
        <v>79</v>
      </c>
      <c r="S212" t="s">
        <v>80</v>
      </c>
      <c r="T212" t="s">
        <v>399</v>
      </c>
      <c r="U212" s="3" t="s">
        <v>1</v>
      </c>
      <c r="V212" s="3" t="s">
        <v>1326</v>
      </c>
      <c r="W212" s="3" t="s">
        <v>4728</v>
      </c>
      <c r="X212" t="s">
        <v>1099</v>
      </c>
      <c r="Y212">
        <v>8</v>
      </c>
      <c r="Z212">
        <v>0</v>
      </c>
      <c r="AA212">
        <f>IF('Στατιστικά'!$C$6,1,IFERROR(INDEX('Στατιστικά'!$C$10:$C$83,MATCH(G212,'Στατιστικά'!$B$10:$B$83,0))*1,0))</f>
        <v>1</v>
      </c>
    </row>
    <row r="213" spans="1:27">
      <c r="A213" s="2">
        <v>46251</v>
      </c>
      <c r="B213" t="s">
        <v>1258</v>
      </c>
      <c r="C213" t="s">
        <v>1</v>
      </c>
      <c r="D213" t="s">
        <v>1</v>
      </c>
      <c r="E213" t="s">
        <v>1328</v>
      </c>
      <c r="F213" t="s">
        <v>22</v>
      </c>
      <c r="G213" t="s">
        <v>1329</v>
      </c>
      <c r="H213" t="s">
        <v>1330</v>
      </c>
      <c r="I213">
        <v>26</v>
      </c>
      <c r="J213">
        <v>4</v>
      </c>
      <c r="K213">
        <v>2</v>
      </c>
      <c r="L213">
        <v>2</v>
      </c>
      <c r="M213" t="s">
        <v>1331</v>
      </c>
      <c r="N213" t="s">
        <v>1</v>
      </c>
      <c r="O213" t="s">
        <v>1</v>
      </c>
      <c r="Q213">
        <v>3</v>
      </c>
      <c r="R213" t="s">
        <v>79</v>
      </c>
      <c r="S213" t="s">
        <v>107</v>
      </c>
      <c r="T213" t="s">
        <v>1</v>
      </c>
      <c r="U213" s="3" t="s">
        <v>1</v>
      </c>
      <c r="V213" s="3" t="s">
        <v>1332</v>
      </c>
      <c r="W213" s="3" t="s">
        <v>1333</v>
      </c>
      <c r="X213" t="s">
        <v>1334</v>
      </c>
      <c r="Y213">
        <v>8</v>
      </c>
      <c r="Z213">
        <v>0</v>
      </c>
      <c r="AA213">
        <f>IF('Στατιστικά'!$C$6,1,IFERROR(INDEX('Στατιστικά'!$C$10:$C$83,MATCH(G213,'Στατιστικά'!$B$10:$B$83,0))*1,0))</f>
        <v>1</v>
      </c>
    </row>
    <row r="214" spans="1:27">
      <c r="A214" s="2">
        <v>46251</v>
      </c>
      <c r="B214" t="s">
        <v>1258</v>
      </c>
      <c r="C214" t="s">
        <v>1</v>
      </c>
      <c r="D214" t="s">
        <v>1</v>
      </c>
      <c r="E214" t="s">
        <v>1335</v>
      </c>
      <c r="F214" t="s">
        <v>28</v>
      </c>
      <c r="G214" t="s">
        <v>1336</v>
      </c>
      <c r="H214" t="s">
        <v>1337</v>
      </c>
      <c r="I214">
        <v>70</v>
      </c>
      <c r="J214">
        <v>21</v>
      </c>
      <c r="K214">
        <v>2</v>
      </c>
      <c r="L214">
        <v>2</v>
      </c>
      <c r="M214" t="s">
        <v>1338</v>
      </c>
      <c r="N214" t="s">
        <v>1339</v>
      </c>
      <c r="O214" t="s">
        <v>1</v>
      </c>
      <c r="Q214">
        <v>3</v>
      </c>
      <c r="R214" t="s">
        <v>79</v>
      </c>
      <c r="S214" t="s">
        <v>58</v>
      </c>
      <c r="T214" t="s">
        <v>1340</v>
      </c>
      <c r="U214" s="3" t="s">
        <v>1341</v>
      </c>
      <c r="V214" s="3" t="s">
        <v>1342</v>
      </c>
      <c r="W214" s="3" t="s">
        <v>1343</v>
      </c>
      <c r="X214" t="s">
        <v>1099</v>
      </c>
      <c r="Y214">
        <v>8</v>
      </c>
      <c r="Z214">
        <v>0</v>
      </c>
      <c r="AA214">
        <f>IF('Στατιστικά'!$C$6,1,IFERROR(INDEX('Στατιστικά'!$C$10:$C$83,MATCH(G214,'Στατιστικά'!$B$10:$B$83,0))*1,0))</f>
        <v>1</v>
      </c>
    </row>
    <row r="215" spans="1:27">
      <c r="A215" s="2">
        <v>46251</v>
      </c>
      <c r="B215" t="s">
        <v>1258</v>
      </c>
      <c r="C215" t="s">
        <v>1344</v>
      </c>
      <c r="D215" t="s">
        <v>1</v>
      </c>
      <c r="E215" t="s">
        <v>1345</v>
      </c>
      <c r="F215" t="s">
        <v>141</v>
      </c>
      <c r="G215" t="s">
        <v>1232</v>
      </c>
      <c r="H215" t="s">
        <v>1346</v>
      </c>
      <c r="I215">
        <v>25</v>
      </c>
      <c r="J215">
        <v>5</v>
      </c>
      <c r="K215">
        <v>2</v>
      </c>
      <c r="L215">
        <v>0</v>
      </c>
      <c r="M215" t="s">
        <v>621</v>
      </c>
      <c r="N215" t="s">
        <v>1347</v>
      </c>
      <c r="O215" t="s">
        <v>1</v>
      </c>
      <c r="P215" t="s">
        <v>4729</v>
      </c>
      <c r="Q215">
        <v>3</v>
      </c>
      <c r="R215" t="s">
        <v>79</v>
      </c>
      <c r="S215" t="s">
        <v>80</v>
      </c>
      <c r="T215" t="s">
        <v>1348</v>
      </c>
      <c r="U215" s="3" t="s">
        <v>1</v>
      </c>
      <c r="V215" s="3" t="s">
        <v>1349</v>
      </c>
      <c r="W215" s="3" t="s">
        <v>4730</v>
      </c>
      <c r="X215" t="s">
        <v>992</v>
      </c>
      <c r="Y215">
        <v>8</v>
      </c>
      <c r="Z215">
        <v>0</v>
      </c>
      <c r="AA215">
        <f>IF('Στατιστικά'!$C$6,1,IFERROR(INDEX('Στατιστικά'!$C$10:$C$83,MATCH(G215,'Στατιστικά'!$B$10:$B$83,0))*1,0))</f>
        <v>1</v>
      </c>
    </row>
    <row r="216" spans="1:27">
      <c r="A216" s="2">
        <v>46251</v>
      </c>
      <c r="B216" t="s">
        <v>582</v>
      </c>
      <c r="C216" t="s">
        <v>1</v>
      </c>
      <c r="D216" t="s">
        <v>1</v>
      </c>
      <c r="E216" t="s">
        <v>1351</v>
      </c>
      <c r="F216" t="s">
        <v>1003</v>
      </c>
      <c r="G216" t="s">
        <v>1352</v>
      </c>
      <c r="H216" t="s">
        <v>1</v>
      </c>
      <c r="M216" t="s">
        <v>1</v>
      </c>
      <c r="N216" t="s">
        <v>1</v>
      </c>
      <c r="O216" t="s">
        <v>1</v>
      </c>
      <c r="P216">
        <v>0.2</v>
      </c>
      <c r="Q216">
        <v>3</v>
      </c>
      <c r="R216" t="s">
        <v>79</v>
      </c>
      <c r="S216" t="s">
        <v>58</v>
      </c>
      <c r="T216" t="s">
        <v>1</v>
      </c>
      <c r="U216" s="3" t="s">
        <v>1</v>
      </c>
      <c r="V216" s="3" t="s">
        <v>1353</v>
      </c>
      <c r="W216" s="3" t="s">
        <v>1354</v>
      </c>
      <c r="X216" t="s">
        <v>1355</v>
      </c>
      <c r="Y216">
        <v>8</v>
      </c>
      <c r="Z216">
        <v>0.2</v>
      </c>
      <c r="AA216">
        <f>IF('Στατιστικά'!$C$6,1,IFERROR(INDEX('Στατιστικά'!$C$10:$C$83,MATCH(G216,'Στατιστικά'!$B$10:$B$83,0))*1,0))</f>
        <v>1</v>
      </c>
    </row>
    <row r="217" spans="1:27">
      <c r="A217" s="2">
        <v>46251</v>
      </c>
      <c r="B217" t="s">
        <v>300</v>
      </c>
      <c r="C217" t="s">
        <v>1</v>
      </c>
      <c r="D217" t="s">
        <v>1</v>
      </c>
      <c r="E217" t="s">
        <v>1356</v>
      </c>
      <c r="F217" t="s">
        <v>44</v>
      </c>
      <c r="G217" t="s">
        <v>1186</v>
      </c>
      <c r="H217" t="s">
        <v>1187</v>
      </c>
      <c r="I217">
        <v>26</v>
      </c>
      <c r="J217">
        <v>6</v>
      </c>
      <c r="K217">
        <v>2</v>
      </c>
      <c r="L217">
        <v>0</v>
      </c>
      <c r="M217" t="s">
        <v>452</v>
      </c>
      <c r="N217" t="s">
        <v>1</v>
      </c>
      <c r="O217" t="s">
        <v>1</v>
      </c>
      <c r="Q217">
        <v>3</v>
      </c>
      <c r="R217" t="s">
        <v>79</v>
      </c>
      <c r="S217" t="s">
        <v>58</v>
      </c>
      <c r="T217" t="s">
        <v>1357</v>
      </c>
      <c r="U217" s="3" t="s">
        <v>1</v>
      </c>
      <c r="V217" s="3" t="s">
        <v>1358</v>
      </c>
      <c r="W217" s="3" t="s">
        <v>1359</v>
      </c>
      <c r="X217" t="s">
        <v>1355</v>
      </c>
      <c r="Y217">
        <v>8</v>
      </c>
      <c r="Z217">
        <v>0</v>
      </c>
      <c r="AA217">
        <f>IF('Στατιστικά'!$C$6,1,IFERROR(INDEX('Στατιστικά'!$C$10:$C$83,MATCH(G217,'Στατιστικά'!$B$10:$B$83,0))*1,0))</f>
        <v>1</v>
      </c>
    </row>
    <row r="218" spans="1:27">
      <c r="A218" s="2">
        <v>46251</v>
      </c>
      <c r="B218" t="s">
        <v>182</v>
      </c>
      <c r="C218" t="s">
        <v>422</v>
      </c>
      <c r="D218" t="s">
        <v>1</v>
      </c>
      <c r="E218" t="s">
        <v>1360</v>
      </c>
      <c r="F218" t="s">
        <v>15</v>
      </c>
      <c r="G218" t="s">
        <v>15</v>
      </c>
      <c r="H218" t="s">
        <v>1361</v>
      </c>
      <c r="I218">
        <v>60</v>
      </c>
      <c r="J218">
        <v>17</v>
      </c>
      <c r="K218">
        <v>2</v>
      </c>
      <c r="L218">
        <v>3</v>
      </c>
      <c r="M218" t="s">
        <v>1216</v>
      </c>
      <c r="N218" t="s">
        <v>1</v>
      </c>
      <c r="O218" t="s">
        <v>239</v>
      </c>
      <c r="Q218">
        <v>3</v>
      </c>
      <c r="R218" t="s">
        <v>79</v>
      </c>
      <c r="S218" t="s">
        <v>58</v>
      </c>
      <c r="T218" t="s">
        <v>1362</v>
      </c>
      <c r="U218" s="3" t="s">
        <v>1363</v>
      </c>
      <c r="V218" s="3" t="s">
        <v>1364</v>
      </c>
      <c r="W218" s="3" t="s">
        <v>1365</v>
      </c>
      <c r="X218" t="s">
        <v>992</v>
      </c>
      <c r="Y218">
        <v>8</v>
      </c>
      <c r="Z218">
        <v>0</v>
      </c>
      <c r="AA218">
        <f>IF('Στατιστικά'!$C$6,1,IFERROR(INDEX('Στατιστικά'!$C$10:$C$83,MATCH(G218,'Στατιστικά'!$B$10:$B$83,0))*1,0))</f>
        <v>1</v>
      </c>
    </row>
    <row r="219" spans="1:27">
      <c r="A219" s="2">
        <v>46251</v>
      </c>
      <c r="B219" t="s">
        <v>182</v>
      </c>
      <c r="C219" t="s">
        <v>1366</v>
      </c>
      <c r="D219" t="s">
        <v>1</v>
      </c>
      <c r="E219" t="s">
        <v>1367</v>
      </c>
      <c r="F219" t="s">
        <v>53</v>
      </c>
      <c r="G219" t="s">
        <v>116</v>
      </c>
      <c r="H219" t="s">
        <v>1368</v>
      </c>
      <c r="I219">
        <v>41</v>
      </c>
      <c r="J219">
        <v>11</v>
      </c>
      <c r="M219" t="s">
        <v>754</v>
      </c>
      <c r="N219" t="s">
        <v>389</v>
      </c>
      <c r="O219" t="s">
        <v>239</v>
      </c>
      <c r="Q219">
        <v>2</v>
      </c>
      <c r="R219" t="s">
        <v>17</v>
      </c>
      <c r="S219" t="s">
        <v>80</v>
      </c>
      <c r="T219" t="s">
        <v>1369</v>
      </c>
      <c r="U219" s="3" t="s">
        <v>1</v>
      </c>
      <c r="V219" s="3" t="s">
        <v>1370</v>
      </c>
      <c r="W219" s="3" t="s">
        <v>1371</v>
      </c>
      <c r="X219" t="s">
        <v>992</v>
      </c>
      <c r="Y219">
        <v>8</v>
      </c>
      <c r="Z219">
        <v>0</v>
      </c>
      <c r="AA219">
        <f>IF('Στατιστικά'!$C$6,1,IFERROR(INDEX('Στατιστικά'!$C$10:$C$83,MATCH(G219,'Στατιστικά'!$B$10:$B$83,0))*1,0))</f>
        <v>1</v>
      </c>
    </row>
    <row r="220" spans="1:27">
      <c r="A220" s="2">
        <v>46251</v>
      </c>
      <c r="B220" t="s">
        <v>182</v>
      </c>
      <c r="C220" t="s">
        <v>422</v>
      </c>
      <c r="D220" t="s">
        <v>1</v>
      </c>
      <c r="E220" t="s">
        <v>1372</v>
      </c>
      <c r="F220" t="s">
        <v>38</v>
      </c>
      <c r="G220" t="s">
        <v>15</v>
      </c>
      <c r="H220" t="s">
        <v>1373</v>
      </c>
      <c r="I220">
        <v>60</v>
      </c>
      <c r="J220">
        <v>17</v>
      </c>
      <c r="K220">
        <v>2</v>
      </c>
      <c r="L220">
        <v>3</v>
      </c>
      <c r="M220" t="s">
        <v>828</v>
      </c>
      <c r="N220" t="s">
        <v>1</v>
      </c>
      <c r="O220" t="s">
        <v>239</v>
      </c>
      <c r="Q220">
        <v>3</v>
      </c>
      <c r="R220" t="s">
        <v>79</v>
      </c>
      <c r="S220" t="s">
        <v>58</v>
      </c>
      <c r="T220" t="s">
        <v>1374</v>
      </c>
      <c r="U220" s="3" t="s">
        <v>1</v>
      </c>
      <c r="V220" s="3" t="s">
        <v>1375</v>
      </c>
      <c r="W220" s="3" t="s">
        <v>1376</v>
      </c>
      <c r="X220" t="s">
        <v>992</v>
      </c>
      <c r="Y220">
        <v>8</v>
      </c>
      <c r="Z220">
        <v>0</v>
      </c>
      <c r="AA220">
        <f>IF('Στατιστικά'!$C$6,1,IFERROR(INDEX('Στατιστικά'!$C$10:$C$83,MATCH(G220,'Στατιστικά'!$B$10:$B$83,0))*1,0))</f>
        <v>1</v>
      </c>
    </row>
    <row r="221" spans="1:27">
      <c r="A221" s="2">
        <v>46251</v>
      </c>
      <c r="B221" t="s">
        <v>1</v>
      </c>
      <c r="C221" t="s">
        <v>251</v>
      </c>
      <c r="D221" t="s">
        <v>251</v>
      </c>
      <c r="E221" t="s">
        <v>632</v>
      </c>
      <c r="F221" t="s">
        <v>217</v>
      </c>
      <c r="G221" t="s">
        <v>412</v>
      </c>
      <c r="H221" t="s">
        <v>1</v>
      </c>
      <c r="I221">
        <v>23</v>
      </c>
      <c r="J221">
        <v>7</v>
      </c>
      <c r="K221">
        <v>2</v>
      </c>
      <c r="L221">
        <v>1</v>
      </c>
      <c r="M221" t="s">
        <v>220</v>
      </c>
      <c r="N221" t="s">
        <v>419</v>
      </c>
      <c r="O221" t="s">
        <v>1</v>
      </c>
      <c r="P221" t="s">
        <v>4731</v>
      </c>
      <c r="Q221">
        <v>3</v>
      </c>
      <c r="R221" t="s">
        <v>79</v>
      </c>
      <c r="S221" t="s">
        <v>58</v>
      </c>
      <c r="T221" t="s">
        <v>1377</v>
      </c>
      <c r="U221" s="3" t="s">
        <v>1</v>
      </c>
      <c r="V221" s="3" t="s">
        <v>1378</v>
      </c>
      <c r="W221" s="3" t="s">
        <v>4732</v>
      </c>
      <c r="X221" t="s">
        <v>992</v>
      </c>
      <c r="Y221">
        <v>8</v>
      </c>
      <c r="Z221">
        <v>0</v>
      </c>
      <c r="AA221">
        <f>IF('Στατιστικά'!$C$6,1,IFERROR(INDEX('Στατιστικά'!$C$10:$C$83,MATCH(G221,'Στατιστικά'!$B$10:$B$83,0))*1,0))</f>
        <v>1</v>
      </c>
    </row>
    <row r="222" spans="1:27">
      <c r="A222" s="2">
        <v>46250</v>
      </c>
      <c r="B222" t="s">
        <v>1380</v>
      </c>
      <c r="C222" t="s">
        <v>1</v>
      </c>
      <c r="D222" t="s">
        <v>1381</v>
      </c>
      <c r="E222" t="s">
        <v>1382</v>
      </c>
      <c r="F222" t="s">
        <v>74</v>
      </c>
      <c r="G222" t="s">
        <v>75</v>
      </c>
      <c r="H222" t="s">
        <v>1383</v>
      </c>
      <c r="I222">
        <v>48</v>
      </c>
      <c r="J222">
        <v>16</v>
      </c>
      <c r="K222">
        <v>0</v>
      </c>
      <c r="L222">
        <v>0</v>
      </c>
      <c r="M222" t="s">
        <v>1384</v>
      </c>
      <c r="N222" t="s">
        <v>1</v>
      </c>
      <c r="O222" t="s">
        <v>1</v>
      </c>
      <c r="Q222">
        <v>4</v>
      </c>
      <c r="R222" t="s">
        <v>137</v>
      </c>
      <c r="S222" t="s">
        <v>58</v>
      </c>
      <c r="T222" t="s">
        <v>1385</v>
      </c>
      <c r="U222" s="3" t="s">
        <v>1386</v>
      </c>
      <c r="V222" s="3" t="s">
        <v>1387</v>
      </c>
      <c r="W222" s="3" t="s">
        <v>1388</v>
      </c>
      <c r="X222" t="s">
        <v>992</v>
      </c>
      <c r="Y222">
        <v>8</v>
      </c>
      <c r="Z222">
        <v>0</v>
      </c>
      <c r="AA222">
        <f>IF('Στατιστικά'!$C$6,1,IFERROR(INDEX('Στατιστικά'!$C$10:$C$83,MATCH(G222,'Στατιστικά'!$B$10:$B$83,0))*1,0))</f>
        <v>1</v>
      </c>
    </row>
    <row r="223" spans="1:27">
      <c r="A223" s="2">
        <v>46250</v>
      </c>
      <c r="B223" t="s">
        <v>637</v>
      </c>
      <c r="C223" t="s">
        <v>1</v>
      </c>
      <c r="D223" t="s">
        <v>1</v>
      </c>
      <c r="E223" t="s">
        <v>1389</v>
      </c>
      <c r="F223" t="s">
        <v>217</v>
      </c>
      <c r="G223" t="s">
        <v>412</v>
      </c>
      <c r="H223" t="s">
        <v>1390</v>
      </c>
      <c r="I223">
        <v>20</v>
      </c>
      <c r="J223">
        <v>5</v>
      </c>
      <c r="K223">
        <v>2</v>
      </c>
      <c r="M223" t="s">
        <v>664</v>
      </c>
      <c r="N223" t="s">
        <v>1339</v>
      </c>
      <c r="O223" t="s">
        <v>1</v>
      </c>
      <c r="P223" t="s">
        <v>4733</v>
      </c>
      <c r="Q223">
        <v>3</v>
      </c>
      <c r="R223" t="s">
        <v>79</v>
      </c>
      <c r="S223" t="s">
        <v>1</v>
      </c>
      <c r="T223" t="s">
        <v>1</v>
      </c>
      <c r="U223" s="3" t="s">
        <v>1</v>
      </c>
      <c r="V223" s="3" t="s">
        <v>1391</v>
      </c>
      <c r="W223" s="3" t="s">
        <v>4734</v>
      </c>
      <c r="X223" t="s">
        <v>1334</v>
      </c>
      <c r="Y223">
        <v>8</v>
      </c>
      <c r="Z223">
        <v>0</v>
      </c>
      <c r="AA223">
        <f>IF('Στατιστικά'!$C$6,1,IFERROR(INDEX('Στατιστικά'!$C$10:$C$83,MATCH(G223,'Στατιστικά'!$B$10:$B$83,0))*1,0))</f>
        <v>1</v>
      </c>
    </row>
    <row r="224" spans="1:27">
      <c r="A224" s="2">
        <v>46250</v>
      </c>
      <c r="B224" t="s">
        <v>1393</v>
      </c>
      <c r="C224" t="s">
        <v>1</v>
      </c>
      <c r="D224" t="s">
        <v>1</v>
      </c>
      <c r="E224" t="s">
        <v>1394</v>
      </c>
      <c r="F224" t="s">
        <v>38</v>
      </c>
      <c r="G224" t="s">
        <v>15</v>
      </c>
      <c r="H224" t="s">
        <v>840</v>
      </c>
      <c r="I224">
        <v>260</v>
      </c>
      <c r="J224">
        <v>60</v>
      </c>
      <c r="K224">
        <v>10</v>
      </c>
      <c r="L224">
        <v>9</v>
      </c>
      <c r="M224" t="s">
        <v>1395</v>
      </c>
      <c r="N224" t="s">
        <v>1396</v>
      </c>
      <c r="O224" t="s">
        <v>1397</v>
      </c>
      <c r="P224">
        <v>360</v>
      </c>
      <c r="Q224">
        <v>4</v>
      </c>
      <c r="R224" t="s">
        <v>137</v>
      </c>
      <c r="S224" t="s">
        <v>58</v>
      </c>
      <c r="T224" t="s">
        <v>1398</v>
      </c>
      <c r="U224" s="3" t="s">
        <v>1399</v>
      </c>
      <c r="V224" s="3" t="s">
        <v>1400</v>
      </c>
      <c r="W224" s="3" t="s">
        <v>1401</v>
      </c>
      <c r="X224" t="s">
        <v>1079</v>
      </c>
      <c r="Y224">
        <v>8</v>
      </c>
      <c r="Z224">
        <v>360</v>
      </c>
      <c r="AA224">
        <f>IF('Στατιστικά'!$C$6,1,IFERROR(INDEX('Στατιστικά'!$C$10:$C$83,MATCH(G224,'Στατιστικά'!$B$10:$B$83,0))*1,0))</f>
        <v>1</v>
      </c>
    </row>
    <row r="225" spans="1:27">
      <c r="A225" s="2">
        <v>46250</v>
      </c>
      <c r="B225" t="s">
        <v>1393</v>
      </c>
      <c r="C225" t="s">
        <v>1</v>
      </c>
      <c r="D225" t="s">
        <v>1</v>
      </c>
      <c r="E225" t="s">
        <v>1402</v>
      </c>
      <c r="F225" t="s">
        <v>38</v>
      </c>
      <c r="G225" t="s">
        <v>15</v>
      </c>
      <c r="H225" t="s">
        <v>840</v>
      </c>
      <c r="I225">
        <v>260</v>
      </c>
      <c r="J225">
        <v>58</v>
      </c>
      <c r="K225">
        <v>10</v>
      </c>
      <c r="L225">
        <v>8</v>
      </c>
      <c r="M225" t="s">
        <v>1395</v>
      </c>
      <c r="N225" t="s">
        <v>1</v>
      </c>
      <c r="O225" t="s">
        <v>1</v>
      </c>
      <c r="Q225">
        <v>4</v>
      </c>
      <c r="R225" t="s">
        <v>137</v>
      </c>
      <c r="S225" t="s">
        <v>58</v>
      </c>
      <c r="T225" t="s">
        <v>1403</v>
      </c>
      <c r="U225" s="3" t="s">
        <v>1404</v>
      </c>
      <c r="V225" s="3" t="s">
        <v>1405</v>
      </c>
      <c r="W225" s="3" t="s">
        <v>1406</v>
      </c>
      <c r="X225" t="s">
        <v>1099</v>
      </c>
      <c r="Y225">
        <v>8</v>
      </c>
      <c r="Z225">
        <v>0</v>
      </c>
      <c r="AA225">
        <f>IF('Στατιστικά'!$C$6,1,IFERROR(INDEX('Στατιστικά'!$C$10:$C$83,MATCH(G225,'Στατιστικά'!$B$10:$B$83,0))*1,0))</f>
        <v>1</v>
      </c>
    </row>
    <row r="226" spans="1:27">
      <c r="A226" s="2">
        <v>46250</v>
      </c>
      <c r="B226" t="s">
        <v>182</v>
      </c>
      <c r="C226" t="s">
        <v>118</v>
      </c>
      <c r="D226" t="s">
        <v>1</v>
      </c>
      <c r="E226" t="s">
        <v>1407</v>
      </c>
      <c r="F226" t="s">
        <v>141</v>
      </c>
      <c r="G226" t="s">
        <v>481</v>
      </c>
      <c r="H226" t="s">
        <v>1408</v>
      </c>
      <c r="I226">
        <v>20</v>
      </c>
      <c r="J226">
        <v>6</v>
      </c>
      <c r="K226">
        <v>2</v>
      </c>
      <c r="L226">
        <v>1</v>
      </c>
      <c r="M226" t="s">
        <v>1409</v>
      </c>
      <c r="N226" t="s">
        <v>1</v>
      </c>
      <c r="O226" t="s">
        <v>1</v>
      </c>
      <c r="P226" t="s">
        <v>4735</v>
      </c>
      <c r="Q226">
        <v>3</v>
      </c>
      <c r="R226" t="s">
        <v>79</v>
      </c>
      <c r="S226" t="s">
        <v>80</v>
      </c>
      <c r="T226" t="s">
        <v>1410</v>
      </c>
      <c r="U226" s="3" t="s">
        <v>1</v>
      </c>
      <c r="V226" s="3" t="s">
        <v>1411</v>
      </c>
      <c r="W226" s="3" t="s">
        <v>4736</v>
      </c>
      <c r="X226" t="s">
        <v>1115</v>
      </c>
      <c r="Y226">
        <v>8</v>
      </c>
      <c r="Z226">
        <v>0</v>
      </c>
      <c r="AA226">
        <f>IF('Στατιστικά'!$C$6,1,IFERROR(INDEX('Στατιστικά'!$C$10:$C$83,MATCH(G226,'Στατιστικά'!$B$10:$B$83,0))*1,0))</f>
        <v>1</v>
      </c>
    </row>
    <row r="227" spans="1:27">
      <c r="A227" s="2">
        <v>46250</v>
      </c>
      <c r="B227" t="s">
        <v>1413</v>
      </c>
      <c r="C227" t="s">
        <v>1</v>
      </c>
      <c r="D227" t="s">
        <v>1</v>
      </c>
      <c r="E227" t="s">
        <v>1414</v>
      </c>
      <c r="F227" t="s">
        <v>120</v>
      </c>
      <c r="G227" t="s">
        <v>121</v>
      </c>
      <c r="H227" t="s">
        <v>458</v>
      </c>
      <c r="I227">
        <v>20</v>
      </c>
      <c r="J227">
        <v>5</v>
      </c>
      <c r="K227">
        <v>0</v>
      </c>
      <c r="L227">
        <v>1</v>
      </c>
      <c r="M227" t="s">
        <v>1415</v>
      </c>
      <c r="N227" t="s">
        <v>1416</v>
      </c>
      <c r="O227" t="s">
        <v>1417</v>
      </c>
      <c r="P227" t="s">
        <v>4737</v>
      </c>
      <c r="Q227">
        <v>4</v>
      </c>
      <c r="R227" t="s">
        <v>137</v>
      </c>
      <c r="S227" t="s">
        <v>80</v>
      </c>
      <c r="T227" t="s">
        <v>1418</v>
      </c>
      <c r="U227" s="3" t="s">
        <v>1419</v>
      </c>
      <c r="V227" s="3" t="s">
        <v>1420</v>
      </c>
      <c r="W227" s="3" t="s">
        <v>4738</v>
      </c>
      <c r="X227" t="s">
        <v>1162</v>
      </c>
      <c r="Y227">
        <v>8</v>
      </c>
      <c r="Z227">
        <v>0</v>
      </c>
      <c r="AA227">
        <f>IF('Στατιστικά'!$C$6,1,IFERROR(INDEX('Στατιστικά'!$C$10:$C$83,MATCH(G227,'Στατιστικά'!$B$10:$B$83,0))*1,0))</f>
        <v>1</v>
      </c>
    </row>
    <row r="228" spans="1:27">
      <c r="A228" s="2">
        <v>46249</v>
      </c>
      <c r="B228" t="s">
        <v>62</v>
      </c>
      <c r="C228" t="s">
        <v>1</v>
      </c>
      <c r="D228" t="s">
        <v>1</v>
      </c>
      <c r="E228" t="s">
        <v>1422</v>
      </c>
      <c r="F228" t="s">
        <v>160</v>
      </c>
      <c r="G228" t="s">
        <v>161</v>
      </c>
      <c r="H228" t="s">
        <v>1423</v>
      </c>
      <c r="I228">
        <v>10</v>
      </c>
      <c r="J228">
        <v>5</v>
      </c>
      <c r="K228">
        <v>3</v>
      </c>
      <c r="L228">
        <v>1</v>
      </c>
      <c r="M228" t="s">
        <v>1424</v>
      </c>
      <c r="N228" t="s">
        <v>1</v>
      </c>
      <c r="O228" t="s">
        <v>1</v>
      </c>
      <c r="P228" t="s">
        <v>4739</v>
      </c>
      <c r="R228" t="s">
        <v>1</v>
      </c>
      <c r="S228" t="s">
        <v>80</v>
      </c>
      <c r="T228" t="s">
        <v>1425</v>
      </c>
      <c r="U228" s="3" t="s">
        <v>904</v>
      </c>
      <c r="V228" s="3" t="s">
        <v>1426</v>
      </c>
      <c r="W228" s="3" t="s">
        <v>4740</v>
      </c>
      <c r="X228" t="s">
        <v>1162</v>
      </c>
      <c r="Y228">
        <v>8</v>
      </c>
      <c r="Z228">
        <v>0</v>
      </c>
      <c r="AA228">
        <f>IF('Στατιστικά'!$C$6,1,IFERROR(INDEX('Στατιστικά'!$C$10:$C$83,MATCH(G228,'Στατιστικά'!$B$10:$B$83,0))*1,0))</f>
        <v>1</v>
      </c>
    </row>
    <row r="229" spans="1:27">
      <c r="A229" s="2">
        <v>46249</v>
      </c>
      <c r="B229" t="s">
        <v>373</v>
      </c>
      <c r="C229" t="s">
        <v>1</v>
      </c>
      <c r="D229" t="s">
        <v>1</v>
      </c>
      <c r="E229" t="s">
        <v>1428</v>
      </c>
      <c r="F229" t="s">
        <v>64</v>
      </c>
      <c r="G229" t="s">
        <v>130</v>
      </c>
      <c r="H229" t="s">
        <v>1429</v>
      </c>
      <c r="I229">
        <v>17</v>
      </c>
      <c r="J229">
        <v>5</v>
      </c>
      <c r="L229">
        <v>2</v>
      </c>
      <c r="M229" t="s">
        <v>1409</v>
      </c>
      <c r="N229" t="s">
        <v>1</v>
      </c>
      <c r="O229" t="s">
        <v>1</v>
      </c>
      <c r="P229" t="s">
        <v>4741</v>
      </c>
      <c r="R229" t="s">
        <v>1</v>
      </c>
      <c r="S229" t="s">
        <v>80</v>
      </c>
      <c r="T229" t="s">
        <v>1430</v>
      </c>
      <c r="U229" s="3" t="s">
        <v>1</v>
      </c>
      <c r="V229" s="3" t="s">
        <v>1431</v>
      </c>
      <c r="W229" s="3" t="s">
        <v>4742</v>
      </c>
      <c r="X229" t="s">
        <v>1162</v>
      </c>
      <c r="Y229">
        <v>8</v>
      </c>
      <c r="Z229">
        <v>0</v>
      </c>
      <c r="AA229">
        <f>IF('Στατιστικά'!$C$6,1,IFERROR(INDEX('Στατιστικά'!$C$10:$C$83,MATCH(G229,'Στατιστικά'!$B$10:$B$83,0))*1,0))</f>
        <v>1</v>
      </c>
    </row>
    <row r="230" spans="1:27">
      <c r="A230" s="2">
        <v>46249</v>
      </c>
      <c r="B230" t="s">
        <v>251</v>
      </c>
      <c r="C230" t="s">
        <v>1</v>
      </c>
      <c r="D230" t="s">
        <v>1</v>
      </c>
      <c r="E230" t="s">
        <v>1433</v>
      </c>
      <c r="F230" t="s">
        <v>86</v>
      </c>
      <c r="G230" t="s">
        <v>1434</v>
      </c>
      <c r="H230" t="s">
        <v>1435</v>
      </c>
      <c r="I230">
        <v>89</v>
      </c>
      <c r="J230">
        <v>21</v>
      </c>
      <c r="K230">
        <v>11</v>
      </c>
      <c r="L230">
        <v>5</v>
      </c>
      <c r="M230" t="s">
        <v>1436</v>
      </c>
      <c r="N230" t="s">
        <v>1437</v>
      </c>
      <c r="O230" t="s">
        <v>1438</v>
      </c>
      <c r="Q230">
        <v>4</v>
      </c>
      <c r="R230" t="s">
        <v>137</v>
      </c>
      <c r="S230" t="s">
        <v>8</v>
      </c>
      <c r="T230" t="s">
        <v>1</v>
      </c>
      <c r="U230" s="3" t="s">
        <v>1439</v>
      </c>
      <c r="V230" s="3" t="s">
        <v>1440</v>
      </c>
      <c r="W230" s="3" t="s">
        <v>1441</v>
      </c>
      <c r="X230" t="s">
        <v>1442</v>
      </c>
      <c r="Y230">
        <v>8</v>
      </c>
      <c r="Z230">
        <v>0</v>
      </c>
      <c r="AA230">
        <f>IF('Στατιστικά'!$C$6,1,IFERROR(INDEX('Στατιστικά'!$C$10:$C$83,MATCH(G230,'Στατιστικά'!$B$10:$B$83,0))*1,0))</f>
        <v>1</v>
      </c>
    </row>
    <row r="231" spans="1:27">
      <c r="A231" s="2">
        <v>46249</v>
      </c>
      <c r="B231" t="s">
        <v>251</v>
      </c>
      <c r="C231" t="s">
        <v>1</v>
      </c>
      <c r="D231" t="s">
        <v>1</v>
      </c>
      <c r="E231" t="s">
        <v>1443</v>
      </c>
      <c r="F231" t="s">
        <v>44</v>
      </c>
      <c r="G231" t="s">
        <v>174</v>
      </c>
      <c r="H231" t="s">
        <v>1444</v>
      </c>
      <c r="I231">
        <v>89</v>
      </c>
      <c r="J231">
        <v>21</v>
      </c>
      <c r="K231">
        <v>11</v>
      </c>
      <c r="L231">
        <v>5</v>
      </c>
      <c r="M231" t="s">
        <v>1445</v>
      </c>
      <c r="N231" t="s">
        <v>1416</v>
      </c>
      <c r="O231" t="s">
        <v>1417</v>
      </c>
      <c r="P231">
        <v>363.6</v>
      </c>
      <c r="Q231">
        <v>4</v>
      </c>
      <c r="R231" t="s">
        <v>137</v>
      </c>
      <c r="S231" t="s">
        <v>80</v>
      </c>
      <c r="T231" t="s">
        <v>1446</v>
      </c>
      <c r="U231" s="3" t="s">
        <v>1447</v>
      </c>
      <c r="V231" s="3" t="s">
        <v>1448</v>
      </c>
      <c r="W231" s="3" t="s">
        <v>4516</v>
      </c>
      <c r="X231" t="s">
        <v>1162</v>
      </c>
      <c r="Y231">
        <v>8</v>
      </c>
      <c r="Z231">
        <v>363.6</v>
      </c>
      <c r="AA231">
        <f>IF('Στατιστικά'!$C$6,1,IFERROR(INDEX('Στατιστικά'!$C$10:$C$83,MATCH(G231,'Στατιστικά'!$B$10:$B$83,0))*1,0))</f>
        <v>1</v>
      </c>
    </row>
    <row r="232" spans="1:27">
      <c r="A232" s="2">
        <v>46249</v>
      </c>
      <c r="B232" t="s">
        <v>251</v>
      </c>
      <c r="C232" t="s">
        <v>1</v>
      </c>
      <c r="D232" t="s">
        <v>1</v>
      </c>
      <c r="E232" t="s">
        <v>1443</v>
      </c>
      <c r="F232" t="s">
        <v>324</v>
      </c>
      <c r="G232" t="s">
        <v>1444</v>
      </c>
      <c r="H232" t="s">
        <v>1444</v>
      </c>
      <c r="I232">
        <v>89</v>
      </c>
      <c r="J232">
        <v>21</v>
      </c>
      <c r="K232">
        <v>6</v>
      </c>
      <c r="L232">
        <v>4</v>
      </c>
      <c r="M232" t="s">
        <v>1</v>
      </c>
      <c r="N232" t="s">
        <v>1</v>
      </c>
      <c r="O232" t="s">
        <v>1</v>
      </c>
      <c r="P232">
        <v>363.6</v>
      </c>
      <c r="R232" t="s">
        <v>1</v>
      </c>
      <c r="S232" t="s">
        <v>80</v>
      </c>
      <c r="T232" t="s">
        <v>1450</v>
      </c>
      <c r="U232" s="3" t="s">
        <v>1</v>
      </c>
      <c r="V232" s="3" t="s">
        <v>1451</v>
      </c>
      <c r="W232" s="3" t="s">
        <v>4548</v>
      </c>
      <c r="X232" t="s">
        <v>1115</v>
      </c>
      <c r="Y232">
        <v>8</v>
      </c>
      <c r="Z232">
        <v>0</v>
      </c>
      <c r="AA232">
        <f>IF('Στατιστικά'!$C$6,1,IFERROR(INDEX('Στατιστικά'!$C$10:$C$83,MATCH(G232,'Στατιστικά'!$B$10:$B$83,0))*1,0))</f>
        <v>1</v>
      </c>
    </row>
    <row r="233" spans="1:27">
      <c r="A233" s="2">
        <v>46249</v>
      </c>
      <c r="B233" t="s">
        <v>251</v>
      </c>
      <c r="C233" t="s">
        <v>1</v>
      </c>
      <c r="D233" t="s">
        <v>1</v>
      </c>
      <c r="E233" t="s">
        <v>1453</v>
      </c>
      <c r="F233" t="s">
        <v>450</v>
      </c>
      <c r="G233" t="s">
        <v>94</v>
      </c>
      <c r="H233" t="s">
        <v>1444</v>
      </c>
      <c r="I233">
        <v>89</v>
      </c>
      <c r="J233">
        <v>21</v>
      </c>
      <c r="K233">
        <v>7</v>
      </c>
      <c r="L233">
        <v>5</v>
      </c>
      <c r="M233" t="s">
        <v>1454</v>
      </c>
      <c r="N233" t="s">
        <v>1</v>
      </c>
      <c r="O233" t="s">
        <v>1</v>
      </c>
      <c r="P233">
        <v>363.6</v>
      </c>
      <c r="Q233">
        <v>4</v>
      </c>
      <c r="R233" t="s">
        <v>137</v>
      </c>
      <c r="S233" t="s">
        <v>58</v>
      </c>
      <c r="T233" t="s">
        <v>1455</v>
      </c>
      <c r="U233" s="3" t="s">
        <v>1456</v>
      </c>
      <c r="V233" s="3" t="s">
        <v>1457</v>
      </c>
      <c r="W233" s="3" t="s">
        <v>4549</v>
      </c>
      <c r="X233" t="s">
        <v>1079</v>
      </c>
      <c r="Y233">
        <v>8</v>
      </c>
      <c r="Z233">
        <v>0</v>
      </c>
      <c r="AA233">
        <f>IF('Στατιστικά'!$C$6,1,IFERROR(INDEX('Στατιστικά'!$C$10:$C$83,MATCH(G233,'Στατιστικά'!$B$10:$B$83,0))*1,0))</f>
        <v>1</v>
      </c>
    </row>
    <row r="234" spans="1:27">
      <c r="A234" s="2">
        <v>46249</v>
      </c>
      <c r="B234" t="s">
        <v>1459</v>
      </c>
      <c r="C234" t="s">
        <v>373</v>
      </c>
      <c r="D234" t="s">
        <v>373</v>
      </c>
      <c r="E234" t="s">
        <v>1460</v>
      </c>
      <c r="F234" t="s">
        <v>38</v>
      </c>
      <c r="G234" t="s">
        <v>15</v>
      </c>
      <c r="H234" t="s">
        <v>1461</v>
      </c>
      <c r="I234">
        <v>81</v>
      </c>
      <c r="J234">
        <v>18</v>
      </c>
      <c r="K234">
        <v>9</v>
      </c>
      <c r="M234" t="s">
        <v>1462</v>
      </c>
      <c r="N234" t="s">
        <v>1</v>
      </c>
      <c r="O234" t="s">
        <v>1</v>
      </c>
      <c r="P234">
        <v>7</v>
      </c>
      <c r="Q234">
        <v>4</v>
      </c>
      <c r="R234" t="s">
        <v>137</v>
      </c>
      <c r="S234" t="s">
        <v>58</v>
      </c>
      <c r="T234" t="s">
        <v>1463</v>
      </c>
      <c r="U234" s="3" t="s">
        <v>1</v>
      </c>
      <c r="V234" s="3" t="s">
        <v>1464</v>
      </c>
      <c r="W234" s="3" t="s">
        <v>1465</v>
      </c>
      <c r="X234" t="s">
        <v>1115</v>
      </c>
      <c r="Y234">
        <v>8</v>
      </c>
      <c r="Z234">
        <v>7</v>
      </c>
      <c r="AA234">
        <f>IF('Στατιστικά'!$C$6,1,IFERROR(INDEX('Στατιστικά'!$C$10:$C$83,MATCH(G234,'Στατιστικά'!$B$10:$B$83,0))*1,0))</f>
        <v>1</v>
      </c>
    </row>
    <row r="235" spans="1:27">
      <c r="A235" s="2">
        <v>46249</v>
      </c>
      <c r="B235" t="s">
        <v>72</v>
      </c>
      <c r="C235" t="s">
        <v>51</v>
      </c>
      <c r="D235" t="s">
        <v>51</v>
      </c>
      <c r="E235" t="s">
        <v>1466</v>
      </c>
      <c r="F235" t="s">
        <v>38</v>
      </c>
      <c r="G235" t="s">
        <v>15</v>
      </c>
      <c r="H235" t="s">
        <v>16</v>
      </c>
      <c r="I235">
        <v>45</v>
      </c>
      <c r="K235">
        <v>2</v>
      </c>
      <c r="L235">
        <v>2</v>
      </c>
      <c r="M235" t="s">
        <v>1467</v>
      </c>
      <c r="N235" t="s">
        <v>1</v>
      </c>
      <c r="O235" t="s">
        <v>1</v>
      </c>
      <c r="P235">
        <v>0.1</v>
      </c>
      <c r="Q235">
        <v>4</v>
      </c>
      <c r="R235" t="s">
        <v>137</v>
      </c>
      <c r="S235" t="s">
        <v>80</v>
      </c>
      <c r="T235" t="s">
        <v>1</v>
      </c>
      <c r="U235" s="3" t="s">
        <v>1468</v>
      </c>
      <c r="V235" s="3" t="s">
        <v>1469</v>
      </c>
      <c r="W235" s="3" t="s">
        <v>1470</v>
      </c>
      <c r="X235" t="s">
        <v>1442</v>
      </c>
      <c r="Y235">
        <v>8</v>
      </c>
      <c r="Z235">
        <v>0.1</v>
      </c>
      <c r="AA235">
        <f>IF('Στατιστικά'!$C$6,1,IFERROR(INDEX('Στατιστικά'!$C$10:$C$83,MATCH(G235,'Στατιστικά'!$B$10:$B$83,0))*1,0))</f>
        <v>1</v>
      </c>
    </row>
    <row r="236" spans="1:27">
      <c r="A236" s="2">
        <v>46248</v>
      </c>
      <c r="B236" t="s">
        <v>1471</v>
      </c>
      <c r="C236" t="s">
        <v>1472</v>
      </c>
      <c r="D236" t="s">
        <v>1</v>
      </c>
      <c r="E236" t="s">
        <v>1473</v>
      </c>
      <c r="F236" t="s">
        <v>74</v>
      </c>
      <c r="G236" t="s">
        <v>1140</v>
      </c>
      <c r="H236" t="s">
        <v>1474</v>
      </c>
      <c r="I236">
        <v>63</v>
      </c>
      <c r="J236">
        <v>18</v>
      </c>
      <c r="L236">
        <v>4</v>
      </c>
      <c r="M236" t="s">
        <v>848</v>
      </c>
      <c r="N236" t="s">
        <v>1</v>
      </c>
      <c r="O236" t="s">
        <v>1</v>
      </c>
      <c r="Q236">
        <v>4</v>
      </c>
      <c r="R236" t="s">
        <v>137</v>
      </c>
      <c r="S236" t="s">
        <v>80</v>
      </c>
      <c r="T236" t="s">
        <v>1475</v>
      </c>
      <c r="U236" s="3" t="s">
        <v>1476</v>
      </c>
      <c r="V236" s="3" t="s">
        <v>1477</v>
      </c>
      <c r="W236" s="3" t="s">
        <v>1478</v>
      </c>
      <c r="X236" t="s">
        <v>1355</v>
      </c>
      <c r="Y236">
        <v>8</v>
      </c>
      <c r="Z236">
        <v>0</v>
      </c>
      <c r="AA236">
        <f>IF('Στατιστικά'!$C$6,1,IFERROR(INDEX('Στατιστικά'!$C$10:$C$83,MATCH(G236,'Στατιστικά'!$B$10:$B$83,0))*1,0))</f>
        <v>1</v>
      </c>
    </row>
    <row r="237" spans="1:27">
      <c r="A237" s="2">
        <v>46248</v>
      </c>
      <c r="B237" t="s">
        <v>1471</v>
      </c>
      <c r="C237" t="s">
        <v>479</v>
      </c>
      <c r="D237" t="s">
        <v>1</v>
      </c>
      <c r="E237" t="s">
        <v>1479</v>
      </c>
      <c r="F237" t="s">
        <v>74</v>
      </c>
      <c r="G237" t="s">
        <v>1140</v>
      </c>
      <c r="H237" t="s">
        <v>1474</v>
      </c>
      <c r="I237">
        <v>89</v>
      </c>
      <c r="J237">
        <v>25</v>
      </c>
      <c r="L237">
        <v>4</v>
      </c>
      <c r="M237" t="s">
        <v>1480</v>
      </c>
      <c r="N237" t="s">
        <v>1481</v>
      </c>
      <c r="O237" t="s">
        <v>239</v>
      </c>
      <c r="Q237">
        <v>4</v>
      </c>
      <c r="R237" t="s">
        <v>137</v>
      </c>
      <c r="S237" t="s">
        <v>80</v>
      </c>
      <c r="T237" t="s">
        <v>1482</v>
      </c>
      <c r="U237" s="3" t="s">
        <v>1483</v>
      </c>
      <c r="V237" s="3" t="s">
        <v>1484</v>
      </c>
      <c r="W237" s="3" t="s">
        <v>1485</v>
      </c>
      <c r="X237" t="s">
        <v>1442</v>
      </c>
      <c r="Y237">
        <v>8</v>
      </c>
      <c r="Z237">
        <v>0</v>
      </c>
      <c r="AA237">
        <f>IF('Στατιστικά'!$C$6,1,IFERROR(INDEX('Στατιστικά'!$C$10:$C$83,MATCH(G237,'Στατιστικά'!$B$10:$B$83,0))*1,0))</f>
        <v>1</v>
      </c>
    </row>
    <row r="238" spans="1:27">
      <c r="A238" s="2">
        <v>46248</v>
      </c>
      <c r="B238" t="s">
        <v>591</v>
      </c>
      <c r="C238" t="s">
        <v>1</v>
      </c>
      <c r="D238" t="s">
        <v>1</v>
      </c>
      <c r="E238" t="s">
        <v>1486</v>
      </c>
      <c r="F238" t="s">
        <v>64</v>
      </c>
      <c r="G238" t="s">
        <v>130</v>
      </c>
      <c r="H238" t="s">
        <v>1487</v>
      </c>
      <c r="I238">
        <v>25</v>
      </c>
      <c r="J238">
        <v>7</v>
      </c>
      <c r="K238">
        <v>0</v>
      </c>
      <c r="L238">
        <v>2</v>
      </c>
      <c r="M238" t="s">
        <v>376</v>
      </c>
      <c r="N238" t="s">
        <v>1488</v>
      </c>
      <c r="O238" t="s">
        <v>106</v>
      </c>
      <c r="P238" t="s">
        <v>4743</v>
      </c>
      <c r="Q238">
        <v>4</v>
      </c>
      <c r="R238" t="s">
        <v>137</v>
      </c>
      <c r="S238" t="s">
        <v>107</v>
      </c>
      <c r="T238" t="s">
        <v>1</v>
      </c>
      <c r="U238" s="3" t="s">
        <v>1</v>
      </c>
      <c r="V238" s="3" t="s">
        <v>1489</v>
      </c>
      <c r="W238" s="3" t="s">
        <v>4744</v>
      </c>
      <c r="X238" t="s">
        <v>1442</v>
      </c>
      <c r="Y238">
        <v>8</v>
      </c>
      <c r="Z238">
        <v>0</v>
      </c>
      <c r="AA238">
        <f>IF('Στατιστικά'!$C$6,1,IFERROR(INDEX('Στατιστικά'!$C$10:$C$83,MATCH(G238,'Στατιστικά'!$B$10:$B$83,0))*1,0))</f>
        <v>1</v>
      </c>
    </row>
    <row r="239" spans="1:27">
      <c r="A239" s="2">
        <v>46248</v>
      </c>
      <c r="B239" t="s">
        <v>591</v>
      </c>
      <c r="C239" t="s">
        <v>1</v>
      </c>
      <c r="D239" t="s">
        <v>1</v>
      </c>
      <c r="E239" t="s">
        <v>1491</v>
      </c>
      <c r="F239" t="s">
        <v>64</v>
      </c>
      <c r="G239" t="s">
        <v>130</v>
      </c>
      <c r="H239" t="s">
        <v>1487</v>
      </c>
      <c r="I239">
        <v>25</v>
      </c>
      <c r="J239">
        <v>7</v>
      </c>
      <c r="K239">
        <v>0</v>
      </c>
      <c r="L239">
        <v>2</v>
      </c>
      <c r="M239" t="s">
        <v>1492</v>
      </c>
      <c r="N239" t="s">
        <v>1488</v>
      </c>
      <c r="O239" t="s">
        <v>239</v>
      </c>
      <c r="Q239">
        <v>3</v>
      </c>
      <c r="R239" t="s">
        <v>79</v>
      </c>
      <c r="S239" t="s">
        <v>107</v>
      </c>
      <c r="T239" t="s">
        <v>1</v>
      </c>
      <c r="U239" s="3" t="s">
        <v>1</v>
      </c>
      <c r="V239" s="3" t="s">
        <v>1493</v>
      </c>
      <c r="W239" s="3" t="s">
        <v>4550</v>
      </c>
      <c r="X239" t="s">
        <v>1442</v>
      </c>
      <c r="Y239">
        <v>8</v>
      </c>
      <c r="Z239">
        <v>0</v>
      </c>
      <c r="AA239">
        <f>IF('Στατιστικά'!$C$6,1,IFERROR(INDEX('Στατιστικά'!$C$10:$C$83,MATCH(G239,'Στατιστικά'!$B$10:$B$83,0))*1,0))</f>
        <v>1</v>
      </c>
    </row>
    <row r="240" spans="1:27">
      <c r="A240" s="2">
        <v>46248</v>
      </c>
      <c r="B240" t="s">
        <v>591</v>
      </c>
      <c r="C240" t="s">
        <v>1</v>
      </c>
      <c r="D240" t="s">
        <v>1</v>
      </c>
      <c r="E240" t="s">
        <v>1495</v>
      </c>
      <c r="F240" t="s">
        <v>120</v>
      </c>
      <c r="G240" t="s">
        <v>1496</v>
      </c>
      <c r="H240" t="s">
        <v>1497</v>
      </c>
      <c r="I240">
        <v>22</v>
      </c>
      <c r="J240">
        <v>6</v>
      </c>
      <c r="K240">
        <v>3</v>
      </c>
      <c r="L240">
        <v>2</v>
      </c>
      <c r="M240" t="s">
        <v>1</v>
      </c>
      <c r="N240" t="s">
        <v>419</v>
      </c>
      <c r="O240" t="s">
        <v>239</v>
      </c>
      <c r="Q240">
        <v>4</v>
      </c>
      <c r="R240" t="s">
        <v>137</v>
      </c>
      <c r="S240" t="s">
        <v>107</v>
      </c>
      <c r="T240" t="s">
        <v>1</v>
      </c>
      <c r="U240" s="3" t="s">
        <v>1</v>
      </c>
      <c r="V240" s="3" t="s">
        <v>1498</v>
      </c>
      <c r="W240" s="3" t="s">
        <v>1499</v>
      </c>
      <c r="X240" t="s">
        <v>1442</v>
      </c>
      <c r="Y240">
        <v>8</v>
      </c>
      <c r="Z240">
        <v>0</v>
      </c>
      <c r="AA240">
        <f>IF('Στατιστικά'!$C$6,1,IFERROR(INDEX('Στατιστικά'!$C$10:$C$83,MATCH(G240,'Στατιστικά'!$B$10:$B$83,0))*1,0))</f>
        <v>1</v>
      </c>
    </row>
    <row r="241" spans="1:27">
      <c r="A241" s="2">
        <v>46248</v>
      </c>
      <c r="B241" t="s">
        <v>62</v>
      </c>
      <c r="C241" t="s">
        <v>1</v>
      </c>
      <c r="D241" t="s">
        <v>1</v>
      </c>
      <c r="E241" t="s">
        <v>1473</v>
      </c>
      <c r="F241" t="s">
        <v>74</v>
      </c>
      <c r="G241" t="s">
        <v>1146</v>
      </c>
      <c r="H241" t="s">
        <v>1474</v>
      </c>
      <c r="I241">
        <v>105</v>
      </c>
      <c r="J241">
        <v>23</v>
      </c>
      <c r="L241">
        <v>4</v>
      </c>
      <c r="M241" t="s">
        <v>1500</v>
      </c>
      <c r="N241" t="s">
        <v>1</v>
      </c>
      <c r="O241" t="s">
        <v>1</v>
      </c>
      <c r="R241" t="s">
        <v>1</v>
      </c>
      <c r="S241" t="s">
        <v>58</v>
      </c>
      <c r="T241" t="s">
        <v>1501</v>
      </c>
      <c r="U241" s="3" t="s">
        <v>1</v>
      </c>
      <c r="V241" s="3" t="s">
        <v>1502</v>
      </c>
      <c r="W241" s="3" t="s">
        <v>1503</v>
      </c>
      <c r="X241" t="s">
        <v>1099</v>
      </c>
      <c r="Y241">
        <v>8</v>
      </c>
      <c r="Z241">
        <v>0</v>
      </c>
      <c r="AA241">
        <f>IF('Στατιστικά'!$C$6,1,IFERROR(INDEX('Στατιστικά'!$C$10:$C$83,MATCH(G241,'Στατιστικά'!$B$10:$B$83,0))*1,0))</f>
        <v>1</v>
      </c>
    </row>
    <row r="242" spans="1:27">
      <c r="A242" s="2">
        <v>46248</v>
      </c>
      <c r="B242" t="s">
        <v>72</v>
      </c>
      <c r="C242" t="s">
        <v>1</v>
      </c>
      <c r="D242" t="s">
        <v>1</v>
      </c>
      <c r="E242" t="s">
        <v>1504</v>
      </c>
      <c r="F242" t="s">
        <v>44</v>
      </c>
      <c r="G242" t="s">
        <v>1025</v>
      </c>
      <c r="H242" t="s">
        <v>1505</v>
      </c>
      <c r="I242">
        <v>34</v>
      </c>
      <c r="J242">
        <v>9</v>
      </c>
      <c r="K242">
        <v>5</v>
      </c>
      <c r="M242" t="s">
        <v>1066</v>
      </c>
      <c r="N242" t="s">
        <v>1</v>
      </c>
      <c r="O242" t="s">
        <v>1</v>
      </c>
      <c r="Q242">
        <v>5</v>
      </c>
      <c r="R242" t="s">
        <v>192</v>
      </c>
      <c r="S242" t="s">
        <v>1</v>
      </c>
      <c r="T242" t="s">
        <v>1</v>
      </c>
      <c r="U242" s="3" t="s">
        <v>1</v>
      </c>
      <c r="V242" s="3" t="s">
        <v>1506</v>
      </c>
      <c r="W242" s="3" t="s">
        <v>1507</v>
      </c>
      <c r="X242" t="s">
        <v>1508</v>
      </c>
      <c r="Y242">
        <v>8</v>
      </c>
      <c r="Z242">
        <v>0</v>
      </c>
      <c r="AA242">
        <f>IF('Στατιστικά'!$C$6,1,IFERROR(INDEX('Στατιστικά'!$C$10:$C$83,MATCH(G242,'Στατιστικά'!$B$10:$B$83,0))*1,0))</f>
        <v>1</v>
      </c>
    </row>
    <row r="243" spans="1:27">
      <c r="A243" s="2">
        <v>46248</v>
      </c>
      <c r="B243" t="s">
        <v>410</v>
      </c>
      <c r="C243" t="s">
        <v>1</v>
      </c>
      <c r="D243" t="s">
        <v>1</v>
      </c>
      <c r="E243" t="s">
        <v>1509</v>
      </c>
      <c r="F243" t="s">
        <v>44</v>
      </c>
      <c r="G243" t="s">
        <v>465</v>
      </c>
      <c r="H243" t="s">
        <v>466</v>
      </c>
      <c r="I243">
        <v>34</v>
      </c>
      <c r="J243">
        <v>9</v>
      </c>
      <c r="K243">
        <v>5</v>
      </c>
      <c r="M243" t="s">
        <v>1510</v>
      </c>
      <c r="N243" t="s">
        <v>105</v>
      </c>
      <c r="O243" t="s">
        <v>1</v>
      </c>
      <c r="Q243">
        <v>4</v>
      </c>
      <c r="R243" t="s">
        <v>137</v>
      </c>
      <c r="S243" t="s">
        <v>8</v>
      </c>
      <c r="T243" t="s">
        <v>1</v>
      </c>
      <c r="U243" s="3" t="s">
        <v>1</v>
      </c>
      <c r="V243" s="3" t="s">
        <v>1511</v>
      </c>
      <c r="W243" s="3" t="s">
        <v>4551</v>
      </c>
      <c r="X243" t="s">
        <v>1508</v>
      </c>
      <c r="Y243">
        <v>8</v>
      </c>
      <c r="Z243">
        <v>0</v>
      </c>
      <c r="AA243">
        <f>IF('Στατιστικά'!$C$6,1,IFERROR(INDEX('Στατιστικά'!$C$10:$C$83,MATCH(G243,'Στατιστικά'!$B$10:$B$83,0))*1,0))</f>
        <v>1</v>
      </c>
    </row>
    <row r="244" spans="1:27">
      <c r="A244" s="2">
        <v>46248</v>
      </c>
      <c r="B244" t="s">
        <v>1513</v>
      </c>
      <c r="C244" t="s">
        <v>1</v>
      </c>
      <c r="D244" t="s">
        <v>1</v>
      </c>
      <c r="E244" t="s">
        <v>1514</v>
      </c>
      <c r="F244" t="s">
        <v>217</v>
      </c>
      <c r="G244" t="s">
        <v>205</v>
      </c>
      <c r="H244" t="s">
        <v>246</v>
      </c>
      <c r="I244">
        <v>50</v>
      </c>
      <c r="J244">
        <v>13</v>
      </c>
      <c r="K244">
        <v>0</v>
      </c>
      <c r="L244">
        <v>0</v>
      </c>
      <c r="M244" t="s">
        <v>1515</v>
      </c>
      <c r="N244" t="s">
        <v>1516</v>
      </c>
      <c r="O244" t="s">
        <v>1</v>
      </c>
      <c r="Q244">
        <v>4</v>
      </c>
      <c r="R244" t="s">
        <v>137</v>
      </c>
      <c r="S244" t="s">
        <v>80</v>
      </c>
      <c r="T244" t="s">
        <v>1517</v>
      </c>
      <c r="U244" s="3" t="s">
        <v>1</v>
      </c>
      <c r="V244" s="3" t="s">
        <v>1518</v>
      </c>
      <c r="W244" s="3" t="s">
        <v>1519</v>
      </c>
      <c r="X244" t="s">
        <v>1207</v>
      </c>
      <c r="Y244">
        <v>8</v>
      </c>
      <c r="Z244">
        <v>0</v>
      </c>
      <c r="AA244">
        <f>IF('Στατιστικά'!$C$6,1,IFERROR(INDEX('Στατιστικά'!$C$10:$C$83,MATCH(G244,'Στατιστικά'!$B$10:$B$83,0))*1,0))</f>
        <v>1</v>
      </c>
    </row>
    <row r="245" spans="1:27">
      <c r="A245" s="2">
        <v>46248</v>
      </c>
      <c r="B245" t="s">
        <v>1</v>
      </c>
      <c r="C245" t="s">
        <v>1</v>
      </c>
      <c r="D245" t="s">
        <v>1</v>
      </c>
      <c r="E245" t="s">
        <v>1520</v>
      </c>
      <c r="F245" t="s">
        <v>64</v>
      </c>
      <c r="G245" t="s">
        <v>116</v>
      </c>
      <c r="H245" t="s">
        <v>1521</v>
      </c>
      <c r="I245">
        <v>155</v>
      </c>
      <c r="K245">
        <v>9</v>
      </c>
      <c r="L245">
        <v>7</v>
      </c>
      <c r="M245" t="s">
        <v>1522</v>
      </c>
      <c r="N245" t="s">
        <v>1</v>
      </c>
      <c r="O245" t="s">
        <v>1</v>
      </c>
      <c r="P245">
        <v>248</v>
      </c>
      <c r="R245" t="s">
        <v>1</v>
      </c>
      <c r="S245" t="s">
        <v>80</v>
      </c>
      <c r="T245" t="s">
        <v>1523</v>
      </c>
      <c r="U245" s="3" t="s">
        <v>1</v>
      </c>
      <c r="V245" s="3" t="s">
        <v>1524</v>
      </c>
      <c r="W245" s="3" t="s">
        <v>4552</v>
      </c>
      <c r="X245" t="s">
        <v>1162</v>
      </c>
      <c r="Y245">
        <v>8</v>
      </c>
      <c r="Z245">
        <v>0</v>
      </c>
      <c r="AA245">
        <f>IF('Στατιστικά'!$C$6,1,IFERROR(INDEX('Στατιστικά'!$C$10:$C$83,MATCH(G245,'Στατιστικά'!$B$10:$B$83,0))*1,0))</f>
        <v>1</v>
      </c>
    </row>
    <row r="246" spans="1:27">
      <c r="A246" s="2">
        <v>46248</v>
      </c>
      <c r="B246" t="s">
        <v>1</v>
      </c>
      <c r="C246" t="s">
        <v>1</v>
      </c>
      <c r="D246" t="s">
        <v>1</v>
      </c>
      <c r="E246" t="s">
        <v>1526</v>
      </c>
      <c r="F246" t="s">
        <v>74</v>
      </c>
      <c r="G246" t="s">
        <v>1140</v>
      </c>
      <c r="H246" t="s">
        <v>1527</v>
      </c>
      <c r="I246">
        <v>89</v>
      </c>
      <c r="J246">
        <v>25</v>
      </c>
      <c r="L246">
        <v>4</v>
      </c>
      <c r="M246" t="s">
        <v>1528</v>
      </c>
      <c r="N246" t="s">
        <v>1</v>
      </c>
      <c r="O246" t="s">
        <v>1</v>
      </c>
      <c r="Q246">
        <v>4</v>
      </c>
      <c r="R246" t="s">
        <v>137</v>
      </c>
      <c r="S246" t="s">
        <v>107</v>
      </c>
      <c r="T246" t="s">
        <v>1</v>
      </c>
      <c r="U246" s="3" t="s">
        <v>1529</v>
      </c>
      <c r="V246" s="3" t="s">
        <v>1530</v>
      </c>
      <c r="W246" s="3" t="s">
        <v>1531</v>
      </c>
      <c r="X246" t="s">
        <v>1508</v>
      </c>
      <c r="Y246">
        <v>8</v>
      </c>
      <c r="Z246">
        <v>0</v>
      </c>
      <c r="AA246">
        <f>IF('Στατιστικά'!$C$6,1,IFERROR(INDEX('Στατιστικά'!$C$10:$C$83,MATCH(G246,'Στατιστικά'!$B$10:$B$83,0))*1,0))</f>
        <v>1</v>
      </c>
    </row>
    <row r="247" spans="1:27">
      <c r="A247" s="2">
        <v>46247</v>
      </c>
      <c r="B247" t="s">
        <v>42</v>
      </c>
      <c r="C247" t="s">
        <v>1</v>
      </c>
      <c r="D247" t="s">
        <v>1</v>
      </c>
      <c r="E247" t="s">
        <v>1532</v>
      </c>
      <c r="F247" t="s">
        <v>38</v>
      </c>
      <c r="G247" t="s">
        <v>15</v>
      </c>
      <c r="H247" t="s">
        <v>1533</v>
      </c>
      <c r="I247">
        <v>73</v>
      </c>
      <c r="J247">
        <v>25</v>
      </c>
      <c r="L247">
        <v>2</v>
      </c>
      <c r="M247" t="s">
        <v>848</v>
      </c>
      <c r="N247" t="s">
        <v>1534</v>
      </c>
      <c r="O247" t="s">
        <v>1</v>
      </c>
      <c r="Q247">
        <v>5</v>
      </c>
      <c r="R247" t="s">
        <v>192</v>
      </c>
      <c r="S247" t="s">
        <v>58</v>
      </c>
      <c r="T247" t="s">
        <v>98</v>
      </c>
      <c r="U247" s="3" t="s">
        <v>1535</v>
      </c>
      <c r="V247" s="3" t="s">
        <v>1536</v>
      </c>
      <c r="W247" s="3" t="s">
        <v>1537</v>
      </c>
      <c r="X247" t="s">
        <v>1207</v>
      </c>
      <c r="Y247">
        <v>8</v>
      </c>
      <c r="Z247">
        <v>0</v>
      </c>
      <c r="AA247">
        <f>IF('Στατιστικά'!$C$6,1,IFERROR(INDEX('Στατιστικά'!$C$10:$C$83,MATCH(G247,'Στατιστικά'!$B$10:$B$83,0))*1,0))</f>
        <v>1</v>
      </c>
    </row>
    <row r="248" spans="1:27">
      <c r="A248" s="2">
        <v>46247</v>
      </c>
      <c r="B248" t="s">
        <v>1538</v>
      </c>
      <c r="C248" t="s">
        <v>1</v>
      </c>
      <c r="D248" t="s">
        <v>1539</v>
      </c>
      <c r="E248" t="s">
        <v>1540</v>
      </c>
      <c r="F248" t="s">
        <v>217</v>
      </c>
      <c r="G248" t="s">
        <v>412</v>
      </c>
      <c r="H248" t="s">
        <v>1541</v>
      </c>
      <c r="I248">
        <v>45</v>
      </c>
      <c r="J248">
        <v>9</v>
      </c>
      <c r="K248">
        <v>0</v>
      </c>
      <c r="L248">
        <v>1</v>
      </c>
      <c r="M248" t="s">
        <v>1</v>
      </c>
      <c r="N248" t="s">
        <v>1542</v>
      </c>
      <c r="O248" t="s">
        <v>1</v>
      </c>
      <c r="Q248">
        <v>4</v>
      </c>
      <c r="R248" t="s">
        <v>137</v>
      </c>
      <c r="S248" t="s">
        <v>58</v>
      </c>
      <c r="T248" t="s">
        <v>98</v>
      </c>
      <c r="U248" s="3" t="s">
        <v>1543</v>
      </c>
      <c r="V248" s="3" t="s">
        <v>1544</v>
      </c>
      <c r="W248" s="3" t="s">
        <v>1545</v>
      </c>
      <c r="X248" t="s">
        <v>1355</v>
      </c>
      <c r="Y248">
        <v>8</v>
      </c>
      <c r="Z248">
        <v>0</v>
      </c>
      <c r="AA248">
        <f>IF('Στατιστικά'!$C$6,1,IFERROR(INDEX('Στατιστικά'!$C$10:$C$83,MATCH(G248,'Στατιστικά'!$B$10:$B$83,0))*1,0))</f>
        <v>1</v>
      </c>
    </row>
    <row r="249" spans="1:27">
      <c r="A249" s="2">
        <v>46247</v>
      </c>
      <c r="B249" t="s">
        <v>286</v>
      </c>
      <c r="C249" t="s">
        <v>479</v>
      </c>
      <c r="D249" t="s">
        <v>1</v>
      </c>
      <c r="E249" t="s">
        <v>1546</v>
      </c>
      <c r="F249" t="s">
        <v>217</v>
      </c>
      <c r="G249" t="s">
        <v>412</v>
      </c>
      <c r="H249" t="s">
        <v>1547</v>
      </c>
      <c r="I249">
        <v>55</v>
      </c>
      <c r="J249">
        <v>14</v>
      </c>
      <c r="K249">
        <v>5</v>
      </c>
      <c r="L249">
        <v>1</v>
      </c>
      <c r="M249" t="s">
        <v>1548</v>
      </c>
      <c r="N249" t="s">
        <v>1549</v>
      </c>
      <c r="O249" t="s">
        <v>1</v>
      </c>
      <c r="Q249">
        <v>4</v>
      </c>
      <c r="R249" t="s">
        <v>137</v>
      </c>
      <c r="S249" t="s">
        <v>80</v>
      </c>
      <c r="T249" t="s">
        <v>1550</v>
      </c>
      <c r="U249" s="3" t="s">
        <v>1</v>
      </c>
      <c r="V249" s="3" t="s">
        <v>1551</v>
      </c>
      <c r="W249" s="3" t="s">
        <v>1552</v>
      </c>
      <c r="X249" t="s">
        <v>1162</v>
      </c>
      <c r="Y249">
        <v>8</v>
      </c>
      <c r="Z249">
        <v>0</v>
      </c>
      <c r="AA249">
        <f>IF('Στατιστικά'!$C$6,1,IFERROR(INDEX('Στατιστικά'!$C$10:$C$83,MATCH(G249,'Στατιστικά'!$B$10:$B$83,0))*1,0))</f>
        <v>1</v>
      </c>
    </row>
    <row r="250" spans="1:27">
      <c r="A250" s="2">
        <v>46247</v>
      </c>
      <c r="B250" t="s">
        <v>561</v>
      </c>
      <c r="C250" t="s">
        <v>479</v>
      </c>
      <c r="D250" t="s">
        <v>1</v>
      </c>
      <c r="E250" t="s">
        <v>1553</v>
      </c>
      <c r="F250" t="s">
        <v>217</v>
      </c>
      <c r="G250" t="s">
        <v>412</v>
      </c>
      <c r="H250" t="s">
        <v>1547</v>
      </c>
      <c r="I250">
        <v>55</v>
      </c>
      <c r="J250">
        <v>14</v>
      </c>
      <c r="K250">
        <v>5</v>
      </c>
      <c r="L250">
        <v>1</v>
      </c>
      <c r="M250" t="s">
        <v>1548</v>
      </c>
      <c r="N250" t="s">
        <v>1554</v>
      </c>
      <c r="O250" t="s">
        <v>1</v>
      </c>
      <c r="Q250">
        <v>4</v>
      </c>
      <c r="R250" t="s">
        <v>137</v>
      </c>
      <c r="S250" t="s">
        <v>80</v>
      </c>
      <c r="T250" t="s">
        <v>98</v>
      </c>
      <c r="U250" s="3" t="s">
        <v>1</v>
      </c>
      <c r="V250" s="3" t="s">
        <v>1555</v>
      </c>
      <c r="W250" s="3" t="s">
        <v>1556</v>
      </c>
      <c r="X250" t="s">
        <v>1162</v>
      </c>
      <c r="Y250">
        <v>8</v>
      </c>
      <c r="Z250">
        <v>0</v>
      </c>
      <c r="AA250">
        <f>IF('Στατιστικά'!$C$6,1,IFERROR(INDEX('Στατιστικά'!$C$10:$C$83,MATCH(G250,'Στατιστικά'!$B$10:$B$83,0))*1,0))</f>
        <v>1</v>
      </c>
    </row>
    <row r="251" spans="1:27">
      <c r="A251" s="2">
        <v>46247</v>
      </c>
      <c r="B251" t="s">
        <v>251</v>
      </c>
      <c r="C251" t="s">
        <v>479</v>
      </c>
      <c r="D251" t="s">
        <v>1</v>
      </c>
      <c r="E251" t="s">
        <v>1557</v>
      </c>
      <c r="F251" t="s">
        <v>44</v>
      </c>
      <c r="G251" t="s">
        <v>45</v>
      </c>
      <c r="H251" t="s">
        <v>1558</v>
      </c>
      <c r="I251">
        <v>40</v>
      </c>
      <c r="J251">
        <v>8</v>
      </c>
      <c r="K251">
        <v>4</v>
      </c>
      <c r="L251">
        <v>2</v>
      </c>
      <c r="M251" t="s">
        <v>876</v>
      </c>
      <c r="N251" t="s">
        <v>1559</v>
      </c>
      <c r="O251" t="s">
        <v>1</v>
      </c>
      <c r="Q251">
        <v>5</v>
      </c>
      <c r="R251" t="s">
        <v>192</v>
      </c>
      <c r="S251" t="s">
        <v>80</v>
      </c>
      <c r="T251" t="s">
        <v>98</v>
      </c>
      <c r="U251" s="3" t="s">
        <v>1</v>
      </c>
      <c r="V251" s="3" t="s">
        <v>1560</v>
      </c>
      <c r="W251" s="3" t="s">
        <v>1561</v>
      </c>
      <c r="X251" t="s">
        <v>1115</v>
      </c>
      <c r="Y251">
        <v>8</v>
      </c>
      <c r="Z251">
        <v>0</v>
      </c>
      <c r="AA251">
        <f>IF('Στατιστικά'!$C$6,1,IFERROR(INDEX('Στατιστικά'!$C$10:$C$83,MATCH(G251,'Στατιστικά'!$B$10:$B$83,0))*1,0))</f>
        <v>1</v>
      </c>
    </row>
    <row r="252" spans="1:27">
      <c r="A252" s="2">
        <v>46247</v>
      </c>
      <c r="B252" t="s">
        <v>410</v>
      </c>
      <c r="C252" t="s">
        <v>1</v>
      </c>
      <c r="D252" t="s">
        <v>1</v>
      </c>
      <c r="E252" t="s">
        <v>1562</v>
      </c>
      <c r="F252" t="s">
        <v>53</v>
      </c>
      <c r="G252" t="s">
        <v>116</v>
      </c>
      <c r="H252" t="s">
        <v>1521</v>
      </c>
      <c r="I252">
        <v>227</v>
      </c>
      <c r="J252">
        <v>57</v>
      </c>
      <c r="K252">
        <v>6</v>
      </c>
      <c r="L252">
        <v>1</v>
      </c>
      <c r="M252" t="s">
        <v>1522</v>
      </c>
      <c r="N252" t="s">
        <v>1</v>
      </c>
      <c r="O252" t="s">
        <v>1</v>
      </c>
      <c r="P252">
        <v>248.0</v>
      </c>
      <c r="R252" t="s">
        <v>1</v>
      </c>
      <c r="S252" t="s">
        <v>107</v>
      </c>
      <c r="T252" t="s">
        <v>1563</v>
      </c>
      <c r="U252" s="3" t="s">
        <v>1</v>
      </c>
      <c r="V252" s="3" t="s">
        <v>1564</v>
      </c>
      <c r="W252" s="3" t="s">
        <v>4517</v>
      </c>
      <c r="X252" t="s">
        <v>1162</v>
      </c>
      <c r="Y252">
        <v>8</v>
      </c>
      <c r="Z252">
        <v>248.0</v>
      </c>
      <c r="AA252">
        <f>IF('Στατιστικά'!$C$6,1,IFERROR(INDEX('Στατιστικά'!$C$10:$C$83,MATCH(G252,'Στατιστικά'!$B$10:$B$83,0))*1,0))</f>
        <v>1</v>
      </c>
    </row>
    <row r="253" spans="1:27">
      <c r="A253" s="2">
        <v>46247</v>
      </c>
      <c r="B253" t="s">
        <v>410</v>
      </c>
      <c r="C253" t="s">
        <v>1566</v>
      </c>
      <c r="D253" t="s">
        <v>1</v>
      </c>
      <c r="E253" t="s">
        <v>1567</v>
      </c>
      <c r="F253" t="s">
        <v>64</v>
      </c>
      <c r="G253" t="s">
        <v>116</v>
      </c>
      <c r="H253" t="s">
        <v>1568</v>
      </c>
      <c r="I253">
        <v>239</v>
      </c>
      <c r="J253">
        <v>60</v>
      </c>
      <c r="K253">
        <v>9</v>
      </c>
      <c r="L253">
        <v>7</v>
      </c>
      <c r="M253" t="s">
        <v>744</v>
      </c>
      <c r="N253" t="s">
        <v>1569</v>
      </c>
      <c r="O253" t="s">
        <v>1570</v>
      </c>
      <c r="P253">
        <v>248.0</v>
      </c>
      <c r="Q253">
        <v>4</v>
      </c>
      <c r="R253" t="s">
        <v>137</v>
      </c>
      <c r="S253" t="s">
        <v>80</v>
      </c>
      <c r="T253" t="s">
        <v>98</v>
      </c>
      <c r="U253" s="3" t="s">
        <v>1571</v>
      </c>
      <c r="V253" s="3" t="s">
        <v>1572</v>
      </c>
      <c r="W253" s="3" t="s">
        <v>4553</v>
      </c>
      <c r="X253" t="s">
        <v>1162</v>
      </c>
      <c r="Y253">
        <v>8</v>
      </c>
      <c r="Z253">
        <v>0</v>
      </c>
      <c r="AA253">
        <f>IF('Στατιστικά'!$C$6,1,IFERROR(INDEX('Στατιστικά'!$C$10:$C$83,MATCH(G253,'Στατιστικά'!$B$10:$B$83,0))*1,0))</f>
        <v>1</v>
      </c>
    </row>
    <row r="254" spans="1:27">
      <c r="A254" s="2">
        <v>46247</v>
      </c>
      <c r="B254" t="s">
        <v>711</v>
      </c>
      <c r="C254" t="s">
        <v>1574</v>
      </c>
      <c r="D254" t="s">
        <v>1</v>
      </c>
      <c r="E254" t="s">
        <v>1575</v>
      </c>
      <c r="F254" t="s">
        <v>160</v>
      </c>
      <c r="G254" t="s">
        <v>198</v>
      </c>
      <c r="H254" t="s">
        <v>888</v>
      </c>
      <c r="I254">
        <v>20</v>
      </c>
      <c r="J254">
        <v>5</v>
      </c>
      <c r="K254">
        <v>2</v>
      </c>
      <c r="L254">
        <v>0</v>
      </c>
      <c r="M254" t="s">
        <v>211</v>
      </c>
      <c r="N254" t="s">
        <v>890</v>
      </c>
      <c r="O254" t="s">
        <v>1</v>
      </c>
      <c r="P254" t="s">
        <v>4745</v>
      </c>
      <c r="Q254">
        <v>2</v>
      </c>
      <c r="R254" t="s">
        <v>17</v>
      </c>
      <c r="S254" t="s">
        <v>58</v>
      </c>
      <c r="T254" t="s">
        <v>1576</v>
      </c>
      <c r="U254" s="3" t="s">
        <v>1</v>
      </c>
      <c r="V254" s="3" t="s">
        <v>1577</v>
      </c>
      <c r="W254" s="3" t="s">
        <v>4746</v>
      </c>
      <c r="X254" t="s">
        <v>1115</v>
      </c>
      <c r="Y254">
        <v>8</v>
      </c>
      <c r="Z254">
        <v>0</v>
      </c>
      <c r="AA254">
        <f>IF('Στατιστικά'!$C$6,1,IFERROR(INDEX('Στατιστικά'!$C$10:$C$83,MATCH(G254,'Στατιστικά'!$B$10:$B$83,0))*1,0))</f>
        <v>1</v>
      </c>
    </row>
    <row r="255" spans="1:27">
      <c r="A255" s="2">
        <v>46247</v>
      </c>
      <c r="B255" t="s">
        <v>182</v>
      </c>
      <c r="C255" t="s">
        <v>1</v>
      </c>
      <c r="D255" t="s">
        <v>1</v>
      </c>
      <c r="E255" t="s">
        <v>1579</v>
      </c>
      <c r="F255" t="s">
        <v>217</v>
      </c>
      <c r="G255" t="s">
        <v>205</v>
      </c>
      <c r="H255" t="s">
        <v>1580</v>
      </c>
      <c r="I255">
        <v>32</v>
      </c>
      <c r="J255">
        <v>12</v>
      </c>
      <c r="K255">
        <v>3</v>
      </c>
      <c r="L255">
        <v>1</v>
      </c>
      <c r="M255" t="s">
        <v>1581</v>
      </c>
      <c r="N255" t="s">
        <v>1582</v>
      </c>
      <c r="O255" t="s">
        <v>1</v>
      </c>
      <c r="P255">
        <v>2</v>
      </c>
      <c r="Q255">
        <v>4</v>
      </c>
      <c r="R255" t="s">
        <v>137</v>
      </c>
      <c r="S255" t="s">
        <v>80</v>
      </c>
      <c r="T255" t="s">
        <v>98</v>
      </c>
      <c r="U255" s="3" t="s">
        <v>1583</v>
      </c>
      <c r="V255" s="3" t="s">
        <v>1584</v>
      </c>
      <c r="W255" s="3" t="s">
        <v>1585</v>
      </c>
      <c r="X255" t="s">
        <v>1162</v>
      </c>
      <c r="Y255">
        <v>8</v>
      </c>
      <c r="Z255">
        <v>2</v>
      </c>
      <c r="AA255">
        <f>IF('Στατιστικά'!$C$6,1,IFERROR(INDEX('Στατιστικά'!$C$10:$C$83,MATCH(G255,'Στατιστικά'!$B$10:$B$83,0))*1,0))</f>
        <v>1</v>
      </c>
    </row>
    <row r="256" spans="1:27">
      <c r="A256" s="2">
        <v>46247</v>
      </c>
      <c r="B256" t="s">
        <v>182</v>
      </c>
      <c r="C256" t="s">
        <v>251</v>
      </c>
      <c r="D256" t="s">
        <v>1586</v>
      </c>
      <c r="E256" t="s">
        <v>1587</v>
      </c>
      <c r="F256" t="s">
        <v>217</v>
      </c>
      <c r="G256" t="s">
        <v>412</v>
      </c>
      <c r="H256" t="s">
        <v>1588</v>
      </c>
      <c r="I256">
        <v>62</v>
      </c>
      <c r="J256">
        <v>16</v>
      </c>
      <c r="K256">
        <v>3</v>
      </c>
      <c r="L256">
        <v>2</v>
      </c>
      <c r="M256" t="s">
        <v>1548</v>
      </c>
      <c r="N256" t="s">
        <v>695</v>
      </c>
      <c r="O256" t="s">
        <v>1589</v>
      </c>
      <c r="Q256">
        <v>4</v>
      </c>
      <c r="R256" t="s">
        <v>137</v>
      </c>
      <c r="S256" t="s">
        <v>58</v>
      </c>
      <c r="T256" t="s">
        <v>1590</v>
      </c>
      <c r="U256" s="3" t="s">
        <v>1591</v>
      </c>
      <c r="V256" s="3" t="s">
        <v>1592</v>
      </c>
      <c r="W256" s="3" t="s">
        <v>1593</v>
      </c>
      <c r="X256" t="s">
        <v>1207</v>
      </c>
      <c r="Y256">
        <v>8</v>
      </c>
      <c r="Z256">
        <v>0</v>
      </c>
      <c r="AA256">
        <f>IF('Στατιστικά'!$C$6,1,IFERROR(INDEX('Στατιστικά'!$C$10:$C$83,MATCH(G256,'Στατιστικά'!$B$10:$B$83,0))*1,0))</f>
        <v>1</v>
      </c>
    </row>
    <row r="257" spans="1:27">
      <c r="A257" s="2">
        <v>46247</v>
      </c>
      <c r="B257" t="s">
        <v>182</v>
      </c>
      <c r="C257" t="s">
        <v>251</v>
      </c>
      <c r="D257" t="s">
        <v>1</v>
      </c>
      <c r="E257" t="s">
        <v>1594</v>
      </c>
      <c r="F257" t="s">
        <v>217</v>
      </c>
      <c r="G257" t="s">
        <v>412</v>
      </c>
      <c r="H257" t="s">
        <v>1541</v>
      </c>
      <c r="I257">
        <v>12</v>
      </c>
      <c r="J257">
        <v>4</v>
      </c>
      <c r="K257">
        <v>2</v>
      </c>
      <c r="L257">
        <v>0</v>
      </c>
      <c r="M257" t="s">
        <v>1</v>
      </c>
      <c r="N257" t="s">
        <v>1595</v>
      </c>
      <c r="O257" t="s">
        <v>1</v>
      </c>
      <c r="P257" t="s">
        <v>4747</v>
      </c>
      <c r="Q257">
        <v>4</v>
      </c>
      <c r="R257" t="s">
        <v>137</v>
      </c>
      <c r="S257" t="s">
        <v>80</v>
      </c>
      <c r="T257" t="s">
        <v>1</v>
      </c>
      <c r="U257" s="3" t="s">
        <v>1596</v>
      </c>
      <c r="V257" s="3" t="s">
        <v>1597</v>
      </c>
      <c r="W257" s="3" t="s">
        <v>4748</v>
      </c>
      <c r="X257" t="s">
        <v>1162</v>
      </c>
      <c r="Y257">
        <v>8</v>
      </c>
      <c r="Z257">
        <v>0</v>
      </c>
      <c r="AA257">
        <f>IF('Στατιστικά'!$C$6,1,IFERROR(INDEX('Στατιστικά'!$C$10:$C$83,MATCH(G257,'Στατιστικά'!$B$10:$B$83,0))*1,0))</f>
        <v>1</v>
      </c>
    </row>
    <row r="258" spans="1:27">
      <c r="A258" s="2">
        <v>46247</v>
      </c>
      <c r="B258" t="s">
        <v>1</v>
      </c>
      <c r="C258" t="s">
        <v>1566</v>
      </c>
      <c r="D258" t="s">
        <v>1</v>
      </c>
      <c r="E258" t="s">
        <v>1599</v>
      </c>
      <c r="F258" t="s">
        <v>64</v>
      </c>
      <c r="G258" t="s">
        <v>1600</v>
      </c>
      <c r="H258" t="s">
        <v>1568</v>
      </c>
      <c r="I258">
        <v>155</v>
      </c>
      <c r="J258">
        <v>41</v>
      </c>
      <c r="K258">
        <v>9</v>
      </c>
      <c r="L258">
        <v>7</v>
      </c>
      <c r="M258" t="s">
        <v>1601</v>
      </c>
      <c r="N258" t="s">
        <v>1</v>
      </c>
      <c r="O258" t="s">
        <v>1</v>
      </c>
      <c r="P258">
        <v>248</v>
      </c>
      <c r="R258" t="s">
        <v>1</v>
      </c>
      <c r="S258" t="s">
        <v>80</v>
      </c>
      <c r="T258" t="s">
        <v>1602</v>
      </c>
      <c r="U258" s="3" t="s">
        <v>1</v>
      </c>
      <c r="V258" s="3" t="s">
        <v>1603</v>
      </c>
      <c r="W258" s="3" t="s">
        <v>4554</v>
      </c>
      <c r="X258" t="s">
        <v>1162</v>
      </c>
      <c r="Y258">
        <v>8</v>
      </c>
      <c r="Z258">
        <v>0</v>
      </c>
      <c r="AA258">
        <f>IF('Στατιστικά'!$C$6,1,IFERROR(INDEX('Στατιστικά'!$C$10:$C$83,MATCH(G258,'Στατιστικά'!$B$10:$B$83,0))*1,0))</f>
        <v>1</v>
      </c>
    </row>
    <row r="259" spans="1:27">
      <c r="A259" s="2">
        <v>46246</v>
      </c>
      <c r="B259" t="s">
        <v>417</v>
      </c>
      <c r="C259" t="s">
        <v>811</v>
      </c>
      <c r="D259" t="s">
        <v>1</v>
      </c>
      <c r="E259" t="s">
        <v>1605</v>
      </c>
      <c r="F259" t="s">
        <v>15</v>
      </c>
      <c r="G259" t="s">
        <v>15</v>
      </c>
      <c r="H259" t="s">
        <v>432</v>
      </c>
      <c r="I259">
        <v>64</v>
      </c>
      <c r="J259">
        <v>21</v>
      </c>
      <c r="K259">
        <v>5</v>
      </c>
      <c r="L259">
        <v>3</v>
      </c>
      <c r="M259" t="s">
        <v>1210</v>
      </c>
      <c r="N259" t="s">
        <v>1606</v>
      </c>
      <c r="O259" t="s">
        <v>1</v>
      </c>
      <c r="Q259">
        <v>4</v>
      </c>
      <c r="R259" t="s">
        <v>137</v>
      </c>
      <c r="S259" t="s">
        <v>107</v>
      </c>
      <c r="T259" t="s">
        <v>1607</v>
      </c>
      <c r="U259" s="3" t="s">
        <v>1608</v>
      </c>
      <c r="V259" s="3" t="s">
        <v>1609</v>
      </c>
      <c r="W259" s="3" t="s">
        <v>1610</v>
      </c>
      <c r="X259" t="s">
        <v>1115</v>
      </c>
      <c r="Y259">
        <v>8</v>
      </c>
      <c r="Z259">
        <v>0</v>
      </c>
      <c r="AA259">
        <f>IF('Στατιστικά'!$C$6,1,IFERROR(INDEX('Στατιστικά'!$C$10:$C$83,MATCH(G259,'Στατιστικά'!$B$10:$B$83,0))*1,0))</f>
        <v>1</v>
      </c>
    </row>
    <row r="260" spans="1:27">
      <c r="A260" s="2">
        <v>46246</v>
      </c>
      <c r="B260" t="s">
        <v>417</v>
      </c>
      <c r="C260" t="s">
        <v>1</v>
      </c>
      <c r="D260" t="s">
        <v>1</v>
      </c>
      <c r="E260" t="s">
        <v>1611</v>
      </c>
      <c r="F260" t="s">
        <v>38</v>
      </c>
      <c r="G260" t="s">
        <v>1612</v>
      </c>
      <c r="H260" t="s">
        <v>539</v>
      </c>
      <c r="I260">
        <v>64</v>
      </c>
      <c r="J260">
        <v>21</v>
      </c>
      <c r="K260">
        <v>5</v>
      </c>
      <c r="L260">
        <v>3</v>
      </c>
      <c r="M260" t="s">
        <v>828</v>
      </c>
      <c r="N260" t="s">
        <v>1613</v>
      </c>
      <c r="O260" t="s">
        <v>1</v>
      </c>
      <c r="Q260">
        <v>4</v>
      </c>
      <c r="R260" t="s">
        <v>137</v>
      </c>
      <c r="S260" t="s">
        <v>47</v>
      </c>
      <c r="T260" t="s">
        <v>1</v>
      </c>
      <c r="U260" s="3" t="s">
        <v>1614</v>
      </c>
      <c r="V260" s="3" t="s">
        <v>1615</v>
      </c>
      <c r="W260" s="3" t="s">
        <v>1616</v>
      </c>
      <c r="X260" t="s">
        <v>1617</v>
      </c>
      <c r="Y260">
        <v>8</v>
      </c>
      <c r="Z260">
        <v>0</v>
      </c>
      <c r="AA260">
        <f>IF('Στατιστικά'!$C$6,1,IFERROR(INDEX('Στατιστικά'!$C$10:$C$83,MATCH(G260,'Στατιστικά'!$B$10:$B$83,0))*1,0))</f>
        <v>1</v>
      </c>
    </row>
    <row r="261" spans="1:27">
      <c r="A261" s="2">
        <v>46246</v>
      </c>
      <c r="B261" t="s">
        <v>881</v>
      </c>
      <c r="C261" t="s">
        <v>1</v>
      </c>
      <c r="D261" t="s">
        <v>1</v>
      </c>
      <c r="E261" t="s">
        <v>1618</v>
      </c>
      <c r="F261" t="s">
        <v>217</v>
      </c>
      <c r="G261" t="s">
        <v>205</v>
      </c>
      <c r="H261" t="s">
        <v>246</v>
      </c>
      <c r="I261">
        <v>25</v>
      </c>
      <c r="J261">
        <v>9</v>
      </c>
      <c r="K261">
        <v>5</v>
      </c>
      <c r="L261">
        <v>0</v>
      </c>
      <c r="M261" t="s">
        <v>360</v>
      </c>
      <c r="N261" t="s">
        <v>1619</v>
      </c>
      <c r="O261" t="s">
        <v>1</v>
      </c>
      <c r="Q261">
        <v>4</v>
      </c>
      <c r="R261" t="s">
        <v>137</v>
      </c>
      <c r="S261" t="s">
        <v>58</v>
      </c>
      <c r="T261" t="s">
        <v>98</v>
      </c>
      <c r="U261" s="3" t="s">
        <v>1</v>
      </c>
      <c r="V261" s="3" t="s">
        <v>1620</v>
      </c>
      <c r="W261" s="3" t="s">
        <v>1621</v>
      </c>
      <c r="X261" t="s">
        <v>1207</v>
      </c>
      <c r="Y261">
        <v>8</v>
      </c>
      <c r="Z261">
        <v>0</v>
      </c>
      <c r="AA261">
        <f>IF('Στατιστικά'!$C$6,1,IFERROR(INDEX('Στατιστικά'!$C$10:$C$83,MATCH(G261,'Στατιστικά'!$B$10:$B$83,0))*1,0))</f>
        <v>1</v>
      </c>
    </row>
    <row r="262" spans="1:27">
      <c r="A262" s="2">
        <v>46246</v>
      </c>
      <c r="B262" t="s">
        <v>1622</v>
      </c>
      <c r="C262" t="s">
        <v>251</v>
      </c>
      <c r="D262" t="s">
        <v>1</v>
      </c>
      <c r="E262" t="s">
        <v>1623</v>
      </c>
      <c r="F262" t="s">
        <v>887</v>
      </c>
      <c r="G262" t="s">
        <v>1624</v>
      </c>
      <c r="H262" t="s">
        <v>1625</v>
      </c>
      <c r="I262">
        <v>49</v>
      </c>
      <c r="J262">
        <v>18</v>
      </c>
      <c r="K262">
        <v>3</v>
      </c>
      <c r="L262">
        <v>1</v>
      </c>
      <c r="M262" t="s">
        <v>1626</v>
      </c>
      <c r="N262" t="s">
        <v>1627</v>
      </c>
      <c r="O262" t="s">
        <v>239</v>
      </c>
      <c r="P262">
        <v>96.5</v>
      </c>
      <c r="Q262">
        <v>4</v>
      </c>
      <c r="R262" t="s">
        <v>137</v>
      </c>
      <c r="S262" t="s">
        <v>80</v>
      </c>
      <c r="T262" t="s">
        <v>1628</v>
      </c>
      <c r="U262" s="3" t="s">
        <v>1629</v>
      </c>
      <c r="V262" s="3" t="s">
        <v>1630</v>
      </c>
      <c r="W262" s="3" t="s">
        <v>1631</v>
      </c>
      <c r="X262" t="s">
        <v>1508</v>
      </c>
      <c r="Y262">
        <v>8</v>
      </c>
      <c r="Z262">
        <v>96.5</v>
      </c>
      <c r="AA262">
        <f>IF('Στατιστικά'!$C$6,1,IFERROR(INDEX('Στατιστικά'!$C$10:$C$83,MATCH(G262,'Στατιστικά'!$B$10:$B$83,0))*1,0))</f>
        <v>1</v>
      </c>
    </row>
    <row r="263" spans="1:27">
      <c r="A263" s="2">
        <v>46246</v>
      </c>
      <c r="B263" t="s">
        <v>1413</v>
      </c>
      <c r="C263" t="s">
        <v>1632</v>
      </c>
      <c r="D263" t="s">
        <v>1</v>
      </c>
      <c r="E263" t="s">
        <v>1633</v>
      </c>
      <c r="F263" t="s">
        <v>38</v>
      </c>
      <c r="G263" t="s">
        <v>15</v>
      </c>
      <c r="H263" t="s">
        <v>1634</v>
      </c>
      <c r="I263">
        <v>15</v>
      </c>
      <c r="J263">
        <v>6</v>
      </c>
      <c r="K263">
        <v>0</v>
      </c>
      <c r="L263">
        <v>2</v>
      </c>
      <c r="M263" t="s">
        <v>1</v>
      </c>
      <c r="N263" t="s">
        <v>1</v>
      </c>
      <c r="O263" t="s">
        <v>1</v>
      </c>
      <c r="P263" t="s">
        <v>4749</v>
      </c>
      <c r="Q263">
        <v>4</v>
      </c>
      <c r="R263" t="s">
        <v>137</v>
      </c>
      <c r="S263" t="s">
        <v>80</v>
      </c>
      <c r="T263" t="s">
        <v>1635</v>
      </c>
      <c r="U263" s="3" t="s">
        <v>1</v>
      </c>
      <c r="V263" s="3" t="s">
        <v>1636</v>
      </c>
      <c r="W263" s="3" t="s">
        <v>4750</v>
      </c>
      <c r="X263" t="s">
        <v>1115</v>
      </c>
      <c r="Y263">
        <v>8</v>
      </c>
      <c r="Z263">
        <v>0</v>
      </c>
      <c r="AA263">
        <f>IF('Στατιστικά'!$C$6,1,IFERROR(INDEX('Στατιστικά'!$C$10:$C$83,MATCH(G263,'Στατιστικά'!$B$10:$B$83,0))*1,0))</f>
        <v>1</v>
      </c>
    </row>
    <row r="264" spans="1:27">
      <c r="A264" s="2">
        <v>46245</v>
      </c>
      <c r="B264" t="s">
        <v>1638</v>
      </c>
      <c r="C264" t="s">
        <v>1</v>
      </c>
      <c r="D264" t="s">
        <v>1</v>
      </c>
      <c r="E264" t="s">
        <v>1639</v>
      </c>
      <c r="F264" t="s">
        <v>86</v>
      </c>
      <c r="G264" t="s">
        <v>188</v>
      </c>
      <c r="H264" t="s">
        <v>1640</v>
      </c>
      <c r="I264">
        <v>40</v>
      </c>
      <c r="J264">
        <v>14</v>
      </c>
      <c r="K264">
        <v>3</v>
      </c>
      <c r="L264">
        <v>1</v>
      </c>
      <c r="M264" t="s">
        <v>1641</v>
      </c>
      <c r="N264" t="s">
        <v>1642</v>
      </c>
      <c r="O264" t="s">
        <v>850</v>
      </c>
      <c r="Q264">
        <v>3</v>
      </c>
      <c r="R264" t="s">
        <v>79</v>
      </c>
      <c r="S264" t="s">
        <v>80</v>
      </c>
      <c r="T264" t="s">
        <v>1643</v>
      </c>
      <c r="U264" s="3" t="s">
        <v>1644</v>
      </c>
      <c r="V264" s="3" t="s">
        <v>1645</v>
      </c>
      <c r="W264" s="3" t="s">
        <v>1646</v>
      </c>
      <c r="X264" t="s">
        <v>1207</v>
      </c>
      <c r="Y264">
        <v>8</v>
      </c>
      <c r="Z264">
        <v>0</v>
      </c>
      <c r="AA264">
        <f>IF('Στατιστικά'!$C$6,1,IFERROR(INDEX('Στατιστικά'!$C$10:$C$83,MATCH(G264,'Στατιστικά'!$B$10:$B$83,0))*1,0))</f>
        <v>1</v>
      </c>
    </row>
    <row r="265" spans="1:27">
      <c r="A265" s="2">
        <v>46245</v>
      </c>
      <c r="B265" t="s">
        <v>1647</v>
      </c>
      <c r="C265" t="s">
        <v>1648</v>
      </c>
      <c r="D265" t="s">
        <v>1</v>
      </c>
      <c r="E265" t="s">
        <v>1649</v>
      </c>
      <c r="F265" t="s">
        <v>86</v>
      </c>
      <c r="G265" t="s">
        <v>188</v>
      </c>
      <c r="H265" t="s">
        <v>1650</v>
      </c>
      <c r="I265">
        <v>40</v>
      </c>
      <c r="J265">
        <v>14</v>
      </c>
      <c r="K265">
        <v>4</v>
      </c>
      <c r="L265">
        <v>1</v>
      </c>
      <c r="M265" t="s">
        <v>190</v>
      </c>
      <c r="N265" t="s">
        <v>1651</v>
      </c>
      <c r="O265" t="s">
        <v>106</v>
      </c>
      <c r="P265">
        <v>0.5</v>
      </c>
      <c r="Q265">
        <v>3</v>
      </c>
      <c r="R265" t="s">
        <v>79</v>
      </c>
      <c r="S265" t="s">
        <v>80</v>
      </c>
      <c r="T265" t="s">
        <v>1652</v>
      </c>
      <c r="U265" s="3" t="s">
        <v>1653</v>
      </c>
      <c r="V265" s="3" t="s">
        <v>1654</v>
      </c>
      <c r="W265" s="3" t="s">
        <v>4555</v>
      </c>
      <c r="X265" t="s">
        <v>1334</v>
      </c>
      <c r="Y265">
        <v>8</v>
      </c>
      <c r="Z265">
        <v>0</v>
      </c>
      <c r="AA265">
        <f>IF('Στατιστικά'!$C$6,1,IFERROR(INDEX('Στατιστικά'!$C$10:$C$83,MATCH(G265,'Στατιστικά'!$B$10:$B$83,0))*1,0))</f>
        <v>1</v>
      </c>
    </row>
    <row r="266" spans="1:27">
      <c r="A266" s="2">
        <v>46245</v>
      </c>
      <c r="B266" t="s">
        <v>42</v>
      </c>
      <c r="C266" t="s">
        <v>1656</v>
      </c>
      <c r="D266" t="s">
        <v>1</v>
      </c>
      <c r="E266" t="s">
        <v>1657</v>
      </c>
      <c r="F266" t="s">
        <v>3</v>
      </c>
      <c r="G266" t="s">
        <v>4</v>
      </c>
      <c r="H266" t="s">
        <v>1658</v>
      </c>
      <c r="I266">
        <v>35</v>
      </c>
      <c r="J266">
        <v>8</v>
      </c>
      <c r="K266">
        <v>0</v>
      </c>
      <c r="L266">
        <v>1</v>
      </c>
      <c r="M266" t="s">
        <v>1659</v>
      </c>
      <c r="N266" t="s">
        <v>1660</v>
      </c>
      <c r="O266" t="s">
        <v>239</v>
      </c>
      <c r="Q266">
        <v>3</v>
      </c>
      <c r="R266" t="s">
        <v>79</v>
      </c>
      <c r="S266" t="s">
        <v>107</v>
      </c>
      <c r="T266" t="s">
        <v>1661</v>
      </c>
      <c r="U266" s="3" t="s">
        <v>1</v>
      </c>
      <c r="V266" s="3" t="s">
        <v>1662</v>
      </c>
      <c r="W266" s="3" t="s">
        <v>1663</v>
      </c>
      <c r="X266" t="s">
        <v>1334</v>
      </c>
      <c r="Y266">
        <v>8</v>
      </c>
      <c r="Z266">
        <v>0</v>
      </c>
      <c r="AA266">
        <f>IF('Στατιστικά'!$C$6,1,IFERROR(INDEX('Στατιστικά'!$C$10:$C$83,MATCH(G266,'Στατιστικά'!$B$10:$B$83,0))*1,0))</f>
        <v>1</v>
      </c>
    </row>
    <row r="267" spans="1:27">
      <c r="A267" s="2">
        <v>46245</v>
      </c>
      <c r="B267" t="s">
        <v>251</v>
      </c>
      <c r="C267" t="s">
        <v>1664</v>
      </c>
      <c r="D267" t="s">
        <v>1</v>
      </c>
      <c r="E267" t="s">
        <v>1665</v>
      </c>
      <c r="F267" t="s">
        <v>3</v>
      </c>
      <c r="G267" t="s">
        <v>1666</v>
      </c>
      <c r="H267" t="s">
        <v>1667</v>
      </c>
      <c r="I267">
        <v>32</v>
      </c>
      <c r="J267">
        <v>10</v>
      </c>
      <c r="K267">
        <v>2</v>
      </c>
      <c r="L267">
        <v>2</v>
      </c>
      <c r="M267" t="s">
        <v>1668</v>
      </c>
      <c r="N267" t="s">
        <v>1</v>
      </c>
      <c r="O267" t="s">
        <v>1</v>
      </c>
      <c r="Q267">
        <v>3</v>
      </c>
      <c r="R267" t="s">
        <v>79</v>
      </c>
      <c r="S267" t="s">
        <v>80</v>
      </c>
      <c r="T267" t="s">
        <v>1669</v>
      </c>
      <c r="U267" s="3" t="s">
        <v>1</v>
      </c>
      <c r="V267" s="3" t="s">
        <v>1670</v>
      </c>
      <c r="W267" s="3" t="s">
        <v>1671</v>
      </c>
      <c r="X267" t="s">
        <v>1334</v>
      </c>
      <c r="Y267">
        <v>8</v>
      </c>
      <c r="Z267">
        <v>0</v>
      </c>
      <c r="AA267">
        <f>IF('Στατιστικά'!$C$6,1,IFERROR(INDEX('Στατιστικά'!$C$10:$C$83,MATCH(G267,'Στατιστικά'!$B$10:$B$83,0))*1,0))</f>
        <v>1</v>
      </c>
    </row>
    <row r="268" spans="1:27">
      <c r="A268" s="2">
        <v>46245</v>
      </c>
      <c r="B268" t="s">
        <v>251</v>
      </c>
      <c r="C268" t="s">
        <v>1</v>
      </c>
      <c r="D268" t="s">
        <v>1</v>
      </c>
      <c r="E268" t="s">
        <v>1672</v>
      </c>
      <c r="F268" t="s">
        <v>3</v>
      </c>
      <c r="G268" t="s">
        <v>1673</v>
      </c>
      <c r="H268" t="s">
        <v>1674</v>
      </c>
      <c r="I268">
        <v>32</v>
      </c>
      <c r="J268">
        <v>12</v>
      </c>
      <c r="K268">
        <v>4</v>
      </c>
      <c r="L268">
        <v>0</v>
      </c>
      <c r="M268" t="s">
        <v>1675</v>
      </c>
      <c r="N268" t="s">
        <v>1676</v>
      </c>
      <c r="O268" t="s">
        <v>1</v>
      </c>
      <c r="Q268">
        <v>3</v>
      </c>
      <c r="R268" t="s">
        <v>79</v>
      </c>
      <c r="S268" t="s">
        <v>80</v>
      </c>
      <c r="T268" t="s">
        <v>1677</v>
      </c>
      <c r="U268" s="3" t="s">
        <v>1</v>
      </c>
      <c r="V268" s="3" t="s">
        <v>1678</v>
      </c>
      <c r="W268" s="3" t="s">
        <v>1679</v>
      </c>
      <c r="X268" t="s">
        <v>1207</v>
      </c>
      <c r="Y268">
        <v>8</v>
      </c>
      <c r="Z268">
        <v>0</v>
      </c>
      <c r="AA268">
        <f>IF('Στατιστικά'!$C$6,1,IFERROR(INDEX('Στατιστικά'!$C$10:$C$83,MATCH(G268,'Στατιστικά'!$B$10:$B$83,0))*1,0))</f>
        <v>1</v>
      </c>
    </row>
    <row r="269" spans="1:27">
      <c r="A269" s="2">
        <v>46245</v>
      </c>
      <c r="B269" t="s">
        <v>158</v>
      </c>
      <c r="C269" t="s">
        <v>251</v>
      </c>
      <c r="D269" t="s">
        <v>1</v>
      </c>
      <c r="E269" t="s">
        <v>1680</v>
      </c>
      <c r="F269" t="s">
        <v>38</v>
      </c>
      <c r="G269" t="s">
        <v>15</v>
      </c>
      <c r="H269" t="s">
        <v>1681</v>
      </c>
      <c r="I269">
        <v>121</v>
      </c>
      <c r="J269">
        <v>36</v>
      </c>
      <c r="K269">
        <v>2</v>
      </c>
      <c r="L269">
        <v>2</v>
      </c>
      <c r="M269" t="s">
        <v>1682</v>
      </c>
      <c r="N269" t="s">
        <v>1683</v>
      </c>
      <c r="O269" t="s">
        <v>106</v>
      </c>
      <c r="Q269">
        <v>4</v>
      </c>
      <c r="R269" t="s">
        <v>137</v>
      </c>
      <c r="S269" t="s">
        <v>80</v>
      </c>
      <c r="T269" t="s">
        <v>1684</v>
      </c>
      <c r="U269" s="3" t="s">
        <v>1685</v>
      </c>
      <c r="V269" s="3" t="s">
        <v>1686</v>
      </c>
      <c r="W269" s="3" t="s">
        <v>1687</v>
      </c>
      <c r="X269" t="s">
        <v>1617</v>
      </c>
      <c r="Y269">
        <v>8</v>
      </c>
      <c r="Z269">
        <v>0</v>
      </c>
      <c r="AA269">
        <f>IF('Στατιστικά'!$C$6,1,IFERROR(INDEX('Στατιστικά'!$C$10:$C$83,MATCH(G269,'Στατιστικά'!$B$10:$B$83,0))*1,0))</f>
        <v>1</v>
      </c>
    </row>
    <row r="270" spans="1:27">
      <c r="A270" s="2">
        <v>46245</v>
      </c>
      <c r="B270" t="s">
        <v>158</v>
      </c>
      <c r="C270" t="s">
        <v>251</v>
      </c>
      <c r="D270" t="s">
        <v>1</v>
      </c>
      <c r="E270" t="s">
        <v>1688</v>
      </c>
      <c r="F270" t="s">
        <v>38</v>
      </c>
      <c r="G270" t="s">
        <v>15</v>
      </c>
      <c r="H270" t="s">
        <v>543</v>
      </c>
      <c r="I270">
        <v>115</v>
      </c>
      <c r="J270">
        <v>30</v>
      </c>
      <c r="K270">
        <v>2</v>
      </c>
      <c r="L270">
        <v>3</v>
      </c>
      <c r="M270" t="s">
        <v>1689</v>
      </c>
      <c r="N270" t="s">
        <v>1</v>
      </c>
      <c r="O270" t="s">
        <v>239</v>
      </c>
      <c r="Q270">
        <v>4</v>
      </c>
      <c r="R270" t="s">
        <v>137</v>
      </c>
      <c r="S270" t="s">
        <v>80</v>
      </c>
      <c r="T270" t="s">
        <v>1690</v>
      </c>
      <c r="U270" s="3" t="s">
        <v>1691</v>
      </c>
      <c r="V270" s="3" t="s">
        <v>1692</v>
      </c>
      <c r="W270" s="3" t="s">
        <v>1693</v>
      </c>
      <c r="X270" t="s">
        <v>1694</v>
      </c>
      <c r="Y270">
        <v>8</v>
      </c>
      <c r="Z270">
        <v>0</v>
      </c>
      <c r="AA270">
        <f>IF('Στατιστικά'!$C$6,1,IFERROR(INDEX('Στατιστικά'!$C$10:$C$83,MATCH(G270,'Στατιστικά'!$B$10:$B$83,0))*1,0))</f>
        <v>1</v>
      </c>
    </row>
    <row r="271" spans="1:27">
      <c r="A271" s="2">
        <v>46245</v>
      </c>
      <c r="B271" t="s">
        <v>422</v>
      </c>
      <c r="C271" t="s">
        <v>1</v>
      </c>
      <c r="D271" t="s">
        <v>1</v>
      </c>
      <c r="E271" t="s">
        <v>1695</v>
      </c>
      <c r="F271" t="s">
        <v>469</v>
      </c>
      <c r="G271" t="s">
        <v>103</v>
      </c>
      <c r="H271" t="s">
        <v>1696</v>
      </c>
      <c r="I271">
        <v>20</v>
      </c>
      <c r="J271">
        <v>6</v>
      </c>
      <c r="K271">
        <v>4</v>
      </c>
      <c r="L271">
        <v>3</v>
      </c>
      <c r="M271" t="s">
        <v>1668</v>
      </c>
      <c r="N271" t="s">
        <v>1697</v>
      </c>
      <c r="O271" t="s">
        <v>106</v>
      </c>
      <c r="Q271">
        <v>3</v>
      </c>
      <c r="R271" t="s">
        <v>79</v>
      </c>
      <c r="S271" t="s">
        <v>80</v>
      </c>
      <c r="T271" t="s">
        <v>1</v>
      </c>
      <c r="U271" s="3" t="s">
        <v>1698</v>
      </c>
      <c r="V271" s="3" t="s">
        <v>1699</v>
      </c>
      <c r="W271" s="3" t="s">
        <v>1700</v>
      </c>
      <c r="X271" t="s">
        <v>1334</v>
      </c>
      <c r="Y271">
        <v>8</v>
      </c>
      <c r="Z271">
        <v>0</v>
      </c>
      <c r="AA271">
        <f>IF('Στατιστικά'!$C$6,1,IFERROR(INDEX('Στατιστικά'!$C$10:$C$83,MATCH(G271,'Στατιστικά'!$B$10:$B$83,0))*1,0))</f>
        <v>1</v>
      </c>
    </row>
    <row r="272" spans="1:27">
      <c r="A272" s="2">
        <v>46245</v>
      </c>
      <c r="B272" t="s">
        <v>422</v>
      </c>
      <c r="C272" t="s">
        <v>1</v>
      </c>
      <c r="D272" t="s">
        <v>1</v>
      </c>
      <c r="E272" t="s">
        <v>1701</v>
      </c>
      <c r="F272" t="s">
        <v>469</v>
      </c>
      <c r="G272" t="s">
        <v>103</v>
      </c>
      <c r="H272" t="s">
        <v>1702</v>
      </c>
      <c r="I272">
        <v>20</v>
      </c>
      <c r="J272">
        <v>6</v>
      </c>
      <c r="K272">
        <v>4</v>
      </c>
      <c r="L272">
        <v>2</v>
      </c>
      <c r="M272" t="s">
        <v>1703</v>
      </c>
      <c r="N272" t="s">
        <v>1</v>
      </c>
      <c r="O272" t="s">
        <v>239</v>
      </c>
      <c r="Q272">
        <v>3</v>
      </c>
      <c r="R272" t="s">
        <v>79</v>
      </c>
      <c r="S272" t="s">
        <v>80</v>
      </c>
      <c r="T272" t="s">
        <v>1</v>
      </c>
      <c r="U272" s="3" t="s">
        <v>1704</v>
      </c>
      <c r="V272" s="3" t="s">
        <v>1705</v>
      </c>
      <c r="W272" s="3" t="s">
        <v>4556</v>
      </c>
      <c r="X272" t="s">
        <v>1334</v>
      </c>
      <c r="Y272">
        <v>8</v>
      </c>
      <c r="Z272">
        <v>0</v>
      </c>
      <c r="AA272">
        <f>IF('Στατιστικά'!$C$6,1,IFERROR(INDEX('Στατιστικά'!$C$10:$C$83,MATCH(G272,'Στατιστικά'!$B$10:$B$83,0))*1,0))</f>
        <v>1</v>
      </c>
    </row>
    <row r="273" spans="1:27">
      <c r="A273" s="2">
        <v>46245</v>
      </c>
      <c r="B273" t="s">
        <v>1707</v>
      </c>
      <c r="C273" t="s">
        <v>1</v>
      </c>
      <c r="D273" t="s">
        <v>1</v>
      </c>
      <c r="E273" t="s">
        <v>1708</v>
      </c>
      <c r="F273" t="s">
        <v>469</v>
      </c>
      <c r="G273" t="s">
        <v>103</v>
      </c>
      <c r="H273" t="s">
        <v>103</v>
      </c>
      <c r="I273">
        <v>32</v>
      </c>
      <c r="J273">
        <v>11</v>
      </c>
      <c r="K273">
        <v>6</v>
      </c>
      <c r="L273">
        <v>2</v>
      </c>
      <c r="M273" t="s">
        <v>1709</v>
      </c>
      <c r="N273" t="s">
        <v>296</v>
      </c>
      <c r="O273" t="s">
        <v>239</v>
      </c>
      <c r="Q273">
        <v>3</v>
      </c>
      <c r="R273" t="s">
        <v>79</v>
      </c>
      <c r="S273" t="s">
        <v>58</v>
      </c>
      <c r="T273" t="s">
        <v>1710</v>
      </c>
      <c r="U273" s="3" t="s">
        <v>1711</v>
      </c>
      <c r="V273" s="3" t="s">
        <v>1712</v>
      </c>
      <c r="W273" s="3" t="s">
        <v>1713</v>
      </c>
      <c r="X273" t="s">
        <v>1334</v>
      </c>
      <c r="Y273">
        <v>8</v>
      </c>
      <c r="Z273">
        <v>0</v>
      </c>
      <c r="AA273">
        <f>IF('Στατιστικά'!$C$6,1,IFERROR(INDEX('Στατιστικά'!$C$10:$C$83,MATCH(G273,'Στατιστικά'!$B$10:$B$83,0))*1,0))</f>
        <v>1</v>
      </c>
    </row>
    <row r="274" spans="1:27">
      <c r="A274" s="2">
        <v>46244</v>
      </c>
      <c r="B274" t="s">
        <v>811</v>
      </c>
      <c r="C274" t="s">
        <v>1714</v>
      </c>
      <c r="D274" t="s">
        <v>1</v>
      </c>
      <c r="E274" t="s">
        <v>1715</v>
      </c>
      <c r="F274" t="s">
        <v>1057</v>
      </c>
      <c r="G274" t="s">
        <v>198</v>
      </c>
      <c r="H274" t="s">
        <v>210</v>
      </c>
      <c r="I274">
        <v>40</v>
      </c>
      <c r="J274">
        <v>9</v>
      </c>
      <c r="K274">
        <v>4</v>
      </c>
      <c r="L274">
        <v>1</v>
      </c>
      <c r="M274" t="s">
        <v>1716</v>
      </c>
      <c r="N274" t="s">
        <v>1717</v>
      </c>
      <c r="O274" t="s">
        <v>106</v>
      </c>
      <c r="Q274">
        <v>3</v>
      </c>
      <c r="R274" t="s">
        <v>79</v>
      </c>
      <c r="S274" t="s">
        <v>58</v>
      </c>
      <c r="T274" t="s">
        <v>1718</v>
      </c>
      <c r="U274" s="3" t="s">
        <v>1719</v>
      </c>
      <c r="V274" s="3" t="s">
        <v>1720</v>
      </c>
      <c r="W274" s="3" t="s">
        <v>1721</v>
      </c>
      <c r="X274" t="s">
        <v>1334</v>
      </c>
      <c r="Y274">
        <v>8</v>
      </c>
      <c r="Z274">
        <v>0</v>
      </c>
      <c r="AA274">
        <f>IF('Στατιστικά'!$C$6,1,IFERROR(INDEX('Στατιστικά'!$C$10:$C$83,MATCH(G274,'Στατιστικά'!$B$10:$B$83,0))*1,0))</f>
        <v>1</v>
      </c>
    </row>
    <row r="275" spans="1:27">
      <c r="A275" s="2">
        <v>46244</v>
      </c>
      <c r="B275" t="s">
        <v>158</v>
      </c>
      <c r="C275" t="s">
        <v>1</v>
      </c>
      <c r="D275" t="s">
        <v>1</v>
      </c>
      <c r="E275" t="s">
        <v>1722</v>
      </c>
      <c r="F275" t="s">
        <v>217</v>
      </c>
      <c r="G275" t="s">
        <v>205</v>
      </c>
      <c r="H275" t="s">
        <v>1723</v>
      </c>
      <c r="I275">
        <v>60</v>
      </c>
      <c r="J275">
        <v>13</v>
      </c>
      <c r="K275">
        <v>6</v>
      </c>
      <c r="L275">
        <v>1</v>
      </c>
      <c r="M275" t="s">
        <v>1724</v>
      </c>
      <c r="N275" t="s">
        <v>1</v>
      </c>
      <c r="O275" t="s">
        <v>239</v>
      </c>
      <c r="Q275">
        <v>4</v>
      </c>
      <c r="R275" t="s">
        <v>137</v>
      </c>
      <c r="S275" t="s">
        <v>80</v>
      </c>
      <c r="T275" t="s">
        <v>98</v>
      </c>
      <c r="U275" s="3" t="s">
        <v>1</v>
      </c>
      <c r="V275" s="3" t="s">
        <v>1725</v>
      </c>
      <c r="W275" s="3" t="s">
        <v>1726</v>
      </c>
      <c r="X275" t="s">
        <v>1355</v>
      </c>
      <c r="Y275">
        <v>8</v>
      </c>
      <c r="Z275">
        <v>0</v>
      </c>
      <c r="AA275">
        <f>IF('Στατιστικά'!$C$6,1,IFERROR(INDEX('Στατιστικά'!$C$10:$C$83,MATCH(G275,'Στατιστικά'!$B$10:$B$83,0))*1,0))</f>
        <v>1</v>
      </c>
    </row>
    <row r="276" spans="1:27">
      <c r="A276" s="2">
        <v>46244</v>
      </c>
      <c r="B276" t="s">
        <v>1413</v>
      </c>
      <c r="C276" t="s">
        <v>881</v>
      </c>
      <c r="D276" t="s">
        <v>1</v>
      </c>
      <c r="E276" t="s">
        <v>1727</v>
      </c>
      <c r="F276" t="s">
        <v>38</v>
      </c>
      <c r="G276" t="s">
        <v>15</v>
      </c>
      <c r="H276" t="s">
        <v>1728</v>
      </c>
      <c r="I276">
        <v>244</v>
      </c>
      <c r="J276">
        <v>51</v>
      </c>
      <c r="K276">
        <v>2</v>
      </c>
      <c r="L276">
        <v>9</v>
      </c>
      <c r="M276" t="s">
        <v>1729</v>
      </c>
      <c r="N276" t="s">
        <v>1730</v>
      </c>
      <c r="O276" t="s">
        <v>1731</v>
      </c>
      <c r="Q276">
        <v>4</v>
      </c>
      <c r="R276" t="s">
        <v>137</v>
      </c>
      <c r="S276" t="s">
        <v>80</v>
      </c>
      <c r="T276" t="s">
        <v>1732</v>
      </c>
      <c r="U276" s="3" t="s">
        <v>1733</v>
      </c>
      <c r="V276" s="3" t="s">
        <v>1734</v>
      </c>
      <c r="W276" s="3" t="s">
        <v>1735</v>
      </c>
      <c r="X276" t="s">
        <v>1334</v>
      </c>
      <c r="Y276">
        <v>8</v>
      </c>
      <c r="Z276">
        <v>0</v>
      </c>
      <c r="AA276">
        <f>IF('Στατιστικά'!$C$6,1,IFERROR(INDEX('Στατιστικά'!$C$10:$C$83,MATCH(G276,'Στατιστικά'!$B$10:$B$83,0))*1,0))</f>
        <v>1</v>
      </c>
    </row>
    <row r="277" spans="1:27">
      <c r="A277" s="2">
        <v>46244</v>
      </c>
      <c r="B277" t="s">
        <v>1413</v>
      </c>
      <c r="C277" t="s">
        <v>1</v>
      </c>
      <c r="D277" t="s">
        <v>1</v>
      </c>
      <c r="E277" t="s">
        <v>1736</v>
      </c>
      <c r="F277" t="s">
        <v>15</v>
      </c>
      <c r="G277" t="s">
        <v>15</v>
      </c>
      <c r="H277" t="s">
        <v>1737</v>
      </c>
      <c r="I277">
        <v>244</v>
      </c>
      <c r="J277">
        <v>51</v>
      </c>
      <c r="K277">
        <v>2</v>
      </c>
      <c r="L277">
        <v>9</v>
      </c>
      <c r="M277" t="s">
        <v>1738</v>
      </c>
      <c r="N277" t="s">
        <v>290</v>
      </c>
      <c r="O277" t="s">
        <v>239</v>
      </c>
      <c r="Q277">
        <v>4</v>
      </c>
      <c r="R277" t="s">
        <v>137</v>
      </c>
      <c r="S277" t="s">
        <v>80</v>
      </c>
      <c r="T277" t="s">
        <v>1739</v>
      </c>
      <c r="U277" s="3" t="s">
        <v>1740</v>
      </c>
      <c r="V277" s="3" t="s">
        <v>1741</v>
      </c>
      <c r="W277" s="3" t="s">
        <v>4557</v>
      </c>
      <c r="X277" t="s">
        <v>1442</v>
      </c>
      <c r="Y277">
        <v>8</v>
      </c>
      <c r="Z277">
        <v>0</v>
      </c>
      <c r="AA277">
        <f>IF('Στατιστικά'!$C$6,1,IFERROR(INDEX('Στατιστικά'!$C$10:$C$83,MATCH(G277,'Στατιστικά'!$B$10:$B$83,0))*1,0))</f>
        <v>1</v>
      </c>
    </row>
    <row r="278" spans="1:27">
      <c r="A278" s="2">
        <v>46244</v>
      </c>
      <c r="B278" t="s">
        <v>1413</v>
      </c>
      <c r="C278" t="s">
        <v>1</v>
      </c>
      <c r="D278" t="s">
        <v>1</v>
      </c>
      <c r="E278" t="s">
        <v>1743</v>
      </c>
      <c r="F278" t="s">
        <v>38</v>
      </c>
      <c r="G278" t="s">
        <v>1209</v>
      </c>
      <c r="H278" t="s">
        <v>1728</v>
      </c>
      <c r="I278">
        <v>197</v>
      </c>
      <c r="J278">
        <v>42</v>
      </c>
      <c r="L278">
        <v>3</v>
      </c>
      <c r="M278" t="s">
        <v>1744</v>
      </c>
      <c r="N278" t="s">
        <v>1</v>
      </c>
      <c r="O278" t="s">
        <v>1</v>
      </c>
      <c r="Q278">
        <v>4</v>
      </c>
      <c r="R278" t="s">
        <v>137</v>
      </c>
      <c r="S278" t="s">
        <v>80</v>
      </c>
      <c r="T278" t="s">
        <v>1739</v>
      </c>
      <c r="U278" s="3" t="s">
        <v>1745</v>
      </c>
      <c r="V278" s="3" t="s">
        <v>1746</v>
      </c>
      <c r="W278" s="3" t="s">
        <v>1747</v>
      </c>
      <c r="X278" t="s">
        <v>1442</v>
      </c>
      <c r="Y278">
        <v>8</v>
      </c>
      <c r="Z278">
        <v>0</v>
      </c>
      <c r="AA278">
        <f>IF('Στατιστικά'!$C$6,1,IFERROR(INDEX('Στατιστικά'!$C$10:$C$83,MATCH(G278,'Στατιστικά'!$B$10:$B$83,0))*1,0))</f>
        <v>1</v>
      </c>
    </row>
    <row r="279" spans="1:27">
      <c r="A279" s="2">
        <v>46244</v>
      </c>
      <c r="B279" t="s">
        <v>1</v>
      </c>
      <c r="C279" t="s">
        <v>1</v>
      </c>
      <c r="D279" t="s">
        <v>1</v>
      </c>
      <c r="E279" t="s">
        <v>1748</v>
      </c>
      <c r="F279" t="s">
        <v>217</v>
      </c>
      <c r="G279" t="s">
        <v>205</v>
      </c>
      <c r="H279" t="s">
        <v>1749</v>
      </c>
      <c r="I279">
        <v>40</v>
      </c>
      <c r="J279">
        <v>9</v>
      </c>
      <c r="K279">
        <v>3</v>
      </c>
      <c r="L279">
        <v>3</v>
      </c>
      <c r="M279" t="s">
        <v>1548</v>
      </c>
      <c r="N279" t="s">
        <v>1717</v>
      </c>
      <c r="O279" t="s">
        <v>239</v>
      </c>
      <c r="Q279">
        <v>3</v>
      </c>
      <c r="R279" t="s">
        <v>79</v>
      </c>
      <c r="S279" t="s">
        <v>80</v>
      </c>
      <c r="T279" t="s">
        <v>1750</v>
      </c>
      <c r="U279" s="3" t="s">
        <v>1</v>
      </c>
      <c r="V279" s="3" t="s">
        <v>1751</v>
      </c>
      <c r="W279" s="3" t="s">
        <v>1752</v>
      </c>
      <c r="X279" t="s">
        <v>1355</v>
      </c>
      <c r="Y279">
        <v>8</v>
      </c>
      <c r="Z279">
        <v>0</v>
      </c>
      <c r="AA279">
        <f>IF('Στατιστικά'!$C$6,1,IFERROR(INDEX('Στατιστικά'!$C$10:$C$83,MATCH(G279,'Στατιστικά'!$B$10:$B$83,0))*1,0))</f>
        <v>1</v>
      </c>
    </row>
    <row r="280" spans="1:27">
      <c r="A280" s="2">
        <v>46244</v>
      </c>
      <c r="B280" t="s">
        <v>1</v>
      </c>
      <c r="C280" t="s">
        <v>1</v>
      </c>
      <c r="D280" t="s">
        <v>1</v>
      </c>
      <c r="E280" t="s">
        <v>1753</v>
      </c>
      <c r="F280" t="s">
        <v>3</v>
      </c>
      <c r="G280" t="s">
        <v>4</v>
      </c>
      <c r="H280" t="s">
        <v>5</v>
      </c>
      <c r="I280">
        <v>10</v>
      </c>
      <c r="J280">
        <v>1</v>
      </c>
      <c r="K280">
        <v>0</v>
      </c>
      <c r="L280">
        <v>2</v>
      </c>
      <c r="M280" t="s">
        <v>1754</v>
      </c>
      <c r="N280" t="s">
        <v>1</v>
      </c>
      <c r="O280" t="s">
        <v>1</v>
      </c>
      <c r="P280" t="s">
        <v>4751</v>
      </c>
      <c r="Q280">
        <v>2</v>
      </c>
      <c r="R280" t="s">
        <v>17</v>
      </c>
      <c r="S280" t="s">
        <v>107</v>
      </c>
      <c r="T280" t="s">
        <v>98</v>
      </c>
      <c r="U280" s="3" t="s">
        <v>1</v>
      </c>
      <c r="V280" s="3" t="s">
        <v>1755</v>
      </c>
      <c r="W280" s="3" t="s">
        <v>4752</v>
      </c>
      <c r="X280" t="s">
        <v>1355</v>
      </c>
      <c r="Y280">
        <v>8</v>
      </c>
      <c r="Z280">
        <v>0</v>
      </c>
      <c r="AA280">
        <f>IF('Στατιστικά'!$C$6,1,IFERROR(INDEX('Στατιστικά'!$C$10:$C$83,MATCH(G280,'Στατιστικά'!$B$10:$B$83,0))*1,0))</f>
        <v>1</v>
      </c>
    </row>
    <row r="281" spans="1:27">
      <c r="A281" s="2">
        <v>46244</v>
      </c>
      <c r="B281" t="s">
        <v>1</v>
      </c>
      <c r="C281" t="s">
        <v>1</v>
      </c>
      <c r="D281" t="s">
        <v>1</v>
      </c>
      <c r="E281" t="s">
        <v>1757</v>
      </c>
      <c r="F281" t="s">
        <v>217</v>
      </c>
      <c r="G281" t="s">
        <v>205</v>
      </c>
      <c r="H281" t="s">
        <v>1758</v>
      </c>
      <c r="I281">
        <v>30</v>
      </c>
      <c r="J281">
        <v>8</v>
      </c>
      <c r="K281">
        <v>6</v>
      </c>
      <c r="L281">
        <v>1</v>
      </c>
      <c r="M281" t="s">
        <v>360</v>
      </c>
      <c r="N281" t="s">
        <v>1717</v>
      </c>
      <c r="O281" t="s">
        <v>239</v>
      </c>
      <c r="Q281">
        <v>3</v>
      </c>
      <c r="R281" t="s">
        <v>79</v>
      </c>
      <c r="S281" t="s">
        <v>80</v>
      </c>
      <c r="T281" t="s">
        <v>98</v>
      </c>
      <c r="U281" s="3" t="s">
        <v>1</v>
      </c>
      <c r="V281" s="3" t="s">
        <v>1759</v>
      </c>
      <c r="W281" s="3" t="s">
        <v>1760</v>
      </c>
      <c r="X281" t="s">
        <v>1355</v>
      </c>
      <c r="Y281">
        <v>8</v>
      </c>
      <c r="Z281">
        <v>0</v>
      </c>
      <c r="AA281">
        <f>IF('Στατιστικά'!$C$6,1,IFERROR(INDEX('Στατιστικά'!$C$10:$C$83,MATCH(G281,'Στατιστικά'!$B$10:$B$83,0))*1,0))</f>
        <v>1</v>
      </c>
    </row>
    <row r="282" spans="1:27">
      <c r="A282" s="2">
        <v>46243</v>
      </c>
      <c r="B282" t="s">
        <v>1036</v>
      </c>
      <c r="C282" t="s">
        <v>1761</v>
      </c>
      <c r="D282" t="s">
        <v>1</v>
      </c>
      <c r="E282" t="s">
        <v>1762</v>
      </c>
      <c r="F282" t="s">
        <v>38</v>
      </c>
      <c r="G282" t="s">
        <v>15</v>
      </c>
      <c r="H282" t="s">
        <v>1763</v>
      </c>
      <c r="I282">
        <v>35</v>
      </c>
      <c r="J282">
        <v>16</v>
      </c>
      <c r="M282" t="s">
        <v>1</v>
      </c>
      <c r="N282" t="s">
        <v>1764</v>
      </c>
      <c r="O282" t="s">
        <v>239</v>
      </c>
      <c r="Q282">
        <v>4</v>
      </c>
      <c r="R282" t="s">
        <v>137</v>
      </c>
      <c r="S282" t="s">
        <v>80</v>
      </c>
      <c r="T282" t="s">
        <v>1</v>
      </c>
      <c r="U282" s="3" t="s">
        <v>1</v>
      </c>
      <c r="V282" s="3" t="s">
        <v>1765</v>
      </c>
      <c r="W282" s="3" t="s">
        <v>1766</v>
      </c>
      <c r="X282" t="s">
        <v>1617</v>
      </c>
      <c r="Y282">
        <v>8</v>
      </c>
      <c r="Z282">
        <v>0</v>
      </c>
      <c r="AA282">
        <f>IF('Στατιστικά'!$C$6,1,IFERROR(INDEX('Στατιστικά'!$C$10:$C$83,MATCH(G282,'Στατιστικά'!$B$10:$B$83,0))*1,0))</f>
        <v>1</v>
      </c>
    </row>
    <row r="283" spans="1:27">
      <c r="A283" s="2">
        <v>46243</v>
      </c>
      <c r="B283" t="s">
        <v>1767</v>
      </c>
      <c r="C283" t="s">
        <v>1</v>
      </c>
      <c r="D283" t="s">
        <v>1</v>
      </c>
      <c r="E283" t="s">
        <v>1768</v>
      </c>
      <c r="F283" t="s">
        <v>450</v>
      </c>
      <c r="G283" t="s">
        <v>465</v>
      </c>
      <c r="H283" t="s">
        <v>1769</v>
      </c>
      <c r="I283">
        <v>36</v>
      </c>
      <c r="J283">
        <v>12</v>
      </c>
      <c r="K283">
        <v>2</v>
      </c>
      <c r="L283">
        <v>1</v>
      </c>
      <c r="M283" t="s">
        <v>1770</v>
      </c>
      <c r="N283" t="s">
        <v>1717</v>
      </c>
      <c r="O283" t="s">
        <v>1</v>
      </c>
      <c r="P283">
        <v>1</v>
      </c>
      <c r="Q283">
        <v>3</v>
      </c>
      <c r="R283" t="s">
        <v>79</v>
      </c>
      <c r="S283" t="s">
        <v>80</v>
      </c>
      <c r="T283" t="s">
        <v>1771</v>
      </c>
      <c r="U283" s="3" t="s">
        <v>1</v>
      </c>
      <c r="V283" s="3" t="s">
        <v>1772</v>
      </c>
      <c r="W283" s="3" t="s">
        <v>1773</v>
      </c>
      <c r="X283" t="s">
        <v>1774</v>
      </c>
      <c r="Y283">
        <v>8</v>
      </c>
      <c r="Z283">
        <v>1</v>
      </c>
      <c r="AA283">
        <f>IF('Στατιστικά'!$C$6,1,IFERROR(INDEX('Στατιστικά'!$C$10:$C$83,MATCH(G283,'Στατιστικά'!$B$10:$B$83,0))*1,0))</f>
        <v>1</v>
      </c>
    </row>
    <row r="284" spans="1:27">
      <c r="A284" s="2">
        <v>46243</v>
      </c>
      <c r="B284" t="s">
        <v>1767</v>
      </c>
      <c r="C284" t="s">
        <v>1775</v>
      </c>
      <c r="D284" t="s">
        <v>1</v>
      </c>
      <c r="E284" t="s">
        <v>1768</v>
      </c>
      <c r="F284" t="s">
        <v>44</v>
      </c>
      <c r="G284" t="s">
        <v>1025</v>
      </c>
      <c r="H284" t="s">
        <v>1769</v>
      </c>
      <c r="I284">
        <v>36</v>
      </c>
      <c r="J284">
        <v>12</v>
      </c>
      <c r="K284">
        <v>2</v>
      </c>
      <c r="L284">
        <v>1</v>
      </c>
      <c r="M284" t="s">
        <v>876</v>
      </c>
      <c r="N284" t="s">
        <v>1</v>
      </c>
      <c r="O284" t="s">
        <v>1</v>
      </c>
      <c r="P284">
        <v>1</v>
      </c>
      <c r="Q284">
        <v>3</v>
      </c>
      <c r="R284" t="s">
        <v>79</v>
      </c>
      <c r="S284" t="s">
        <v>80</v>
      </c>
      <c r="T284" t="s">
        <v>1776</v>
      </c>
      <c r="U284" s="3" t="s">
        <v>1</v>
      </c>
      <c r="V284" s="3" t="s">
        <v>1777</v>
      </c>
      <c r="W284" s="3" t="s">
        <v>4558</v>
      </c>
      <c r="X284" t="s">
        <v>1617</v>
      </c>
      <c r="Y284">
        <v>8</v>
      </c>
      <c r="Z284">
        <v>0</v>
      </c>
      <c r="AA284">
        <f>IF('Στατιστικά'!$C$6,1,IFERROR(INDEX('Στατιστικά'!$C$10:$C$83,MATCH(G284,'Στατιστικά'!$B$10:$B$83,0))*1,0))</f>
        <v>1</v>
      </c>
    </row>
    <row r="285" spans="1:27">
      <c r="A285" s="2">
        <v>46243</v>
      </c>
      <c r="B285" t="s">
        <v>582</v>
      </c>
      <c r="C285" t="s">
        <v>575</v>
      </c>
      <c r="D285" t="s">
        <v>1</v>
      </c>
      <c r="E285" t="s">
        <v>1779</v>
      </c>
      <c r="F285" t="s">
        <v>217</v>
      </c>
      <c r="G285" t="s">
        <v>205</v>
      </c>
      <c r="H285" t="s">
        <v>1780</v>
      </c>
      <c r="I285">
        <v>105</v>
      </c>
      <c r="J285">
        <v>28</v>
      </c>
      <c r="K285">
        <v>7</v>
      </c>
      <c r="L285">
        <v>3</v>
      </c>
      <c r="M285" t="s">
        <v>1781</v>
      </c>
      <c r="N285" t="s">
        <v>1717</v>
      </c>
      <c r="O285" t="s">
        <v>1782</v>
      </c>
      <c r="P285">
        <v>70</v>
      </c>
      <c r="Q285">
        <v>4</v>
      </c>
      <c r="R285" t="s">
        <v>137</v>
      </c>
      <c r="S285" t="s">
        <v>80</v>
      </c>
      <c r="T285" t="s">
        <v>98</v>
      </c>
      <c r="U285" s="3" t="s">
        <v>1</v>
      </c>
      <c r="V285" s="3" t="s">
        <v>1783</v>
      </c>
      <c r="W285" s="3" t="s">
        <v>1784</v>
      </c>
      <c r="X285" t="s">
        <v>1785</v>
      </c>
      <c r="Y285">
        <v>8</v>
      </c>
      <c r="Z285">
        <v>70</v>
      </c>
      <c r="AA285">
        <f>IF('Στατιστικά'!$C$6,1,IFERROR(INDEX('Στατιστικά'!$C$10:$C$83,MATCH(G285,'Στατιστικά'!$B$10:$B$83,0))*1,0))</f>
        <v>1</v>
      </c>
    </row>
    <row r="286" spans="1:27">
      <c r="A286" s="2">
        <v>46243</v>
      </c>
      <c r="B286" t="s">
        <v>1786</v>
      </c>
      <c r="C286" t="s">
        <v>226</v>
      </c>
      <c r="D286" t="s">
        <v>1</v>
      </c>
      <c r="E286" t="s">
        <v>1787</v>
      </c>
      <c r="F286" t="s">
        <v>38</v>
      </c>
      <c r="G286" t="s">
        <v>15</v>
      </c>
      <c r="H286" t="s">
        <v>39</v>
      </c>
      <c r="I286">
        <v>84</v>
      </c>
      <c r="J286">
        <v>24</v>
      </c>
      <c r="K286">
        <v>4</v>
      </c>
      <c r="L286">
        <v>2</v>
      </c>
      <c r="M286" t="s">
        <v>1788</v>
      </c>
      <c r="N286" t="s">
        <v>1789</v>
      </c>
      <c r="O286" t="s">
        <v>106</v>
      </c>
      <c r="Q286">
        <v>4</v>
      </c>
      <c r="R286" t="s">
        <v>137</v>
      </c>
      <c r="S286" t="s">
        <v>58</v>
      </c>
      <c r="T286" t="s">
        <v>1790</v>
      </c>
      <c r="U286" s="3" t="s">
        <v>1791</v>
      </c>
      <c r="V286" s="3" t="s">
        <v>1792</v>
      </c>
      <c r="W286" s="3" t="s">
        <v>1793</v>
      </c>
      <c r="X286" t="s">
        <v>1334</v>
      </c>
      <c r="Y286">
        <v>8</v>
      </c>
      <c r="Z286">
        <v>0</v>
      </c>
      <c r="AA286">
        <f>IF('Στατιστικά'!$C$6,1,IFERROR(INDEX('Στατιστικά'!$C$10:$C$83,MATCH(G286,'Στατιστικά'!$B$10:$B$83,0))*1,0))</f>
        <v>1</v>
      </c>
    </row>
    <row r="287" spans="1:27">
      <c r="A287" s="2">
        <v>46243</v>
      </c>
      <c r="B287" t="s">
        <v>1794</v>
      </c>
      <c r="C287" t="s">
        <v>1</v>
      </c>
      <c r="D287" t="s">
        <v>1</v>
      </c>
      <c r="E287" t="s">
        <v>1795</v>
      </c>
      <c r="F287" t="s">
        <v>160</v>
      </c>
      <c r="G287" t="s">
        <v>161</v>
      </c>
      <c r="H287" t="s">
        <v>1796</v>
      </c>
      <c r="I287">
        <v>32</v>
      </c>
      <c r="J287">
        <v>9</v>
      </c>
      <c r="K287">
        <v>3</v>
      </c>
      <c r="L287">
        <v>1</v>
      </c>
      <c r="M287" t="s">
        <v>1797</v>
      </c>
      <c r="N287" t="s">
        <v>1798</v>
      </c>
      <c r="O287" t="s">
        <v>1</v>
      </c>
      <c r="Q287">
        <v>3</v>
      </c>
      <c r="R287" t="s">
        <v>79</v>
      </c>
      <c r="S287" t="s">
        <v>107</v>
      </c>
      <c r="T287" t="s">
        <v>1799</v>
      </c>
      <c r="U287" s="3" t="s">
        <v>1</v>
      </c>
      <c r="V287" s="3" t="s">
        <v>1800</v>
      </c>
      <c r="W287" s="3" t="s">
        <v>1801</v>
      </c>
      <c r="X287" t="s">
        <v>1355</v>
      </c>
      <c r="Y287">
        <v>8</v>
      </c>
      <c r="Z287">
        <v>0</v>
      </c>
      <c r="AA287">
        <f>IF('Στατιστικά'!$C$6,1,IFERROR(INDEX('Στατιστικά'!$C$10:$C$83,MATCH(G287,'Στατιστικά'!$B$10:$B$83,0))*1,0))</f>
        <v>1</v>
      </c>
    </row>
    <row r="288" spans="1:27">
      <c r="A288" s="2">
        <v>46243</v>
      </c>
      <c r="B288" t="s">
        <v>300</v>
      </c>
      <c r="C288" t="s">
        <v>1</v>
      </c>
      <c r="D288" t="s">
        <v>1</v>
      </c>
      <c r="E288" t="s">
        <v>1802</v>
      </c>
      <c r="F288" t="s">
        <v>1057</v>
      </c>
      <c r="G288" t="s">
        <v>1624</v>
      </c>
      <c r="H288" t="s">
        <v>1803</v>
      </c>
      <c r="I288">
        <v>10</v>
      </c>
      <c r="J288">
        <v>4</v>
      </c>
      <c r="K288">
        <v>0</v>
      </c>
      <c r="L288">
        <v>0</v>
      </c>
      <c r="M288" t="s">
        <v>1</v>
      </c>
      <c r="N288" t="s">
        <v>1804</v>
      </c>
      <c r="O288" t="s">
        <v>1</v>
      </c>
      <c r="P288" t="s">
        <v>4753</v>
      </c>
      <c r="Q288">
        <v>2</v>
      </c>
      <c r="R288" t="s">
        <v>17</v>
      </c>
      <c r="S288" t="s">
        <v>107</v>
      </c>
      <c r="T288" t="s">
        <v>1805</v>
      </c>
      <c r="U288" s="3" t="s">
        <v>1</v>
      </c>
      <c r="V288" s="3" t="s">
        <v>1806</v>
      </c>
      <c r="W288" s="3" t="s">
        <v>4754</v>
      </c>
      <c r="X288" t="s">
        <v>1355</v>
      </c>
      <c r="Y288">
        <v>8</v>
      </c>
      <c r="Z288">
        <v>0</v>
      </c>
      <c r="AA288">
        <f>IF('Στατιστικά'!$C$6,1,IFERROR(INDEX('Στατιστικά'!$C$10:$C$83,MATCH(G288,'Στατιστικά'!$B$10:$B$83,0))*1,0))</f>
        <v>1</v>
      </c>
    </row>
    <row r="289" spans="1:27">
      <c r="A289" s="2">
        <v>46243</v>
      </c>
      <c r="B289" t="s">
        <v>118</v>
      </c>
      <c r="C289" t="s">
        <v>1</v>
      </c>
      <c r="D289" t="s">
        <v>1</v>
      </c>
      <c r="E289" t="s">
        <v>1808</v>
      </c>
      <c r="F289" t="s">
        <v>1057</v>
      </c>
      <c r="G289" t="s">
        <v>161</v>
      </c>
      <c r="H289" t="s">
        <v>1809</v>
      </c>
      <c r="I289">
        <v>12</v>
      </c>
      <c r="J289">
        <v>5</v>
      </c>
      <c r="K289">
        <v>0</v>
      </c>
      <c r="L289">
        <v>1</v>
      </c>
      <c r="M289" t="s">
        <v>1</v>
      </c>
      <c r="N289" t="s">
        <v>1717</v>
      </c>
      <c r="O289" t="s">
        <v>1</v>
      </c>
      <c r="P289" t="s">
        <v>4755</v>
      </c>
      <c r="Q289">
        <v>3</v>
      </c>
      <c r="R289" t="s">
        <v>79</v>
      </c>
      <c r="S289" t="s">
        <v>80</v>
      </c>
      <c r="T289" t="s">
        <v>1810</v>
      </c>
      <c r="U289" s="3" t="s">
        <v>1</v>
      </c>
      <c r="V289" s="3" t="s">
        <v>1811</v>
      </c>
      <c r="W289" s="3" t="s">
        <v>4756</v>
      </c>
      <c r="X289" t="s">
        <v>1355</v>
      </c>
      <c r="Y289">
        <v>8</v>
      </c>
      <c r="Z289">
        <v>0</v>
      </c>
      <c r="AA289">
        <f>IF('Στατιστικά'!$C$6,1,IFERROR(INDEX('Στατιστικά'!$C$10:$C$83,MATCH(G289,'Στατιστικά'!$B$10:$B$83,0))*1,0))</f>
        <v>1</v>
      </c>
    </row>
    <row r="290" spans="1:27">
      <c r="A290" s="2">
        <v>46243</v>
      </c>
      <c r="B290" t="s">
        <v>1</v>
      </c>
      <c r="C290" t="s">
        <v>1</v>
      </c>
      <c r="D290" t="s">
        <v>1</v>
      </c>
      <c r="E290" t="s">
        <v>1813</v>
      </c>
      <c r="F290" t="s">
        <v>141</v>
      </c>
      <c r="G290" t="s">
        <v>1004</v>
      </c>
      <c r="H290" t="s">
        <v>1</v>
      </c>
      <c r="M290" t="s">
        <v>1</v>
      </c>
      <c r="N290" t="s">
        <v>1</v>
      </c>
      <c r="O290" t="s">
        <v>1</v>
      </c>
      <c r="R290" t="s">
        <v>1</v>
      </c>
      <c r="S290" t="s">
        <v>1</v>
      </c>
      <c r="T290" t="s">
        <v>98</v>
      </c>
      <c r="U290" s="3" t="s">
        <v>1</v>
      </c>
      <c r="V290" s="3" t="s">
        <v>1814</v>
      </c>
      <c r="W290" s="3" t="s">
        <v>1815</v>
      </c>
      <c r="X290" t="s">
        <v>1334</v>
      </c>
      <c r="Y290">
        <v>8</v>
      </c>
      <c r="Z290">
        <v>0</v>
      </c>
      <c r="AA290">
        <f>IF('Στατιστικά'!$C$6,1,IFERROR(INDEX('Στατιστικά'!$C$10:$C$83,MATCH(G290,'Στατιστικά'!$B$10:$B$83,0))*1,0))</f>
        <v>1</v>
      </c>
    </row>
    <row r="291" spans="1:27">
      <c r="A291" s="2">
        <v>46243</v>
      </c>
      <c r="B291" t="s">
        <v>1</v>
      </c>
      <c r="C291" t="s">
        <v>226</v>
      </c>
      <c r="D291" t="s">
        <v>1</v>
      </c>
      <c r="E291" t="s">
        <v>1816</v>
      </c>
      <c r="F291" t="s">
        <v>38</v>
      </c>
      <c r="G291" t="s">
        <v>1209</v>
      </c>
      <c r="H291" t="s">
        <v>1817</v>
      </c>
      <c r="I291">
        <v>84</v>
      </c>
      <c r="J291">
        <v>24</v>
      </c>
      <c r="K291">
        <v>4</v>
      </c>
      <c r="L291">
        <v>2</v>
      </c>
      <c r="M291" t="s">
        <v>1818</v>
      </c>
      <c r="N291" t="s">
        <v>419</v>
      </c>
      <c r="O291" t="s">
        <v>1</v>
      </c>
      <c r="Q291">
        <v>4</v>
      </c>
      <c r="R291" t="s">
        <v>137</v>
      </c>
      <c r="S291" t="s">
        <v>80</v>
      </c>
      <c r="T291" t="s">
        <v>1819</v>
      </c>
      <c r="U291" s="3" t="s">
        <v>1820</v>
      </c>
      <c r="V291" s="3" t="s">
        <v>1821</v>
      </c>
      <c r="W291" s="3" t="s">
        <v>1822</v>
      </c>
      <c r="X291" t="s">
        <v>1694</v>
      </c>
      <c r="Y291">
        <v>8</v>
      </c>
      <c r="Z291">
        <v>0</v>
      </c>
      <c r="AA291">
        <f>IF('Στατιστικά'!$C$6,1,IFERROR(INDEX('Στατιστικά'!$C$10:$C$83,MATCH(G291,'Στατιστικά'!$B$10:$B$83,0))*1,0))</f>
        <v>1</v>
      </c>
    </row>
    <row r="292" spans="1:27">
      <c r="A292" s="2">
        <v>46242</v>
      </c>
      <c r="B292" t="s">
        <v>591</v>
      </c>
      <c r="C292" t="s">
        <v>1823</v>
      </c>
      <c r="D292" t="s">
        <v>1</v>
      </c>
      <c r="E292" t="s">
        <v>1824</v>
      </c>
      <c r="F292" t="s">
        <v>120</v>
      </c>
      <c r="G292" t="s">
        <v>121</v>
      </c>
      <c r="H292" t="s">
        <v>1825</v>
      </c>
      <c r="I292">
        <v>10</v>
      </c>
      <c r="J292">
        <v>4</v>
      </c>
      <c r="K292">
        <v>1</v>
      </c>
      <c r="L292">
        <v>1</v>
      </c>
      <c r="M292" t="s">
        <v>1</v>
      </c>
      <c r="N292" t="s">
        <v>1826</v>
      </c>
      <c r="O292" t="s">
        <v>1</v>
      </c>
      <c r="P292">
        <v>1</v>
      </c>
      <c r="Q292">
        <v>4</v>
      </c>
      <c r="R292" t="s">
        <v>137</v>
      </c>
      <c r="S292" t="s">
        <v>58</v>
      </c>
      <c r="T292" t="s">
        <v>1827</v>
      </c>
      <c r="U292" s="3" t="s">
        <v>1</v>
      </c>
      <c r="V292" s="3" t="s">
        <v>1828</v>
      </c>
      <c r="W292" s="3" t="s">
        <v>1829</v>
      </c>
      <c r="X292" t="s">
        <v>1334</v>
      </c>
      <c r="Y292">
        <v>8</v>
      </c>
      <c r="Z292">
        <v>1</v>
      </c>
      <c r="AA292">
        <f>IF('Στατιστικά'!$C$6,1,IFERROR(INDEX('Στατιστικά'!$C$10:$C$83,MATCH(G292,'Στατιστικά'!$B$10:$B$83,0))*1,0))</f>
        <v>1</v>
      </c>
    </row>
    <row r="293" spans="1:27">
      <c r="A293" s="2">
        <v>46242</v>
      </c>
      <c r="B293" t="s">
        <v>300</v>
      </c>
      <c r="C293" t="s">
        <v>1830</v>
      </c>
      <c r="D293" t="s">
        <v>1</v>
      </c>
      <c r="E293" t="s">
        <v>1831</v>
      </c>
      <c r="F293" t="s">
        <v>64</v>
      </c>
      <c r="G293" t="s">
        <v>130</v>
      </c>
      <c r="H293" t="s">
        <v>1832</v>
      </c>
      <c r="I293">
        <v>25</v>
      </c>
      <c r="J293">
        <v>9</v>
      </c>
      <c r="K293">
        <v>0</v>
      </c>
      <c r="L293">
        <v>1</v>
      </c>
      <c r="M293" t="s">
        <v>1833</v>
      </c>
      <c r="N293" t="s">
        <v>1834</v>
      </c>
      <c r="O293" t="s">
        <v>1835</v>
      </c>
      <c r="P293">
        <v>2</v>
      </c>
      <c r="Q293">
        <v>2</v>
      </c>
      <c r="R293" t="s">
        <v>17</v>
      </c>
      <c r="S293" t="s">
        <v>58</v>
      </c>
      <c r="T293" t="s">
        <v>1836</v>
      </c>
      <c r="U293" s="3" t="s">
        <v>1</v>
      </c>
      <c r="V293" s="3" t="s">
        <v>1837</v>
      </c>
      <c r="W293" s="3" t="s">
        <v>1838</v>
      </c>
      <c r="X293" t="s">
        <v>1694</v>
      </c>
      <c r="Y293">
        <v>8</v>
      </c>
      <c r="Z293">
        <v>2</v>
      </c>
      <c r="AA293">
        <f>IF('Στατιστικά'!$C$6,1,IFERROR(INDEX('Στατιστικά'!$C$10:$C$83,MATCH(G293,'Στατιστικά'!$B$10:$B$83,0))*1,0))</f>
        <v>1</v>
      </c>
    </row>
    <row r="294" spans="1:27">
      <c r="A294" s="2">
        <v>46242</v>
      </c>
      <c r="B294" t="s">
        <v>1</v>
      </c>
      <c r="C294" t="s">
        <v>1</v>
      </c>
      <c r="D294" t="s">
        <v>1</v>
      </c>
      <c r="E294" t="s">
        <v>1839</v>
      </c>
      <c r="F294" t="s">
        <v>74</v>
      </c>
      <c r="G294" t="s">
        <v>75</v>
      </c>
      <c r="H294" t="s">
        <v>76</v>
      </c>
      <c r="I294">
        <v>40</v>
      </c>
      <c r="J294">
        <v>11</v>
      </c>
      <c r="M294" t="s">
        <v>1840</v>
      </c>
      <c r="N294" t="s">
        <v>1841</v>
      </c>
      <c r="O294" t="s">
        <v>1</v>
      </c>
      <c r="Q294">
        <v>4</v>
      </c>
      <c r="R294" t="s">
        <v>137</v>
      </c>
      <c r="S294" t="s">
        <v>58</v>
      </c>
      <c r="T294" t="s">
        <v>98</v>
      </c>
      <c r="U294" s="3" t="s">
        <v>1</v>
      </c>
      <c r="V294" s="3" t="s">
        <v>1842</v>
      </c>
      <c r="W294" s="3" t="s">
        <v>1843</v>
      </c>
      <c r="X294" t="s">
        <v>1442</v>
      </c>
      <c r="Y294">
        <v>8</v>
      </c>
      <c r="Z294">
        <v>0</v>
      </c>
      <c r="AA294">
        <f>IF('Στατιστικά'!$C$6,1,IFERROR(INDEX('Στατιστικά'!$C$10:$C$83,MATCH(G294,'Στατιστικά'!$B$10:$B$83,0))*1,0))</f>
        <v>1</v>
      </c>
    </row>
    <row r="295" spans="1:27">
      <c r="A295" s="2">
        <v>46242</v>
      </c>
      <c r="B295" t="s">
        <v>1</v>
      </c>
      <c r="C295" t="s">
        <v>1</v>
      </c>
      <c r="D295" t="s">
        <v>1</v>
      </c>
      <c r="E295" t="s">
        <v>1844</v>
      </c>
      <c r="F295" t="s">
        <v>1845</v>
      </c>
      <c r="G295" t="s">
        <v>1846</v>
      </c>
      <c r="H295" t="s">
        <v>1847</v>
      </c>
      <c r="I295">
        <v>420</v>
      </c>
      <c r="J295">
        <v>120</v>
      </c>
      <c r="K295">
        <v>51</v>
      </c>
      <c r="M295" t="s">
        <v>1848</v>
      </c>
      <c r="N295" t="s">
        <v>1</v>
      </c>
      <c r="O295" t="s">
        <v>1</v>
      </c>
      <c r="P295">
        <v>14424.3</v>
      </c>
      <c r="Q295">
        <v>3</v>
      </c>
      <c r="R295" t="s">
        <v>79</v>
      </c>
      <c r="S295" t="s">
        <v>80</v>
      </c>
      <c r="T295" t="s">
        <v>1849</v>
      </c>
      <c r="U295" s="3" t="s">
        <v>1</v>
      </c>
      <c r="V295" s="3" t="s">
        <v>1850</v>
      </c>
      <c r="W295" s="3" t="s">
        <v>4559</v>
      </c>
      <c r="X295" t="s">
        <v>1442</v>
      </c>
      <c r="Y295">
        <v>8</v>
      </c>
      <c r="Z295">
        <v>0</v>
      </c>
      <c r="AA295">
        <f>IF('Στατιστικά'!$C$6,1,IFERROR(INDEX('Στατιστικά'!$C$10:$C$83,MATCH(G295,'Στατιστικά'!$B$10:$B$83,0))*1,0))</f>
        <v>1</v>
      </c>
    </row>
    <row r="296" spans="1:27">
      <c r="A296" s="2">
        <v>46241</v>
      </c>
      <c r="B296" t="s">
        <v>1647</v>
      </c>
      <c r="C296" t="s">
        <v>1</v>
      </c>
      <c r="D296" t="s">
        <v>278</v>
      </c>
      <c r="E296" t="s">
        <v>1839</v>
      </c>
      <c r="F296" t="s">
        <v>806</v>
      </c>
      <c r="G296" t="s">
        <v>75</v>
      </c>
      <c r="H296" t="s">
        <v>1852</v>
      </c>
      <c r="I296">
        <v>40</v>
      </c>
      <c r="J296">
        <v>11</v>
      </c>
      <c r="M296" t="s">
        <v>688</v>
      </c>
      <c r="N296" t="s">
        <v>1853</v>
      </c>
      <c r="O296" t="s">
        <v>239</v>
      </c>
      <c r="P296">
        <v>20</v>
      </c>
      <c r="Q296">
        <v>3</v>
      </c>
      <c r="R296" t="s">
        <v>79</v>
      </c>
      <c r="S296" t="s">
        <v>58</v>
      </c>
      <c r="T296" t="s">
        <v>1836</v>
      </c>
      <c r="U296" s="3" t="s">
        <v>1</v>
      </c>
      <c r="V296" s="3" t="s">
        <v>1854</v>
      </c>
      <c r="W296" s="3" t="s">
        <v>1855</v>
      </c>
      <c r="X296" t="s">
        <v>1442</v>
      </c>
      <c r="Y296">
        <v>8</v>
      </c>
      <c r="Z296">
        <v>20</v>
      </c>
      <c r="AA296">
        <f>IF('Στατιστικά'!$C$6,1,IFERROR(INDEX('Στατιστικά'!$C$10:$C$83,MATCH(G296,'Στατιστικά'!$B$10:$B$83,0))*1,0))</f>
        <v>1</v>
      </c>
    </row>
    <row r="297" spans="1:27">
      <c r="A297" s="2">
        <v>46241</v>
      </c>
      <c r="B297" t="s">
        <v>1856</v>
      </c>
      <c r="C297" t="s">
        <v>1</v>
      </c>
      <c r="D297" t="s">
        <v>1</v>
      </c>
      <c r="E297" t="s">
        <v>1857</v>
      </c>
      <c r="F297" t="s">
        <v>1032</v>
      </c>
      <c r="G297" t="s">
        <v>657</v>
      </c>
      <c r="H297" t="s">
        <v>1858</v>
      </c>
      <c r="I297">
        <v>22</v>
      </c>
      <c r="J297">
        <v>6</v>
      </c>
      <c r="K297">
        <v>3</v>
      </c>
      <c r="M297" t="s">
        <v>1859</v>
      </c>
      <c r="N297" t="s">
        <v>1860</v>
      </c>
      <c r="O297" t="s">
        <v>239</v>
      </c>
      <c r="P297" t="s">
        <v>4757</v>
      </c>
      <c r="Q297">
        <v>2</v>
      </c>
      <c r="R297" t="s">
        <v>17</v>
      </c>
      <c r="S297" t="s">
        <v>80</v>
      </c>
      <c r="T297" t="s">
        <v>1861</v>
      </c>
      <c r="U297" s="3" t="s">
        <v>1</v>
      </c>
      <c r="V297" s="3" t="s">
        <v>1862</v>
      </c>
      <c r="W297" s="3" t="s">
        <v>4758</v>
      </c>
      <c r="X297" t="s">
        <v>1774</v>
      </c>
      <c r="Y297">
        <v>8</v>
      </c>
      <c r="Z297">
        <v>0</v>
      </c>
      <c r="AA297">
        <f>IF('Στατιστικά'!$C$6,1,IFERROR(INDEX('Στατιστικά'!$C$10:$C$83,MATCH(G297,'Στατιστικά'!$B$10:$B$83,0))*1,0))</f>
        <v>1</v>
      </c>
    </row>
    <row r="298" spans="1:27">
      <c r="A298" s="2">
        <v>46241</v>
      </c>
      <c r="B298" t="s">
        <v>251</v>
      </c>
      <c r="C298" t="s">
        <v>1</v>
      </c>
      <c r="D298" t="s">
        <v>1</v>
      </c>
      <c r="E298" t="s">
        <v>1864</v>
      </c>
      <c r="F298" t="s">
        <v>1003</v>
      </c>
      <c r="G298" t="s">
        <v>481</v>
      </c>
      <c r="H298" t="s">
        <v>938</v>
      </c>
      <c r="I298">
        <v>82</v>
      </c>
      <c r="J298">
        <v>24</v>
      </c>
      <c r="K298">
        <v>8</v>
      </c>
      <c r="L298">
        <v>3</v>
      </c>
      <c r="M298" t="s">
        <v>1865</v>
      </c>
      <c r="N298" t="s">
        <v>1866</v>
      </c>
      <c r="O298" t="s">
        <v>239</v>
      </c>
      <c r="P298">
        <v>55</v>
      </c>
      <c r="Q298">
        <v>3</v>
      </c>
      <c r="R298" t="s">
        <v>79</v>
      </c>
      <c r="S298" t="s">
        <v>58</v>
      </c>
      <c r="T298" t="s">
        <v>1867</v>
      </c>
      <c r="U298" s="3" t="s">
        <v>1868</v>
      </c>
      <c r="V298" s="3" t="s">
        <v>1869</v>
      </c>
      <c r="W298" s="3" t="s">
        <v>1870</v>
      </c>
      <c r="X298" t="s">
        <v>1442</v>
      </c>
      <c r="Y298">
        <v>8</v>
      </c>
      <c r="Z298">
        <v>55</v>
      </c>
      <c r="AA298">
        <f>IF('Στατιστικά'!$C$6,1,IFERROR(INDEX('Στατιστικά'!$C$10:$C$83,MATCH(G298,'Στατιστικά'!$B$10:$B$83,0))*1,0))</f>
        <v>1</v>
      </c>
    </row>
    <row r="299" spans="1:27">
      <c r="A299" s="2">
        <v>46241</v>
      </c>
      <c r="B299" t="s">
        <v>1</v>
      </c>
      <c r="C299" t="s">
        <v>1</v>
      </c>
      <c r="D299" t="s">
        <v>1</v>
      </c>
      <c r="E299" t="s">
        <v>1871</v>
      </c>
      <c r="F299" t="s">
        <v>1845</v>
      </c>
      <c r="G299" t="s">
        <v>45</v>
      </c>
      <c r="H299" t="s">
        <v>1872</v>
      </c>
      <c r="I299">
        <v>500</v>
      </c>
      <c r="J299">
        <v>120</v>
      </c>
      <c r="K299">
        <v>51</v>
      </c>
      <c r="M299" t="s">
        <v>1873</v>
      </c>
      <c r="N299" t="s">
        <v>1</v>
      </c>
      <c r="O299" t="s">
        <v>1</v>
      </c>
      <c r="P299">
        <v>12600</v>
      </c>
      <c r="R299" t="s">
        <v>1</v>
      </c>
      <c r="S299" t="s">
        <v>80</v>
      </c>
      <c r="T299" t="s">
        <v>1874</v>
      </c>
      <c r="U299" s="3" t="s">
        <v>1</v>
      </c>
      <c r="V299" s="3" t="s">
        <v>1875</v>
      </c>
      <c r="W299" s="3" t="s">
        <v>4560</v>
      </c>
      <c r="X299" t="s">
        <v>1508</v>
      </c>
      <c r="Y299">
        <v>8</v>
      </c>
      <c r="Z299">
        <v>0</v>
      </c>
      <c r="AA299">
        <f>IF('Στατιστικά'!$C$6,1,IFERROR(INDEX('Στατιστικά'!$C$10:$C$83,MATCH(G299,'Στατιστικά'!$B$10:$B$83,0))*1,0))</f>
        <v>1</v>
      </c>
    </row>
    <row r="300" spans="1:27">
      <c r="A300" s="2">
        <v>46240</v>
      </c>
      <c r="B300" t="s">
        <v>1877</v>
      </c>
      <c r="C300" t="s">
        <v>1878</v>
      </c>
      <c r="D300" t="s">
        <v>1</v>
      </c>
      <c r="E300" t="s">
        <v>1879</v>
      </c>
      <c r="F300" t="s">
        <v>217</v>
      </c>
      <c r="G300" t="s">
        <v>205</v>
      </c>
      <c r="H300" t="s">
        <v>1</v>
      </c>
      <c r="I300">
        <v>42</v>
      </c>
      <c r="J300">
        <v>13</v>
      </c>
      <c r="K300">
        <v>3</v>
      </c>
      <c r="M300" t="s">
        <v>701</v>
      </c>
      <c r="N300" t="s">
        <v>1</v>
      </c>
      <c r="O300" t="s">
        <v>1</v>
      </c>
      <c r="Q300">
        <v>3</v>
      </c>
      <c r="R300" t="s">
        <v>79</v>
      </c>
      <c r="S300" t="s">
        <v>80</v>
      </c>
      <c r="T300" t="s">
        <v>98</v>
      </c>
      <c r="U300" s="3" t="s">
        <v>1</v>
      </c>
      <c r="V300" s="3" t="s">
        <v>1880</v>
      </c>
      <c r="W300" s="3" t="s">
        <v>1881</v>
      </c>
      <c r="X300" t="s">
        <v>1694</v>
      </c>
      <c r="Y300">
        <v>8</v>
      </c>
      <c r="Z300">
        <v>0</v>
      </c>
      <c r="AA300">
        <f>IF('Στατιστικά'!$C$6,1,IFERROR(INDEX('Στατιστικά'!$C$10:$C$83,MATCH(G300,'Στατιστικά'!$B$10:$B$83,0))*1,0))</f>
        <v>1</v>
      </c>
    </row>
    <row r="301" spans="1:27">
      <c r="A301" s="2">
        <v>46240</v>
      </c>
      <c r="B301" t="s">
        <v>1794</v>
      </c>
      <c r="C301" t="s">
        <v>1</v>
      </c>
      <c r="D301" t="s">
        <v>1</v>
      </c>
      <c r="E301" t="s">
        <v>1882</v>
      </c>
      <c r="F301" t="s">
        <v>44</v>
      </c>
      <c r="G301" t="s">
        <v>94</v>
      </c>
      <c r="H301" t="s">
        <v>1435</v>
      </c>
      <c r="I301">
        <v>33</v>
      </c>
      <c r="J301">
        <v>9</v>
      </c>
      <c r="K301">
        <v>8</v>
      </c>
      <c r="L301">
        <v>2</v>
      </c>
      <c r="M301" t="s">
        <v>1883</v>
      </c>
      <c r="N301" t="s">
        <v>1</v>
      </c>
      <c r="O301" t="s">
        <v>1</v>
      </c>
      <c r="Q301">
        <v>4</v>
      </c>
      <c r="R301" t="s">
        <v>137</v>
      </c>
      <c r="S301" t="s">
        <v>107</v>
      </c>
      <c r="T301" t="s">
        <v>98</v>
      </c>
      <c r="U301" s="3" t="s">
        <v>1</v>
      </c>
      <c r="V301" s="3" t="s">
        <v>1884</v>
      </c>
      <c r="W301" s="3" t="s">
        <v>1885</v>
      </c>
      <c r="X301" t="s">
        <v>1886</v>
      </c>
      <c r="Y301">
        <v>8</v>
      </c>
      <c r="Z301">
        <v>0</v>
      </c>
      <c r="AA301">
        <f>IF('Στατιστικά'!$C$6,1,IFERROR(INDEX('Στατιστικά'!$C$10:$C$83,MATCH(G301,'Στατιστικά'!$B$10:$B$83,0))*1,0))</f>
        <v>1</v>
      </c>
    </row>
    <row r="302" spans="1:27">
      <c r="A302" s="2">
        <v>46240</v>
      </c>
      <c r="B302" t="s">
        <v>1887</v>
      </c>
      <c r="C302" t="s">
        <v>1</v>
      </c>
      <c r="D302" t="s">
        <v>1</v>
      </c>
      <c r="E302" t="s">
        <v>1888</v>
      </c>
      <c r="F302" t="s">
        <v>141</v>
      </c>
      <c r="G302" t="s">
        <v>142</v>
      </c>
      <c r="H302" t="s">
        <v>1889</v>
      </c>
      <c r="I302">
        <v>20</v>
      </c>
      <c r="J302">
        <v>5</v>
      </c>
      <c r="K302">
        <v>2</v>
      </c>
      <c r="M302" t="s">
        <v>1890</v>
      </c>
      <c r="N302" t="s">
        <v>1891</v>
      </c>
      <c r="O302" t="s">
        <v>1</v>
      </c>
      <c r="P302" t="s">
        <v>4759</v>
      </c>
      <c r="Q302">
        <v>3</v>
      </c>
      <c r="R302" t="s">
        <v>79</v>
      </c>
      <c r="S302" t="s">
        <v>80</v>
      </c>
      <c r="T302" t="s">
        <v>98</v>
      </c>
      <c r="U302" s="3" t="s">
        <v>1</v>
      </c>
      <c r="V302" s="3" t="s">
        <v>1892</v>
      </c>
      <c r="W302" s="3" t="s">
        <v>4760</v>
      </c>
      <c r="X302" t="s">
        <v>1617</v>
      </c>
      <c r="Y302">
        <v>8</v>
      </c>
      <c r="Z302">
        <v>0</v>
      </c>
      <c r="AA302">
        <f>IF('Στατιστικά'!$C$6,1,IFERROR(INDEX('Στατιστικά'!$C$10:$C$83,MATCH(G302,'Στατιστικά'!$B$10:$B$83,0))*1,0))</f>
        <v>1</v>
      </c>
    </row>
    <row r="303" spans="1:27">
      <c r="A303" s="2">
        <v>46240</v>
      </c>
      <c r="B303" t="s">
        <v>1894</v>
      </c>
      <c r="C303" t="s">
        <v>1</v>
      </c>
      <c r="D303" t="s">
        <v>1</v>
      </c>
      <c r="E303" t="s">
        <v>1895</v>
      </c>
      <c r="F303" t="s">
        <v>217</v>
      </c>
      <c r="G303" t="s">
        <v>412</v>
      </c>
      <c r="H303" t="s">
        <v>1541</v>
      </c>
      <c r="I303">
        <v>25</v>
      </c>
      <c r="J303">
        <v>9</v>
      </c>
      <c r="K303">
        <v>2</v>
      </c>
      <c r="M303" t="s">
        <v>1</v>
      </c>
      <c r="N303" t="s">
        <v>1896</v>
      </c>
      <c r="O303" t="s">
        <v>1</v>
      </c>
      <c r="P303">
        <v>2</v>
      </c>
      <c r="Q303">
        <v>3</v>
      </c>
      <c r="R303" t="s">
        <v>79</v>
      </c>
      <c r="S303" t="s">
        <v>80</v>
      </c>
      <c r="T303" t="s">
        <v>1897</v>
      </c>
      <c r="U303" s="3" t="s">
        <v>1</v>
      </c>
      <c r="V303" s="3" t="s">
        <v>1898</v>
      </c>
      <c r="W303" s="3" t="s">
        <v>1899</v>
      </c>
      <c r="X303" t="s">
        <v>1694</v>
      </c>
      <c r="Y303">
        <v>8</v>
      </c>
      <c r="Z303">
        <v>2</v>
      </c>
      <c r="AA303">
        <f>IF('Στατιστικά'!$C$6,1,IFERROR(INDEX('Στατιστικά'!$C$10:$C$83,MATCH(G303,'Στατιστικά'!$B$10:$B$83,0))*1,0))</f>
        <v>1</v>
      </c>
    </row>
    <row r="304" spans="1:27">
      <c r="A304" s="2">
        <v>46239</v>
      </c>
      <c r="B304" t="s">
        <v>1900</v>
      </c>
      <c r="C304" t="s">
        <v>1</v>
      </c>
      <c r="D304" t="s">
        <v>1</v>
      </c>
      <c r="E304" t="s">
        <v>1247</v>
      </c>
      <c r="F304" t="s">
        <v>86</v>
      </c>
      <c r="G304" t="s">
        <v>188</v>
      </c>
      <c r="H304" t="s">
        <v>1248</v>
      </c>
      <c r="I304">
        <v>32</v>
      </c>
      <c r="J304">
        <v>9</v>
      </c>
      <c r="K304">
        <v>0</v>
      </c>
      <c r="L304">
        <v>0</v>
      </c>
      <c r="M304" t="s">
        <v>1901</v>
      </c>
      <c r="N304" t="s">
        <v>1</v>
      </c>
      <c r="O304" t="s">
        <v>1</v>
      </c>
      <c r="Q304">
        <v>3</v>
      </c>
      <c r="R304" t="s">
        <v>79</v>
      </c>
      <c r="S304" t="s">
        <v>1902</v>
      </c>
      <c r="T304" t="s">
        <v>1903</v>
      </c>
      <c r="U304" s="3" t="s">
        <v>1</v>
      </c>
      <c r="V304" s="3" t="s">
        <v>1904</v>
      </c>
      <c r="W304" s="3" t="s">
        <v>1905</v>
      </c>
      <c r="X304" t="s">
        <v>1694</v>
      </c>
      <c r="Y304">
        <v>8</v>
      </c>
      <c r="Z304">
        <v>0</v>
      </c>
      <c r="AA304">
        <f>IF('Στατιστικά'!$C$6,1,IFERROR(INDEX('Στατιστικά'!$C$10:$C$83,MATCH(G304,'Στατιστικά'!$B$10:$B$83,0))*1,0))</f>
        <v>1</v>
      </c>
    </row>
    <row r="305" spans="1:27">
      <c r="A305" s="2">
        <v>46239</v>
      </c>
      <c r="B305" t="s">
        <v>1900</v>
      </c>
      <c r="C305" t="s">
        <v>1</v>
      </c>
      <c r="D305" t="s">
        <v>1</v>
      </c>
      <c r="E305" t="s">
        <v>1906</v>
      </c>
      <c r="F305" t="s">
        <v>120</v>
      </c>
      <c r="G305" t="s">
        <v>1496</v>
      </c>
      <c r="H305" t="s">
        <v>1907</v>
      </c>
      <c r="I305">
        <v>10</v>
      </c>
      <c r="J305">
        <v>4</v>
      </c>
      <c r="K305">
        <v>0</v>
      </c>
      <c r="L305">
        <v>0</v>
      </c>
      <c r="M305" t="s">
        <v>1</v>
      </c>
      <c r="N305" t="s">
        <v>1908</v>
      </c>
      <c r="O305" t="s">
        <v>1</v>
      </c>
      <c r="P305" t="s">
        <v>4761</v>
      </c>
      <c r="Q305">
        <v>3</v>
      </c>
      <c r="R305" t="s">
        <v>79</v>
      </c>
      <c r="S305" t="s">
        <v>1</v>
      </c>
      <c r="T305" t="s">
        <v>1909</v>
      </c>
      <c r="U305" s="3" t="s">
        <v>1</v>
      </c>
      <c r="V305" s="3" t="s">
        <v>1910</v>
      </c>
      <c r="W305" s="3" t="s">
        <v>4762</v>
      </c>
      <c r="X305" t="s">
        <v>1912</v>
      </c>
      <c r="Y305">
        <v>8</v>
      </c>
      <c r="Z305">
        <v>0</v>
      </c>
      <c r="AA305">
        <f>IF('Στατιστικά'!$C$6,1,IFERROR(INDEX('Στατιστικά'!$C$10:$C$83,MATCH(G305,'Στατιστικά'!$B$10:$B$83,0))*1,0))</f>
        <v>1</v>
      </c>
    </row>
    <row r="306" spans="1:27">
      <c r="A306" s="2">
        <v>46239</v>
      </c>
      <c r="B306" t="s">
        <v>1913</v>
      </c>
      <c r="C306" t="s">
        <v>1</v>
      </c>
      <c r="D306" t="s">
        <v>1</v>
      </c>
      <c r="E306" t="s">
        <v>1914</v>
      </c>
      <c r="F306" t="s">
        <v>141</v>
      </c>
      <c r="G306" t="s">
        <v>142</v>
      </c>
      <c r="H306" t="s">
        <v>1915</v>
      </c>
      <c r="I306">
        <v>22</v>
      </c>
      <c r="J306">
        <v>6</v>
      </c>
      <c r="K306">
        <v>4</v>
      </c>
      <c r="L306">
        <v>0</v>
      </c>
      <c r="M306" t="s">
        <v>1916</v>
      </c>
      <c r="N306" t="s">
        <v>1</v>
      </c>
      <c r="O306" t="s">
        <v>1</v>
      </c>
      <c r="P306" t="s">
        <v>4763</v>
      </c>
      <c r="Q306">
        <v>3</v>
      </c>
      <c r="R306" t="s">
        <v>79</v>
      </c>
      <c r="S306" t="s">
        <v>58</v>
      </c>
      <c r="T306" t="s">
        <v>1</v>
      </c>
      <c r="U306" s="3" t="s">
        <v>1</v>
      </c>
      <c r="V306" s="3" t="s">
        <v>1917</v>
      </c>
      <c r="W306" s="3" t="s">
        <v>4764</v>
      </c>
      <c r="X306" t="s">
        <v>1694</v>
      </c>
      <c r="Y306">
        <v>8</v>
      </c>
      <c r="Z306">
        <v>0</v>
      </c>
      <c r="AA306">
        <f>IF('Στατιστικά'!$C$6,1,IFERROR(INDEX('Στατιστικά'!$C$10:$C$83,MATCH(G306,'Στατιστικά'!$B$10:$B$83,0))*1,0))</f>
        <v>1</v>
      </c>
    </row>
    <row r="307" spans="1:27">
      <c r="A307" s="2">
        <v>46239</v>
      </c>
      <c r="B307" t="s">
        <v>1</v>
      </c>
      <c r="C307" t="s">
        <v>1</v>
      </c>
      <c r="D307" t="s">
        <v>1</v>
      </c>
      <c r="E307" t="s">
        <v>1919</v>
      </c>
      <c r="F307" t="s">
        <v>1920</v>
      </c>
      <c r="G307" t="s">
        <v>15</v>
      </c>
      <c r="H307" t="s">
        <v>539</v>
      </c>
      <c r="I307">
        <v>525</v>
      </c>
      <c r="L307">
        <v>4</v>
      </c>
      <c r="M307" t="s">
        <v>1921</v>
      </c>
      <c r="N307" t="s">
        <v>1922</v>
      </c>
      <c r="O307" t="s">
        <v>1</v>
      </c>
      <c r="P307">
        <v>14424.3</v>
      </c>
      <c r="Q307">
        <v>4</v>
      </c>
      <c r="R307" t="s">
        <v>137</v>
      </c>
      <c r="S307" t="s">
        <v>80</v>
      </c>
      <c r="T307" t="s">
        <v>1923</v>
      </c>
      <c r="U307" s="3" t="s">
        <v>1924</v>
      </c>
      <c r="V307" s="3" t="s">
        <v>1925</v>
      </c>
      <c r="W307" s="3" t="s">
        <v>4561</v>
      </c>
      <c r="X307" t="s">
        <v>1617</v>
      </c>
      <c r="Y307">
        <v>8</v>
      </c>
      <c r="Z307">
        <v>0</v>
      </c>
      <c r="AA307">
        <f>IF('Στατιστικά'!$C$6,1,IFERROR(INDEX('Στατιστικά'!$C$10:$C$83,MATCH(G307,'Στατιστικά'!$B$10:$B$83,0))*1,0))</f>
        <v>1</v>
      </c>
    </row>
    <row r="308" spans="1:27">
      <c r="A308" s="2">
        <v>46238</v>
      </c>
      <c r="B308" t="s">
        <v>410</v>
      </c>
      <c r="C308" t="s">
        <v>1</v>
      </c>
      <c r="D308" t="s">
        <v>1</v>
      </c>
      <c r="E308" t="s">
        <v>1927</v>
      </c>
      <c r="F308" t="s">
        <v>44</v>
      </c>
      <c r="G308" t="s">
        <v>395</v>
      </c>
      <c r="H308" t="s">
        <v>396</v>
      </c>
      <c r="I308">
        <v>64</v>
      </c>
      <c r="J308">
        <v>15</v>
      </c>
      <c r="K308">
        <v>8</v>
      </c>
      <c r="L308">
        <v>3</v>
      </c>
      <c r="M308" t="s">
        <v>1016</v>
      </c>
      <c r="N308" t="s">
        <v>1928</v>
      </c>
      <c r="O308" t="s">
        <v>1</v>
      </c>
      <c r="Q308">
        <v>3</v>
      </c>
      <c r="R308" t="s">
        <v>79</v>
      </c>
      <c r="S308" t="s">
        <v>1929</v>
      </c>
      <c r="T308" t="s">
        <v>1930</v>
      </c>
      <c r="U308" s="3" t="s">
        <v>1931</v>
      </c>
      <c r="V308" s="3" t="s">
        <v>1932</v>
      </c>
      <c r="W308" s="3" t="s">
        <v>4562</v>
      </c>
      <c r="X308" t="s">
        <v>1934</v>
      </c>
      <c r="Y308">
        <v>8</v>
      </c>
      <c r="Z308">
        <v>0</v>
      </c>
      <c r="AA308">
        <f>IF('Στατιστικά'!$C$6,1,IFERROR(INDEX('Στατιστικά'!$C$10:$C$83,MATCH(G308,'Στατιστικά'!$B$10:$B$83,0))*1,0))</f>
        <v>1</v>
      </c>
    </row>
    <row r="309" spans="1:27">
      <c r="A309" s="2">
        <v>46238</v>
      </c>
      <c r="B309" t="s">
        <v>330</v>
      </c>
      <c r="C309" t="s">
        <v>1</v>
      </c>
      <c r="D309" t="s">
        <v>1</v>
      </c>
      <c r="E309" t="s">
        <v>1935</v>
      </c>
      <c r="F309" t="s">
        <v>217</v>
      </c>
      <c r="G309" t="s">
        <v>218</v>
      </c>
      <c r="H309" t="s">
        <v>1936</v>
      </c>
      <c r="I309">
        <v>50</v>
      </c>
      <c r="J309">
        <v>14</v>
      </c>
      <c r="M309" t="s">
        <v>1154</v>
      </c>
      <c r="N309" t="s">
        <v>419</v>
      </c>
      <c r="O309" t="s">
        <v>1</v>
      </c>
      <c r="Q309">
        <v>3</v>
      </c>
      <c r="R309" t="s">
        <v>79</v>
      </c>
      <c r="S309" t="s">
        <v>80</v>
      </c>
      <c r="T309" t="s">
        <v>1937</v>
      </c>
      <c r="U309" s="3" t="s">
        <v>1938</v>
      </c>
      <c r="V309" s="3" t="s">
        <v>1939</v>
      </c>
      <c r="W309" s="3" t="s">
        <v>1940</v>
      </c>
      <c r="X309" t="s">
        <v>1617</v>
      </c>
      <c r="Y309">
        <v>8</v>
      </c>
      <c r="Z309">
        <v>0</v>
      </c>
      <c r="AA309">
        <f>IF('Στατιστικά'!$C$6,1,IFERROR(INDEX('Στατιστικά'!$C$10:$C$83,MATCH(G309,'Στατιστικά'!$B$10:$B$83,0))*1,0))</f>
        <v>1</v>
      </c>
    </row>
    <row r="310" spans="1:27">
      <c r="A310" s="2">
        <v>46238</v>
      </c>
      <c r="B310" t="s">
        <v>1</v>
      </c>
      <c r="C310" t="s">
        <v>1</v>
      </c>
      <c r="D310" t="s">
        <v>1</v>
      </c>
      <c r="E310" t="s">
        <v>1941</v>
      </c>
      <c r="F310" t="s">
        <v>217</v>
      </c>
      <c r="G310" t="s">
        <v>218</v>
      </c>
      <c r="H310" t="s">
        <v>1942</v>
      </c>
      <c r="I310">
        <v>44</v>
      </c>
      <c r="J310">
        <v>13</v>
      </c>
      <c r="K310">
        <v>1</v>
      </c>
      <c r="L310">
        <v>1</v>
      </c>
      <c r="M310" t="s">
        <v>1016</v>
      </c>
      <c r="N310" t="s">
        <v>1</v>
      </c>
      <c r="O310" t="s">
        <v>1</v>
      </c>
      <c r="P310">
        <v>726.4</v>
      </c>
      <c r="Q310">
        <v>3</v>
      </c>
      <c r="R310" t="s">
        <v>79</v>
      </c>
      <c r="S310" t="s">
        <v>58</v>
      </c>
      <c r="T310" t="s">
        <v>1943</v>
      </c>
      <c r="U310" s="3" t="s">
        <v>1944</v>
      </c>
      <c r="V310" s="3" t="s">
        <v>1945</v>
      </c>
      <c r="W310" s="3" t="s">
        <v>1946</v>
      </c>
      <c r="X310" t="s">
        <v>1774</v>
      </c>
      <c r="Y310">
        <v>8</v>
      </c>
      <c r="Z310">
        <v>726.4</v>
      </c>
      <c r="AA310">
        <f>IF('Στατιστικά'!$C$6,1,IFERROR(INDEX('Στατιστικά'!$C$10:$C$83,MATCH(G310,'Στατιστικά'!$B$10:$B$83,0))*1,0))</f>
        <v>1</v>
      </c>
    </row>
    <row r="311" spans="1:27">
      <c r="A311" s="2">
        <v>46238</v>
      </c>
      <c r="B311" t="s">
        <v>1</v>
      </c>
      <c r="C311" t="s">
        <v>1</v>
      </c>
      <c r="D311" t="s">
        <v>1</v>
      </c>
      <c r="E311" t="s">
        <v>1947</v>
      </c>
      <c r="F311" t="s">
        <v>1845</v>
      </c>
      <c r="G311" t="s">
        <v>1948</v>
      </c>
      <c r="H311" t="s">
        <v>1949</v>
      </c>
      <c r="M311" t="s">
        <v>1</v>
      </c>
      <c r="N311" t="s">
        <v>1</v>
      </c>
      <c r="O311" t="s">
        <v>1</v>
      </c>
      <c r="P311">
        <v>13458.5</v>
      </c>
      <c r="Q311">
        <v>4</v>
      </c>
      <c r="R311" t="s">
        <v>137</v>
      </c>
      <c r="S311" t="s">
        <v>1950</v>
      </c>
      <c r="T311" t="s">
        <v>1951</v>
      </c>
      <c r="U311" s="3" t="s">
        <v>1952</v>
      </c>
      <c r="V311" s="3" t="s">
        <v>1953</v>
      </c>
      <c r="W311" s="3" t="s">
        <v>4563</v>
      </c>
      <c r="X311" t="s">
        <v>1617</v>
      </c>
      <c r="Y311">
        <v>8</v>
      </c>
      <c r="Z311">
        <v>0</v>
      </c>
      <c r="AA311">
        <f>IF('Στατιστικά'!$C$6,1,IFERROR(INDEX('Στατιστικά'!$C$10:$C$83,MATCH(G311,'Στατιστικά'!$B$10:$B$83,0))*1,0))</f>
        <v>1</v>
      </c>
    </row>
    <row r="312" spans="1:27">
      <c r="A312" s="2">
        <v>46237</v>
      </c>
      <c r="B312" t="s">
        <v>1955</v>
      </c>
      <c r="C312" t="s">
        <v>1</v>
      </c>
      <c r="D312" t="s">
        <v>1</v>
      </c>
      <c r="E312" t="s">
        <v>1956</v>
      </c>
      <c r="F312" t="s">
        <v>217</v>
      </c>
      <c r="G312" t="s">
        <v>205</v>
      </c>
      <c r="H312" t="s">
        <v>1957</v>
      </c>
      <c r="I312">
        <v>77</v>
      </c>
      <c r="J312">
        <v>19</v>
      </c>
      <c r="K312">
        <v>7</v>
      </c>
      <c r="M312" t="s">
        <v>1958</v>
      </c>
      <c r="N312" t="s">
        <v>1</v>
      </c>
      <c r="O312" t="s">
        <v>1</v>
      </c>
      <c r="Q312">
        <v>3</v>
      </c>
      <c r="R312" t="s">
        <v>79</v>
      </c>
      <c r="S312" t="s">
        <v>80</v>
      </c>
      <c r="T312" t="s">
        <v>1959</v>
      </c>
      <c r="U312" s="3" t="s">
        <v>1</v>
      </c>
      <c r="V312" s="3" t="s">
        <v>1960</v>
      </c>
      <c r="W312" s="3" t="s">
        <v>1961</v>
      </c>
      <c r="X312" t="s">
        <v>1774</v>
      </c>
      <c r="Y312">
        <v>8</v>
      </c>
      <c r="Z312">
        <v>0</v>
      </c>
      <c r="AA312">
        <f>IF('Στατιστικά'!$C$6,1,IFERROR(INDEX('Στατιστικά'!$C$10:$C$83,MATCH(G312,'Στατιστικά'!$B$10:$B$83,0))*1,0))</f>
        <v>1</v>
      </c>
    </row>
    <row r="313" spans="1:27">
      <c r="A313" s="2">
        <v>46237</v>
      </c>
      <c r="B313" t="s">
        <v>1962</v>
      </c>
      <c r="C313" t="s">
        <v>1</v>
      </c>
      <c r="D313" t="s">
        <v>1</v>
      </c>
      <c r="E313" t="s">
        <v>1963</v>
      </c>
      <c r="F313" t="s">
        <v>324</v>
      </c>
      <c r="G313" t="s">
        <v>325</v>
      </c>
      <c r="H313" t="s">
        <v>1964</v>
      </c>
      <c r="M313" t="s">
        <v>1</v>
      </c>
      <c r="N313" t="s">
        <v>1</v>
      </c>
      <c r="O313" t="s">
        <v>1</v>
      </c>
      <c r="Q313">
        <v>4</v>
      </c>
      <c r="R313" t="s">
        <v>137</v>
      </c>
      <c r="S313" t="s">
        <v>1965</v>
      </c>
      <c r="T313" t="s">
        <v>1</v>
      </c>
      <c r="U313" s="3" t="s">
        <v>1</v>
      </c>
      <c r="V313" s="3" t="s">
        <v>1966</v>
      </c>
      <c r="W313" s="3" t="s">
        <v>1967</v>
      </c>
      <c r="X313" t="s">
        <v>1886</v>
      </c>
      <c r="Y313">
        <v>8</v>
      </c>
      <c r="Z313">
        <v>0</v>
      </c>
      <c r="AA313">
        <f>IF('Στατιστικά'!$C$6,1,IFERROR(INDEX('Στατιστικά'!$C$10:$C$83,MATCH(G313,'Στατιστικά'!$B$10:$B$83,0))*1,0))</f>
        <v>1</v>
      </c>
    </row>
    <row r="314" spans="1:27">
      <c r="A314" s="2">
        <v>46236</v>
      </c>
      <c r="B314" t="s">
        <v>1968</v>
      </c>
      <c r="C314" t="s">
        <v>1</v>
      </c>
      <c r="D314" t="s">
        <v>1</v>
      </c>
      <c r="E314" t="s">
        <v>1969</v>
      </c>
      <c r="F314" t="s">
        <v>469</v>
      </c>
      <c r="G314" t="s">
        <v>1336</v>
      </c>
      <c r="H314" t="s">
        <v>1970</v>
      </c>
      <c r="I314">
        <v>70</v>
      </c>
      <c r="J314">
        <v>21</v>
      </c>
      <c r="K314">
        <v>2</v>
      </c>
      <c r="L314">
        <v>1</v>
      </c>
      <c r="M314" t="s">
        <v>1971</v>
      </c>
      <c r="N314" t="s">
        <v>1972</v>
      </c>
      <c r="O314" t="s">
        <v>1</v>
      </c>
      <c r="P314">
        <v>600</v>
      </c>
      <c r="Q314">
        <v>3</v>
      </c>
      <c r="R314" t="s">
        <v>79</v>
      </c>
      <c r="S314" t="s">
        <v>80</v>
      </c>
      <c r="T314" t="s">
        <v>1973</v>
      </c>
      <c r="U314" s="3" t="s">
        <v>1974</v>
      </c>
      <c r="V314" s="3" t="s">
        <v>1975</v>
      </c>
      <c r="W314" s="3" t="s">
        <v>4564</v>
      </c>
      <c r="X314" t="s">
        <v>1774</v>
      </c>
      <c r="Y314">
        <v>8</v>
      </c>
      <c r="Z314">
        <v>0</v>
      </c>
      <c r="AA314">
        <f>IF('Στατιστικά'!$C$6,1,IFERROR(INDEX('Στατιστικά'!$C$10:$C$83,MATCH(G314,'Στατιστικά'!$B$10:$B$83,0))*1,0))</f>
        <v>1</v>
      </c>
    </row>
    <row r="315" spans="1:27">
      <c r="A315" s="2">
        <v>46236</v>
      </c>
      <c r="B315" t="s">
        <v>410</v>
      </c>
      <c r="C315" t="s">
        <v>1</v>
      </c>
      <c r="D315" t="s">
        <v>1</v>
      </c>
      <c r="E315" t="s">
        <v>1977</v>
      </c>
      <c r="F315" t="s">
        <v>44</v>
      </c>
      <c r="G315" t="s">
        <v>395</v>
      </c>
      <c r="H315" t="s">
        <v>1978</v>
      </c>
      <c r="I315">
        <v>42</v>
      </c>
      <c r="J315">
        <v>9</v>
      </c>
      <c r="K315">
        <v>8</v>
      </c>
      <c r="L315">
        <v>3</v>
      </c>
      <c r="M315" t="s">
        <v>1797</v>
      </c>
      <c r="N315" t="s">
        <v>1979</v>
      </c>
      <c r="O315" t="s">
        <v>1</v>
      </c>
      <c r="Q315">
        <v>3</v>
      </c>
      <c r="R315" t="s">
        <v>79</v>
      </c>
      <c r="S315" t="s">
        <v>1980</v>
      </c>
      <c r="T315" t="s">
        <v>1981</v>
      </c>
      <c r="U315" s="3" t="s">
        <v>1982</v>
      </c>
      <c r="V315" s="3" t="s">
        <v>1983</v>
      </c>
      <c r="W315" s="3" t="s">
        <v>1984</v>
      </c>
      <c r="X315" t="s">
        <v>1985</v>
      </c>
      <c r="Y315">
        <v>8</v>
      </c>
      <c r="Z315">
        <v>0</v>
      </c>
      <c r="AA315">
        <f>IF('Στατιστικά'!$C$6,1,IFERROR(INDEX('Στατιστικά'!$C$10:$C$83,MATCH(G315,'Στατιστικά'!$B$10:$B$83,0))*1,0))</f>
        <v>1</v>
      </c>
    </row>
    <row r="316" spans="1:27">
      <c r="A316" s="2">
        <v>46236</v>
      </c>
      <c r="B316" t="s">
        <v>1986</v>
      </c>
      <c r="C316" t="s">
        <v>1</v>
      </c>
      <c r="D316" t="s">
        <v>1</v>
      </c>
      <c r="E316" t="s">
        <v>1987</v>
      </c>
      <c r="F316" t="s">
        <v>74</v>
      </c>
      <c r="G316" t="s">
        <v>1140</v>
      </c>
      <c r="H316" t="s">
        <v>1988</v>
      </c>
      <c r="I316">
        <v>220</v>
      </c>
      <c r="M316" t="s">
        <v>1</v>
      </c>
      <c r="N316" t="s">
        <v>1</v>
      </c>
      <c r="O316" t="s">
        <v>1</v>
      </c>
      <c r="P316">
        <v>4500</v>
      </c>
      <c r="Q316">
        <v>3</v>
      </c>
      <c r="R316" t="s">
        <v>79</v>
      </c>
      <c r="S316" t="s">
        <v>58</v>
      </c>
      <c r="T316" t="s">
        <v>1989</v>
      </c>
      <c r="U316" s="3" t="s">
        <v>1</v>
      </c>
      <c r="V316" s="3" t="s">
        <v>1990</v>
      </c>
      <c r="W316" s="3" t="s">
        <v>4565</v>
      </c>
      <c r="X316" t="s">
        <v>1774</v>
      </c>
      <c r="Y316">
        <v>8</v>
      </c>
      <c r="Z316">
        <v>0</v>
      </c>
      <c r="AA316">
        <f>IF('Στατιστικά'!$C$6,1,IFERROR(INDEX('Στατιστικά'!$C$10:$C$83,MATCH(G316,'Στατιστικά'!$B$10:$B$83,0))*1,0))</f>
        <v>1</v>
      </c>
    </row>
    <row r="317" spans="1:27">
      <c r="A317" s="2">
        <v>46236</v>
      </c>
      <c r="B317" t="s">
        <v>1992</v>
      </c>
      <c r="C317" t="s">
        <v>1</v>
      </c>
      <c r="D317" t="s">
        <v>1</v>
      </c>
      <c r="E317" t="s">
        <v>1935</v>
      </c>
      <c r="F317" t="s">
        <v>217</v>
      </c>
      <c r="G317" t="s">
        <v>218</v>
      </c>
      <c r="H317" t="s">
        <v>1993</v>
      </c>
      <c r="I317">
        <v>110</v>
      </c>
      <c r="K317">
        <v>4</v>
      </c>
      <c r="L317">
        <v>3</v>
      </c>
      <c r="M317" t="s">
        <v>1</v>
      </c>
      <c r="N317" t="s">
        <v>1994</v>
      </c>
      <c r="O317" t="s">
        <v>1</v>
      </c>
      <c r="Q317">
        <v>3</v>
      </c>
      <c r="R317" t="s">
        <v>79</v>
      </c>
      <c r="S317" t="s">
        <v>80</v>
      </c>
      <c r="T317" t="s">
        <v>1995</v>
      </c>
      <c r="U317" s="3" t="s">
        <v>1996</v>
      </c>
      <c r="V317" s="3" t="s">
        <v>1997</v>
      </c>
      <c r="W317" s="3" t="s">
        <v>1998</v>
      </c>
      <c r="X317" t="s">
        <v>1774</v>
      </c>
      <c r="Y317">
        <v>8</v>
      </c>
      <c r="Z317">
        <v>0</v>
      </c>
      <c r="AA317">
        <f>IF('Στατιστικά'!$C$6,1,IFERROR(INDEX('Στατιστικά'!$C$10:$C$83,MATCH(G317,'Στατιστικά'!$B$10:$B$83,0))*1,0))</f>
        <v>1</v>
      </c>
    </row>
    <row r="318" spans="1:27">
      <c r="A318" s="2">
        <v>46236</v>
      </c>
      <c r="B318" t="s">
        <v>1</v>
      </c>
      <c r="C318" t="s">
        <v>1</v>
      </c>
      <c r="D318" t="s">
        <v>1</v>
      </c>
      <c r="E318" t="s">
        <v>1999</v>
      </c>
      <c r="F318" t="s">
        <v>1845</v>
      </c>
      <c r="G318" t="s">
        <v>1948</v>
      </c>
      <c r="H318" t="s">
        <v>2000</v>
      </c>
      <c r="I318">
        <v>496</v>
      </c>
      <c r="J318">
        <v>134</v>
      </c>
      <c r="K318">
        <v>19</v>
      </c>
      <c r="L318">
        <v>11</v>
      </c>
      <c r="M318" t="s">
        <v>2001</v>
      </c>
      <c r="N318" t="s">
        <v>2002</v>
      </c>
      <c r="O318" t="s">
        <v>1</v>
      </c>
      <c r="P318">
        <v>11100</v>
      </c>
      <c r="Q318">
        <v>4</v>
      </c>
      <c r="R318" t="s">
        <v>137</v>
      </c>
      <c r="S318" t="s">
        <v>80</v>
      </c>
      <c r="T318" t="s">
        <v>2003</v>
      </c>
      <c r="U318" s="3" t="s">
        <v>2004</v>
      </c>
      <c r="V318" s="3" t="s">
        <v>2005</v>
      </c>
      <c r="W318" s="3" t="s">
        <v>4566</v>
      </c>
      <c r="X318" t="s">
        <v>1774</v>
      </c>
      <c r="Y318">
        <v>8</v>
      </c>
      <c r="Z318">
        <v>0</v>
      </c>
      <c r="AA318">
        <f>IF('Στατιστικά'!$C$6,1,IFERROR(INDEX('Στατιστικά'!$C$10:$C$83,MATCH(G318,'Στατιστικά'!$B$10:$B$83,0))*1,0))</f>
        <v>1</v>
      </c>
    </row>
    <row r="319" spans="1:27">
      <c r="A319" s="2">
        <v>46235</v>
      </c>
      <c r="B319" t="s">
        <v>2007</v>
      </c>
      <c r="C319" t="s">
        <v>1</v>
      </c>
      <c r="D319" t="s">
        <v>1</v>
      </c>
      <c r="E319" t="s">
        <v>2008</v>
      </c>
      <c r="F319" t="s">
        <v>469</v>
      </c>
      <c r="G319" t="s">
        <v>1336</v>
      </c>
      <c r="H319" t="s">
        <v>2009</v>
      </c>
      <c r="I319">
        <v>66</v>
      </c>
      <c r="J319">
        <v>19</v>
      </c>
      <c r="K319">
        <v>2</v>
      </c>
      <c r="L319">
        <v>1</v>
      </c>
      <c r="M319" t="s">
        <v>2010</v>
      </c>
      <c r="N319" t="s">
        <v>1</v>
      </c>
      <c r="O319" t="s">
        <v>1</v>
      </c>
      <c r="P319">
        <v>600.0</v>
      </c>
      <c r="R319" t="s">
        <v>1</v>
      </c>
      <c r="S319" t="s">
        <v>891</v>
      </c>
      <c r="T319" t="s">
        <v>2011</v>
      </c>
      <c r="U319" s="3" t="s">
        <v>1</v>
      </c>
      <c r="V319" s="3" t="s">
        <v>2012</v>
      </c>
      <c r="W319" s="3" t="s">
        <v>4515</v>
      </c>
      <c r="X319" t="s">
        <v>1886</v>
      </c>
      <c r="Y319">
        <v>8</v>
      </c>
      <c r="Z319">
        <v>600.0</v>
      </c>
      <c r="AA319">
        <f>IF('Στατιστικά'!$C$6,1,IFERROR(INDEX('Στατιστικά'!$C$10:$C$83,MATCH(G319,'Στατιστικά'!$B$10:$B$83,0))*1,0))</f>
        <v>1</v>
      </c>
    </row>
    <row r="320" spans="1:27">
      <c r="A320" s="2">
        <v>46235</v>
      </c>
      <c r="B320" t="s">
        <v>1</v>
      </c>
      <c r="C320" t="s">
        <v>1</v>
      </c>
      <c r="D320" t="s">
        <v>1</v>
      </c>
      <c r="E320" t="s">
        <v>1927</v>
      </c>
      <c r="F320" t="s">
        <v>44</v>
      </c>
      <c r="G320" t="s">
        <v>395</v>
      </c>
      <c r="H320" t="s">
        <v>2014</v>
      </c>
      <c r="I320">
        <v>64</v>
      </c>
      <c r="J320">
        <v>15</v>
      </c>
      <c r="K320">
        <v>8</v>
      </c>
      <c r="L320">
        <v>3</v>
      </c>
      <c r="M320" t="s">
        <v>1016</v>
      </c>
      <c r="N320" t="s">
        <v>1</v>
      </c>
      <c r="O320" t="s">
        <v>1</v>
      </c>
      <c r="R320" t="s">
        <v>1</v>
      </c>
      <c r="S320" t="s">
        <v>107</v>
      </c>
      <c r="T320" t="s">
        <v>1</v>
      </c>
      <c r="U320" s="3" t="s">
        <v>2015</v>
      </c>
      <c r="V320" s="3" t="s">
        <v>2016</v>
      </c>
      <c r="W320" s="3" t="s">
        <v>2017</v>
      </c>
      <c r="X320" t="s">
        <v>1886</v>
      </c>
      <c r="Y320">
        <v>8</v>
      </c>
      <c r="Z320">
        <v>0</v>
      </c>
      <c r="AA320">
        <f>IF('Στατιστικά'!$C$6,1,IFERROR(INDEX('Στατιστικά'!$C$10:$C$83,MATCH(G320,'Στατιστικά'!$B$10:$B$83,0))*1,0))</f>
        <v>1</v>
      </c>
    </row>
    <row r="321" spans="1:27">
      <c r="A321" s="2">
        <v>46234</v>
      </c>
      <c r="B321" t="s">
        <v>2018</v>
      </c>
      <c r="C321" t="s">
        <v>1</v>
      </c>
      <c r="D321" t="s">
        <v>1</v>
      </c>
      <c r="E321" t="s">
        <v>2019</v>
      </c>
      <c r="F321" t="s">
        <v>74</v>
      </c>
      <c r="G321" t="s">
        <v>136</v>
      </c>
      <c r="H321" t="s">
        <v>2020</v>
      </c>
      <c r="M321" t="s">
        <v>1</v>
      </c>
      <c r="N321" t="s">
        <v>1</v>
      </c>
      <c r="O321" t="s">
        <v>1</v>
      </c>
      <c r="Q321">
        <v>4</v>
      </c>
      <c r="R321" t="s">
        <v>137</v>
      </c>
      <c r="S321" t="s">
        <v>1965</v>
      </c>
      <c r="T321" t="s">
        <v>1</v>
      </c>
      <c r="U321" s="3" t="s">
        <v>1</v>
      </c>
      <c r="V321" s="3" t="s">
        <v>2021</v>
      </c>
      <c r="W321" s="3" t="s">
        <v>2022</v>
      </c>
      <c r="X321" t="s">
        <v>1886</v>
      </c>
      <c r="Y321">
        <v>7</v>
      </c>
      <c r="Z321">
        <v>0</v>
      </c>
      <c r="AA321">
        <f>IF('Στατιστικά'!$C$6,1,IFERROR(INDEX('Στατιστικά'!$C$10:$C$83,MATCH(G321,'Στατιστικά'!$B$10:$B$83,0))*1,0))</f>
        <v>1</v>
      </c>
    </row>
    <row r="322" spans="1:27">
      <c r="A322" s="2">
        <v>46234</v>
      </c>
      <c r="B322" t="s">
        <v>1</v>
      </c>
      <c r="C322" t="s">
        <v>1</v>
      </c>
      <c r="D322" t="s">
        <v>1</v>
      </c>
      <c r="E322" t="s">
        <v>2023</v>
      </c>
      <c r="F322" t="s">
        <v>1845</v>
      </c>
      <c r="G322" t="s">
        <v>1948</v>
      </c>
      <c r="H322" t="s">
        <v>2024</v>
      </c>
      <c r="I322">
        <v>450</v>
      </c>
      <c r="J322">
        <v>125</v>
      </c>
      <c r="K322">
        <v>11</v>
      </c>
      <c r="L322">
        <v>12</v>
      </c>
      <c r="M322" t="s">
        <v>2025</v>
      </c>
      <c r="N322" t="s">
        <v>1</v>
      </c>
      <c r="O322" t="s">
        <v>1</v>
      </c>
      <c r="P322">
        <v>14424.3</v>
      </c>
      <c r="R322" t="s">
        <v>1</v>
      </c>
      <c r="S322" t="s">
        <v>58</v>
      </c>
      <c r="T322" t="s">
        <v>2026</v>
      </c>
      <c r="U322" s="3" t="s">
        <v>2027</v>
      </c>
      <c r="V322" s="3" t="s">
        <v>2028</v>
      </c>
      <c r="W322" s="3" t="s">
        <v>4513</v>
      </c>
      <c r="X322" t="s">
        <v>1694</v>
      </c>
      <c r="Y322">
        <v>7</v>
      </c>
      <c r="Z322">
        <v>14424.3</v>
      </c>
      <c r="AA322">
        <f>IF('Στατιστικά'!$C$6,1,IFERROR(INDEX('Στατιστικά'!$C$10:$C$83,MATCH(G322,'Στατιστικά'!$B$10:$B$83,0))*1,0))</f>
        <v>1</v>
      </c>
    </row>
    <row r="323" spans="1:27">
      <c r="A323" s="2">
        <v>46234</v>
      </c>
      <c r="B323" t="s">
        <v>1</v>
      </c>
      <c r="C323" t="s">
        <v>1</v>
      </c>
      <c r="D323" t="s">
        <v>1</v>
      </c>
      <c r="E323" t="s">
        <v>2030</v>
      </c>
      <c r="F323" t="s">
        <v>2031</v>
      </c>
      <c r="G323" t="s">
        <v>1948</v>
      </c>
      <c r="H323" t="s">
        <v>2032</v>
      </c>
      <c r="M323" t="s">
        <v>1</v>
      </c>
      <c r="N323" t="s">
        <v>1</v>
      </c>
      <c r="O323" t="s">
        <v>1</v>
      </c>
      <c r="P323">
        <v>11200</v>
      </c>
      <c r="R323" t="s">
        <v>1</v>
      </c>
      <c r="S323" t="s">
        <v>58</v>
      </c>
      <c r="T323" t="s">
        <v>2026</v>
      </c>
      <c r="U323" s="3" t="s">
        <v>2033</v>
      </c>
      <c r="V323" s="3" t="s">
        <v>2034</v>
      </c>
      <c r="W323" s="3" t="s">
        <v>4567</v>
      </c>
      <c r="X323" t="s">
        <v>1617</v>
      </c>
      <c r="Y323">
        <v>7</v>
      </c>
      <c r="Z323">
        <v>0</v>
      </c>
      <c r="AA323">
        <f>IF('Στατιστικά'!$C$6,1,IFERROR(INDEX('Στατιστικά'!$C$10:$C$83,MATCH(G323,'Στατιστικά'!$B$10:$B$83,0))*1,0))</f>
        <v>1</v>
      </c>
    </row>
    <row r="324" spans="1:27">
      <c r="A324" s="2">
        <v>46234</v>
      </c>
      <c r="B324" t="s">
        <v>1</v>
      </c>
      <c r="C324" t="s">
        <v>1</v>
      </c>
      <c r="D324" t="s">
        <v>1</v>
      </c>
      <c r="E324" t="s">
        <v>2036</v>
      </c>
      <c r="F324" t="s">
        <v>1845</v>
      </c>
      <c r="G324" t="s">
        <v>1846</v>
      </c>
      <c r="H324" t="s">
        <v>2037</v>
      </c>
      <c r="I324">
        <v>526</v>
      </c>
      <c r="J324">
        <v>141</v>
      </c>
      <c r="M324" t="s">
        <v>2038</v>
      </c>
      <c r="N324" t="s">
        <v>1</v>
      </c>
      <c r="O324" t="s">
        <v>1</v>
      </c>
      <c r="P324">
        <v>14400</v>
      </c>
      <c r="Q324">
        <v>4</v>
      </c>
      <c r="R324" t="s">
        <v>137</v>
      </c>
      <c r="S324" t="s">
        <v>107</v>
      </c>
      <c r="T324" t="s">
        <v>2039</v>
      </c>
      <c r="U324" s="3" t="s">
        <v>2040</v>
      </c>
      <c r="V324" s="3" t="s">
        <v>2041</v>
      </c>
      <c r="W324" s="3" t="s">
        <v>4568</v>
      </c>
      <c r="X324" t="s">
        <v>1886</v>
      </c>
      <c r="Y324">
        <v>7</v>
      </c>
      <c r="Z324">
        <v>0</v>
      </c>
      <c r="AA324">
        <f>IF('Στατιστικά'!$C$6,1,IFERROR(INDEX('Στατιστικά'!$C$10:$C$83,MATCH(G324,'Στατιστικά'!$B$10:$B$83,0))*1,0))</f>
        <v>1</v>
      </c>
    </row>
    <row r="325" spans="1:27">
      <c r="A325" s="2">
        <v>46234</v>
      </c>
      <c r="B325" t="s">
        <v>1</v>
      </c>
      <c r="C325" t="s">
        <v>1</v>
      </c>
      <c r="D325" t="s">
        <v>1</v>
      </c>
      <c r="E325" t="s">
        <v>2043</v>
      </c>
      <c r="F325" t="s">
        <v>1920</v>
      </c>
      <c r="G325" t="s">
        <v>1948</v>
      </c>
      <c r="H325" t="s">
        <v>2044</v>
      </c>
      <c r="M325" t="s">
        <v>1</v>
      </c>
      <c r="N325" t="s">
        <v>1</v>
      </c>
      <c r="O325" t="s">
        <v>1</v>
      </c>
      <c r="P325">
        <v>11170</v>
      </c>
      <c r="R325" t="s">
        <v>1</v>
      </c>
      <c r="S325" t="s">
        <v>107</v>
      </c>
      <c r="T325" t="s">
        <v>2039</v>
      </c>
      <c r="U325" s="3" t="s">
        <v>2045</v>
      </c>
      <c r="V325" s="3" t="s">
        <v>2046</v>
      </c>
      <c r="W325" s="3" t="s">
        <v>4569</v>
      </c>
      <c r="X325" t="s">
        <v>1886</v>
      </c>
      <c r="Y325">
        <v>7</v>
      </c>
      <c r="Z325">
        <v>0</v>
      </c>
      <c r="AA325">
        <f>IF('Στατιστικά'!$C$6,1,IFERROR(INDEX('Στατιστικά'!$C$10:$C$83,MATCH(G325,'Στατιστικά'!$B$10:$B$83,0))*1,0))</f>
        <v>1</v>
      </c>
    </row>
    <row r="326" spans="1:27">
      <c r="A326" s="2">
        <v>46234</v>
      </c>
      <c r="B326" t="s">
        <v>1</v>
      </c>
      <c r="C326" t="s">
        <v>1</v>
      </c>
      <c r="D326" t="s">
        <v>1</v>
      </c>
      <c r="E326" t="s">
        <v>2048</v>
      </c>
      <c r="F326" t="s">
        <v>2031</v>
      </c>
      <c r="G326" t="s">
        <v>1948</v>
      </c>
      <c r="H326" t="s">
        <v>2049</v>
      </c>
      <c r="I326">
        <v>450</v>
      </c>
      <c r="J326">
        <v>125</v>
      </c>
      <c r="K326">
        <v>11</v>
      </c>
      <c r="L326">
        <v>12</v>
      </c>
      <c r="M326" t="s">
        <v>2001</v>
      </c>
      <c r="N326" t="s">
        <v>1717</v>
      </c>
      <c r="O326" t="s">
        <v>1</v>
      </c>
      <c r="P326">
        <v>14424</v>
      </c>
      <c r="R326" t="s">
        <v>1</v>
      </c>
      <c r="S326" t="s">
        <v>107</v>
      </c>
      <c r="T326" t="s">
        <v>2039</v>
      </c>
      <c r="U326" s="3" t="s">
        <v>2050</v>
      </c>
      <c r="V326" s="3" t="s">
        <v>2051</v>
      </c>
      <c r="W326" s="3" t="s">
        <v>4570</v>
      </c>
      <c r="X326" t="s">
        <v>1774</v>
      </c>
      <c r="Y326">
        <v>7</v>
      </c>
      <c r="Z326">
        <v>0</v>
      </c>
      <c r="AA326">
        <f>IF('Στατιστικά'!$C$6,1,IFERROR(INDEX('Στατιστικά'!$C$10:$C$83,MATCH(G326,'Στατιστικά'!$B$10:$B$83,0))*1,0))</f>
        <v>1</v>
      </c>
    </row>
    <row r="327" spans="1:27">
      <c r="A327" s="2">
        <v>46233</v>
      </c>
      <c r="B327" t="s">
        <v>2053</v>
      </c>
      <c r="C327" t="s">
        <v>1</v>
      </c>
      <c r="D327" t="s">
        <v>1</v>
      </c>
      <c r="E327" t="s">
        <v>2054</v>
      </c>
      <c r="F327" t="s">
        <v>120</v>
      </c>
      <c r="G327" t="s">
        <v>121</v>
      </c>
      <c r="H327" t="s">
        <v>458</v>
      </c>
      <c r="I327">
        <v>25</v>
      </c>
      <c r="J327">
        <v>5</v>
      </c>
      <c r="L327">
        <v>1</v>
      </c>
      <c r="M327" t="s">
        <v>176</v>
      </c>
      <c r="N327" t="s">
        <v>2055</v>
      </c>
      <c r="O327" t="s">
        <v>1</v>
      </c>
      <c r="P327" t="s">
        <v>4765</v>
      </c>
      <c r="Q327">
        <v>5</v>
      </c>
      <c r="R327" t="s">
        <v>192</v>
      </c>
      <c r="S327" t="s">
        <v>8</v>
      </c>
      <c r="T327" t="s">
        <v>1</v>
      </c>
      <c r="U327" s="3" t="s">
        <v>2056</v>
      </c>
      <c r="V327" s="3" t="s">
        <v>2057</v>
      </c>
      <c r="W327" s="3" t="s">
        <v>4766</v>
      </c>
      <c r="X327" t="s">
        <v>1886</v>
      </c>
      <c r="Y327">
        <v>7</v>
      </c>
      <c r="Z327">
        <v>0</v>
      </c>
      <c r="AA327">
        <f>IF('Στατιστικά'!$C$6,1,IFERROR(INDEX('Στατιστικά'!$C$10:$C$83,MATCH(G327,'Στατιστικά'!$B$10:$B$83,0))*1,0))</f>
        <v>1</v>
      </c>
    </row>
    <row r="328" spans="1:27">
      <c r="A328" s="2">
        <v>46233</v>
      </c>
      <c r="B328" t="s">
        <v>322</v>
      </c>
      <c r="C328" t="s">
        <v>430</v>
      </c>
      <c r="D328" t="s">
        <v>430</v>
      </c>
      <c r="E328" t="s">
        <v>2059</v>
      </c>
      <c r="F328" t="s">
        <v>120</v>
      </c>
      <c r="G328" t="s">
        <v>121</v>
      </c>
      <c r="H328" t="s">
        <v>1825</v>
      </c>
      <c r="I328">
        <v>10</v>
      </c>
      <c r="J328">
        <v>4</v>
      </c>
      <c r="M328" t="s">
        <v>1</v>
      </c>
      <c r="N328" t="s">
        <v>1</v>
      </c>
      <c r="O328" t="s">
        <v>1</v>
      </c>
      <c r="P328" t="s">
        <v>4767</v>
      </c>
      <c r="Q328">
        <v>5</v>
      </c>
      <c r="R328" t="s">
        <v>192</v>
      </c>
      <c r="S328" t="s">
        <v>58</v>
      </c>
      <c r="T328" t="s">
        <v>2060</v>
      </c>
      <c r="U328" s="3" t="s">
        <v>1</v>
      </c>
      <c r="V328" s="3" t="s">
        <v>2061</v>
      </c>
      <c r="W328" s="3" t="s">
        <v>4768</v>
      </c>
      <c r="X328" t="s">
        <v>2063</v>
      </c>
      <c r="Y328">
        <v>7</v>
      </c>
      <c r="Z328">
        <v>0</v>
      </c>
      <c r="AA328">
        <f>IF('Στατιστικά'!$C$6,1,IFERROR(INDEX('Στατιστικά'!$C$10:$C$83,MATCH(G328,'Στατιστικά'!$B$10:$B$83,0))*1,0))</f>
        <v>1</v>
      </c>
    </row>
    <row r="329" spans="1:27">
      <c r="A329" s="2">
        <v>46233</v>
      </c>
      <c r="B329" t="s">
        <v>1</v>
      </c>
      <c r="C329" t="s">
        <v>1</v>
      </c>
      <c r="D329" t="s">
        <v>1</v>
      </c>
      <c r="E329" t="s">
        <v>2064</v>
      </c>
      <c r="F329" t="s">
        <v>74</v>
      </c>
      <c r="G329" t="s">
        <v>1140</v>
      </c>
      <c r="H329" t="s">
        <v>1474</v>
      </c>
      <c r="M329" t="s">
        <v>1</v>
      </c>
      <c r="N329" t="s">
        <v>1</v>
      </c>
      <c r="O329" t="s">
        <v>1</v>
      </c>
      <c r="Q329">
        <v>4</v>
      </c>
      <c r="R329" t="s">
        <v>137</v>
      </c>
      <c r="S329" t="s">
        <v>1965</v>
      </c>
      <c r="T329" t="s">
        <v>1</v>
      </c>
      <c r="U329" s="3" t="s">
        <v>1</v>
      </c>
      <c r="V329" s="3" t="s">
        <v>2065</v>
      </c>
      <c r="W329" s="3" t="s">
        <v>2066</v>
      </c>
      <c r="X329" t="s">
        <v>1886</v>
      </c>
      <c r="Y329">
        <v>7</v>
      </c>
      <c r="Z329">
        <v>0</v>
      </c>
      <c r="AA329">
        <f>IF('Στατιστικά'!$C$6,1,IFERROR(INDEX('Στατιστικά'!$C$10:$C$83,MATCH(G329,'Στατιστικά'!$B$10:$B$83,0))*1,0))</f>
        <v>1</v>
      </c>
    </row>
    <row r="330" spans="1:27">
      <c r="A330" s="2">
        <v>46232</v>
      </c>
      <c r="B330" t="s">
        <v>926</v>
      </c>
      <c r="C330" t="s">
        <v>1</v>
      </c>
      <c r="D330" t="s">
        <v>1</v>
      </c>
      <c r="E330" t="s">
        <v>2067</v>
      </c>
      <c r="F330" t="s">
        <v>74</v>
      </c>
      <c r="G330" t="s">
        <v>75</v>
      </c>
      <c r="H330" t="s">
        <v>1852</v>
      </c>
      <c r="I330">
        <v>48</v>
      </c>
      <c r="J330">
        <v>12</v>
      </c>
      <c r="K330">
        <v>0</v>
      </c>
      <c r="L330">
        <v>1</v>
      </c>
      <c r="M330" t="s">
        <v>176</v>
      </c>
      <c r="N330" t="s">
        <v>1</v>
      </c>
      <c r="O330" t="s">
        <v>1</v>
      </c>
      <c r="Q330">
        <v>4</v>
      </c>
      <c r="R330" t="s">
        <v>137</v>
      </c>
      <c r="S330" t="s">
        <v>107</v>
      </c>
      <c r="T330" t="s">
        <v>98</v>
      </c>
      <c r="U330" s="3" t="s">
        <v>2068</v>
      </c>
      <c r="V330" s="3" t="s">
        <v>2069</v>
      </c>
      <c r="W330" s="3" t="s">
        <v>2070</v>
      </c>
      <c r="X330" t="s">
        <v>2063</v>
      </c>
      <c r="Y330">
        <v>7</v>
      </c>
      <c r="Z330">
        <v>0</v>
      </c>
      <c r="AA330">
        <f>IF('Στατιστικά'!$C$6,1,IFERROR(INDEX('Στατιστικά'!$C$10:$C$83,MATCH(G330,'Στατιστικά'!$B$10:$B$83,0))*1,0))</f>
        <v>1</v>
      </c>
    </row>
    <row r="331" spans="1:27">
      <c r="A331" s="2">
        <v>46232</v>
      </c>
      <c r="B331" t="s">
        <v>300</v>
      </c>
      <c r="C331" t="s">
        <v>1</v>
      </c>
      <c r="D331" t="s">
        <v>1</v>
      </c>
      <c r="E331" t="s">
        <v>1813</v>
      </c>
      <c r="F331" t="s">
        <v>141</v>
      </c>
      <c r="G331" t="s">
        <v>1004</v>
      </c>
      <c r="H331" t="s">
        <v>2071</v>
      </c>
      <c r="I331">
        <v>62</v>
      </c>
      <c r="J331">
        <v>17</v>
      </c>
      <c r="K331">
        <v>2</v>
      </c>
      <c r="L331">
        <v>1</v>
      </c>
      <c r="M331" t="s">
        <v>1006</v>
      </c>
      <c r="N331" t="s">
        <v>2072</v>
      </c>
      <c r="O331" t="s">
        <v>1</v>
      </c>
      <c r="Q331">
        <v>3</v>
      </c>
      <c r="R331" t="s">
        <v>79</v>
      </c>
      <c r="S331" t="s">
        <v>58</v>
      </c>
      <c r="T331" t="s">
        <v>98</v>
      </c>
      <c r="U331" s="3" t="s">
        <v>2073</v>
      </c>
      <c r="V331" s="3" t="s">
        <v>2074</v>
      </c>
      <c r="W331" s="3" t="s">
        <v>2075</v>
      </c>
      <c r="X331" t="s">
        <v>2063</v>
      </c>
      <c r="Y331">
        <v>7</v>
      </c>
      <c r="Z331">
        <v>0</v>
      </c>
      <c r="AA331">
        <f>IF('Στατιστικά'!$C$6,1,IFERROR(INDEX('Στατιστικά'!$C$10:$C$83,MATCH(G331,'Στατιστικά'!$B$10:$B$83,0))*1,0))</f>
        <v>1</v>
      </c>
    </row>
    <row r="332" spans="1:27">
      <c r="A332" s="2">
        <v>46232</v>
      </c>
      <c r="B332" t="s">
        <v>72</v>
      </c>
      <c r="C332" t="s">
        <v>1</v>
      </c>
      <c r="D332" t="s">
        <v>1</v>
      </c>
      <c r="E332" t="s">
        <v>2076</v>
      </c>
      <c r="F332" t="s">
        <v>74</v>
      </c>
      <c r="G332" t="s">
        <v>1140</v>
      </c>
      <c r="H332" t="s">
        <v>2077</v>
      </c>
      <c r="I332">
        <v>190</v>
      </c>
      <c r="J332">
        <v>40</v>
      </c>
      <c r="K332">
        <v>4</v>
      </c>
      <c r="L332">
        <v>4</v>
      </c>
      <c r="M332" t="s">
        <v>2078</v>
      </c>
      <c r="N332" t="s">
        <v>2079</v>
      </c>
      <c r="O332" t="s">
        <v>1</v>
      </c>
      <c r="P332">
        <v>4500.0</v>
      </c>
      <c r="Q332">
        <v>4</v>
      </c>
      <c r="R332" t="s">
        <v>137</v>
      </c>
      <c r="S332" t="s">
        <v>2080</v>
      </c>
      <c r="T332" t="s">
        <v>2081</v>
      </c>
      <c r="U332" s="3" t="s">
        <v>2082</v>
      </c>
      <c r="V332" s="3" t="s">
        <v>2083</v>
      </c>
      <c r="W332" s="3" t="s">
        <v>4514</v>
      </c>
      <c r="X332" t="s">
        <v>1886</v>
      </c>
      <c r="Y332">
        <v>7</v>
      </c>
      <c r="Z332">
        <v>4500.0</v>
      </c>
      <c r="AA332">
        <f>IF('Στατιστικά'!$C$6,1,IFERROR(INDEX('Στατιστικά'!$C$10:$C$83,MATCH(G332,'Στατιστικά'!$B$10:$B$83,0))*1,0))</f>
        <v>1</v>
      </c>
    </row>
    <row r="333" spans="1:27">
      <c r="A333" s="2">
        <v>46232</v>
      </c>
      <c r="B333" t="s">
        <v>410</v>
      </c>
      <c r="C333" t="s">
        <v>1</v>
      </c>
      <c r="D333" t="s">
        <v>1</v>
      </c>
      <c r="E333" t="s">
        <v>1963</v>
      </c>
      <c r="F333" t="s">
        <v>324</v>
      </c>
      <c r="G333" t="s">
        <v>325</v>
      </c>
      <c r="H333" t="s">
        <v>2085</v>
      </c>
      <c r="I333">
        <v>92</v>
      </c>
      <c r="J333">
        <v>19</v>
      </c>
      <c r="K333">
        <v>6</v>
      </c>
      <c r="L333">
        <v>3</v>
      </c>
      <c r="M333" t="s">
        <v>2086</v>
      </c>
      <c r="N333" t="s">
        <v>2087</v>
      </c>
      <c r="O333" t="s">
        <v>239</v>
      </c>
      <c r="P333">
        <v>100</v>
      </c>
      <c r="Q333">
        <v>4</v>
      </c>
      <c r="R333" t="s">
        <v>137</v>
      </c>
      <c r="S333" t="s">
        <v>2088</v>
      </c>
      <c r="T333" t="s">
        <v>2089</v>
      </c>
      <c r="U333" s="3" t="s">
        <v>2090</v>
      </c>
      <c r="V333" s="3" t="s">
        <v>2091</v>
      </c>
      <c r="W333" s="3" t="s">
        <v>2092</v>
      </c>
      <c r="X333" t="s">
        <v>2063</v>
      </c>
      <c r="Y333">
        <v>7</v>
      </c>
      <c r="Z333">
        <v>100</v>
      </c>
      <c r="AA333">
        <f>IF('Στατιστικά'!$C$6,1,IFERROR(INDEX('Στατιστικά'!$C$10:$C$83,MATCH(G333,'Στατιστικά'!$B$10:$B$83,0))*1,0))</f>
        <v>1</v>
      </c>
    </row>
    <row r="334" spans="1:27">
      <c r="A334" s="2">
        <v>46232</v>
      </c>
      <c r="B334" t="s">
        <v>182</v>
      </c>
      <c r="C334" t="s">
        <v>1</v>
      </c>
      <c r="D334" t="s">
        <v>1</v>
      </c>
      <c r="E334" t="s">
        <v>2093</v>
      </c>
      <c r="F334" t="s">
        <v>141</v>
      </c>
      <c r="G334" t="s">
        <v>142</v>
      </c>
      <c r="H334" t="s">
        <v>2094</v>
      </c>
      <c r="I334">
        <v>40</v>
      </c>
      <c r="J334">
        <v>13</v>
      </c>
      <c r="K334">
        <v>5</v>
      </c>
      <c r="L334">
        <v>1</v>
      </c>
      <c r="M334" t="s">
        <v>2095</v>
      </c>
      <c r="N334" t="s">
        <v>1</v>
      </c>
      <c r="O334" t="s">
        <v>1</v>
      </c>
      <c r="P334">
        <v>0.4</v>
      </c>
      <c r="Q334">
        <v>3</v>
      </c>
      <c r="R334" t="s">
        <v>79</v>
      </c>
      <c r="S334" t="s">
        <v>107</v>
      </c>
      <c r="T334" t="s">
        <v>2096</v>
      </c>
      <c r="U334" s="3" t="s">
        <v>1</v>
      </c>
      <c r="V334" s="3" t="s">
        <v>2097</v>
      </c>
      <c r="W334" s="3" t="s">
        <v>2098</v>
      </c>
      <c r="X334" t="s">
        <v>2063</v>
      </c>
      <c r="Y334">
        <v>7</v>
      </c>
      <c r="Z334">
        <v>0.4</v>
      </c>
      <c r="AA334">
        <f>IF('Στατιστικά'!$C$6,1,IFERROR(INDEX('Στατιστικά'!$C$10:$C$83,MATCH(G334,'Στατιστικά'!$B$10:$B$83,0))*1,0))</f>
        <v>1</v>
      </c>
    </row>
    <row r="335" spans="1:27">
      <c r="A335" s="2">
        <v>46232</v>
      </c>
      <c r="B335" t="s">
        <v>0</v>
      </c>
      <c r="C335" t="s">
        <v>1</v>
      </c>
      <c r="D335" t="s">
        <v>1</v>
      </c>
      <c r="E335" t="s">
        <v>2099</v>
      </c>
      <c r="F335" t="s">
        <v>86</v>
      </c>
      <c r="G335" t="s">
        <v>152</v>
      </c>
      <c r="H335" t="s">
        <v>1</v>
      </c>
      <c r="M335" t="s">
        <v>1</v>
      </c>
      <c r="N335" t="s">
        <v>1</v>
      </c>
      <c r="O335" t="s">
        <v>1</v>
      </c>
      <c r="Q335">
        <v>2</v>
      </c>
      <c r="R335" t="s">
        <v>17</v>
      </c>
      <c r="S335" t="s">
        <v>1</v>
      </c>
      <c r="T335" t="s">
        <v>1</v>
      </c>
      <c r="U335" s="3" t="s">
        <v>1</v>
      </c>
      <c r="V335" s="3" t="s">
        <v>2100</v>
      </c>
      <c r="W335" s="3" t="s">
        <v>2101</v>
      </c>
      <c r="X335" t="s">
        <v>2063</v>
      </c>
      <c r="Y335">
        <v>7</v>
      </c>
      <c r="Z335">
        <v>0</v>
      </c>
      <c r="AA335">
        <f>IF('Στατιστικά'!$C$6,1,IFERROR(INDEX('Στατιστικά'!$C$10:$C$83,MATCH(G335,'Στατιστικά'!$B$10:$B$83,0))*1,0))</f>
        <v>1</v>
      </c>
    </row>
    <row r="336" spans="1:27">
      <c r="A336" s="2">
        <v>46232</v>
      </c>
      <c r="B336" t="s">
        <v>2102</v>
      </c>
      <c r="C336" t="s">
        <v>1</v>
      </c>
      <c r="D336" t="s">
        <v>1</v>
      </c>
      <c r="E336" t="s">
        <v>2103</v>
      </c>
      <c r="F336" t="s">
        <v>44</v>
      </c>
      <c r="G336" t="s">
        <v>94</v>
      </c>
      <c r="H336" t="s">
        <v>2104</v>
      </c>
      <c r="M336" t="s">
        <v>1</v>
      </c>
      <c r="N336" t="s">
        <v>1</v>
      </c>
      <c r="O336" t="s">
        <v>1</v>
      </c>
      <c r="Q336">
        <v>3</v>
      </c>
      <c r="R336" t="s">
        <v>79</v>
      </c>
      <c r="S336" t="s">
        <v>1</v>
      </c>
      <c r="T336" t="s">
        <v>2105</v>
      </c>
      <c r="U336" s="3" t="s">
        <v>1</v>
      </c>
      <c r="V336" s="3" t="s">
        <v>2106</v>
      </c>
      <c r="W336" s="3" t="s">
        <v>2107</v>
      </c>
      <c r="X336" t="s">
        <v>2063</v>
      </c>
      <c r="Y336">
        <v>7</v>
      </c>
      <c r="Z336">
        <v>0</v>
      </c>
      <c r="AA336">
        <f>IF('Στατιστικά'!$C$6,1,IFERROR(INDEX('Στατιστικά'!$C$10:$C$83,MATCH(G336,'Στατιστικά'!$B$10:$B$83,0))*1,0))</f>
        <v>1</v>
      </c>
    </row>
    <row r="337" spans="1:27">
      <c r="A337" s="2">
        <v>46232</v>
      </c>
      <c r="B337" t="s">
        <v>1</v>
      </c>
      <c r="C337" t="s">
        <v>1</v>
      </c>
      <c r="D337" t="s">
        <v>1</v>
      </c>
      <c r="E337" t="s">
        <v>2108</v>
      </c>
      <c r="F337" t="s">
        <v>141</v>
      </c>
      <c r="G337" t="s">
        <v>1004</v>
      </c>
      <c r="H337" t="s">
        <v>2109</v>
      </c>
      <c r="M337" t="s">
        <v>1</v>
      </c>
      <c r="N337" t="s">
        <v>1</v>
      </c>
      <c r="O337" t="s">
        <v>1</v>
      </c>
      <c r="Q337">
        <v>3</v>
      </c>
      <c r="R337" t="s">
        <v>79</v>
      </c>
      <c r="S337" t="s">
        <v>2110</v>
      </c>
      <c r="T337" t="s">
        <v>1</v>
      </c>
      <c r="U337" s="3" t="s">
        <v>1</v>
      </c>
      <c r="V337" s="3" t="s">
        <v>2111</v>
      </c>
      <c r="W337" s="3" t="s">
        <v>2112</v>
      </c>
      <c r="X337" t="s">
        <v>1886</v>
      </c>
      <c r="Y337">
        <v>7</v>
      </c>
      <c r="Z337">
        <v>0</v>
      </c>
      <c r="AA337">
        <f>IF('Στατιστικά'!$C$6,1,IFERROR(INDEX('Στατιστικά'!$C$10:$C$83,MATCH(G337,'Στατιστικά'!$B$10:$B$83,0))*1,0))</f>
        <v>1</v>
      </c>
    </row>
    <row r="338" spans="1:27">
      <c r="A338" s="2">
        <v>46232</v>
      </c>
      <c r="B338" t="s">
        <v>1</v>
      </c>
      <c r="C338" t="s">
        <v>1</v>
      </c>
      <c r="D338" t="s">
        <v>1</v>
      </c>
      <c r="E338" t="s">
        <v>2113</v>
      </c>
      <c r="F338" t="s">
        <v>74</v>
      </c>
      <c r="G338" t="s">
        <v>75</v>
      </c>
      <c r="H338" t="s">
        <v>76</v>
      </c>
      <c r="I338">
        <v>24</v>
      </c>
      <c r="J338">
        <v>5</v>
      </c>
      <c r="L338">
        <v>3</v>
      </c>
      <c r="M338" t="s">
        <v>1016</v>
      </c>
      <c r="N338" t="s">
        <v>1</v>
      </c>
      <c r="O338" t="s">
        <v>1</v>
      </c>
      <c r="P338" t="s">
        <v>4769</v>
      </c>
      <c r="Q338">
        <v>4</v>
      </c>
      <c r="R338" t="s">
        <v>137</v>
      </c>
      <c r="S338" t="s">
        <v>1</v>
      </c>
      <c r="T338" t="s">
        <v>1</v>
      </c>
      <c r="U338" s="3" t="s">
        <v>2114</v>
      </c>
      <c r="V338" s="3" t="s">
        <v>2115</v>
      </c>
      <c r="W338" s="3" t="s">
        <v>4770</v>
      </c>
      <c r="X338" t="s">
        <v>2063</v>
      </c>
      <c r="Y338">
        <v>7</v>
      </c>
      <c r="Z338">
        <v>0</v>
      </c>
      <c r="AA338">
        <f>IF('Στατιστικά'!$C$6,1,IFERROR(INDEX('Στατιστικά'!$C$10:$C$83,MATCH(G338,'Στατιστικά'!$B$10:$B$83,0))*1,0))</f>
        <v>1</v>
      </c>
    </row>
    <row r="339" spans="1:27">
      <c r="A339" s="2">
        <v>46232</v>
      </c>
      <c r="B339" t="s">
        <v>1</v>
      </c>
      <c r="C339" t="s">
        <v>1</v>
      </c>
      <c r="D339" t="s">
        <v>1</v>
      </c>
      <c r="E339" t="s">
        <v>2117</v>
      </c>
      <c r="F339" t="s">
        <v>74</v>
      </c>
      <c r="G339" t="s">
        <v>1140</v>
      </c>
      <c r="H339" t="s">
        <v>1474</v>
      </c>
      <c r="I339">
        <v>296</v>
      </c>
      <c r="J339">
        <v>53</v>
      </c>
      <c r="M339" t="s">
        <v>2118</v>
      </c>
      <c r="N339" t="s">
        <v>1</v>
      </c>
      <c r="O339" t="s">
        <v>1</v>
      </c>
      <c r="Q339">
        <v>5</v>
      </c>
      <c r="R339" t="s">
        <v>2119</v>
      </c>
      <c r="S339" t="s">
        <v>8</v>
      </c>
      <c r="T339" t="s">
        <v>98</v>
      </c>
      <c r="U339" s="3" t="s">
        <v>2120</v>
      </c>
      <c r="V339" s="3" t="s">
        <v>2121</v>
      </c>
      <c r="W339" s="3" t="s">
        <v>2122</v>
      </c>
      <c r="X339" t="s">
        <v>2063</v>
      </c>
      <c r="Y339">
        <v>7</v>
      </c>
      <c r="Z339">
        <v>0</v>
      </c>
      <c r="AA339">
        <f>IF('Στατιστικά'!$C$6,1,IFERROR(INDEX('Στατιστικά'!$C$10:$C$83,MATCH(G339,'Στατιστικά'!$B$10:$B$83,0))*1,0))</f>
        <v>1</v>
      </c>
    </row>
    <row r="340" spans="1:27">
      <c r="A340" s="2">
        <v>46232</v>
      </c>
      <c r="B340" t="s">
        <v>1</v>
      </c>
      <c r="C340" t="s">
        <v>1</v>
      </c>
      <c r="D340" t="s">
        <v>1</v>
      </c>
      <c r="E340" t="s">
        <v>2123</v>
      </c>
      <c r="F340" t="s">
        <v>74</v>
      </c>
      <c r="G340" t="s">
        <v>136</v>
      </c>
      <c r="H340" t="s">
        <v>2124</v>
      </c>
      <c r="I340">
        <v>58</v>
      </c>
      <c r="J340">
        <v>18</v>
      </c>
      <c r="K340">
        <v>0</v>
      </c>
      <c r="L340">
        <v>2</v>
      </c>
      <c r="M340" t="s">
        <v>1384</v>
      </c>
      <c r="N340" t="s">
        <v>1</v>
      </c>
      <c r="O340" t="s">
        <v>1</v>
      </c>
      <c r="Q340">
        <v>4</v>
      </c>
      <c r="R340" t="s">
        <v>137</v>
      </c>
      <c r="S340" t="s">
        <v>8</v>
      </c>
      <c r="T340" t="s">
        <v>1</v>
      </c>
      <c r="U340" s="3" t="s">
        <v>2125</v>
      </c>
      <c r="V340" s="3" t="s">
        <v>2126</v>
      </c>
      <c r="W340" s="3" t="s">
        <v>2127</v>
      </c>
      <c r="X340" t="s">
        <v>2063</v>
      </c>
      <c r="Y340">
        <v>7</v>
      </c>
      <c r="Z340">
        <v>0</v>
      </c>
      <c r="AA340">
        <f>IF('Στατιστικά'!$C$6,1,IFERROR(INDEX('Στατιστικά'!$C$10:$C$83,MATCH(G340,'Στατιστικά'!$B$10:$B$83,0))*1,0))</f>
        <v>1</v>
      </c>
    </row>
    <row r="341" spans="1:27">
      <c r="A341" s="2">
        <v>46232</v>
      </c>
      <c r="B341" t="s">
        <v>1</v>
      </c>
      <c r="C341" t="s">
        <v>1</v>
      </c>
      <c r="D341" t="s">
        <v>1</v>
      </c>
      <c r="E341" t="s">
        <v>2128</v>
      </c>
      <c r="F341" t="s">
        <v>86</v>
      </c>
      <c r="G341" t="s">
        <v>111</v>
      </c>
      <c r="H341" t="s">
        <v>2129</v>
      </c>
      <c r="I341">
        <v>26</v>
      </c>
      <c r="J341">
        <v>10</v>
      </c>
      <c r="K341">
        <v>3</v>
      </c>
      <c r="L341">
        <v>1</v>
      </c>
      <c r="M341" t="s">
        <v>1409</v>
      </c>
      <c r="N341" t="s">
        <v>1</v>
      </c>
      <c r="O341" t="s">
        <v>1</v>
      </c>
      <c r="Q341">
        <v>2</v>
      </c>
      <c r="R341" t="s">
        <v>17</v>
      </c>
      <c r="S341" t="s">
        <v>1</v>
      </c>
      <c r="T341" t="s">
        <v>1</v>
      </c>
      <c r="U341" s="3" t="s">
        <v>1</v>
      </c>
      <c r="V341" s="3" t="s">
        <v>2130</v>
      </c>
      <c r="W341" s="3" t="s">
        <v>2131</v>
      </c>
      <c r="X341" t="s">
        <v>2063</v>
      </c>
      <c r="Y341">
        <v>7</v>
      </c>
      <c r="Z341">
        <v>0</v>
      </c>
      <c r="AA341">
        <f>IF('Στατιστικά'!$C$6,1,IFERROR(INDEX('Στατιστικά'!$C$10:$C$83,MATCH(G341,'Στατιστικά'!$B$10:$B$83,0))*1,0))</f>
        <v>1</v>
      </c>
    </row>
    <row r="342" spans="1:27">
      <c r="A342" s="2">
        <v>46231</v>
      </c>
      <c r="B342" t="s">
        <v>2132</v>
      </c>
      <c r="C342" t="s">
        <v>1</v>
      </c>
      <c r="D342" t="s">
        <v>1</v>
      </c>
      <c r="E342" t="s">
        <v>2133</v>
      </c>
      <c r="F342" t="s">
        <v>74</v>
      </c>
      <c r="G342" t="s">
        <v>136</v>
      </c>
      <c r="H342" t="s">
        <v>896</v>
      </c>
      <c r="I342">
        <v>32</v>
      </c>
      <c r="J342">
        <v>9</v>
      </c>
      <c r="L342">
        <v>2</v>
      </c>
      <c r="M342" t="s">
        <v>2134</v>
      </c>
      <c r="N342" t="s">
        <v>1</v>
      </c>
      <c r="O342" t="s">
        <v>1</v>
      </c>
      <c r="Q342">
        <v>4</v>
      </c>
      <c r="R342" t="s">
        <v>137</v>
      </c>
      <c r="S342" t="s">
        <v>1</v>
      </c>
      <c r="T342" t="s">
        <v>2135</v>
      </c>
      <c r="U342" s="3" t="s">
        <v>2136</v>
      </c>
      <c r="V342" s="3" t="s">
        <v>2137</v>
      </c>
      <c r="W342" s="3" t="s">
        <v>2138</v>
      </c>
      <c r="X342" t="s">
        <v>2063</v>
      </c>
      <c r="Y342">
        <v>7</v>
      </c>
      <c r="Z342">
        <v>0</v>
      </c>
      <c r="AA342">
        <f>IF('Στατιστικά'!$C$6,1,IFERROR(INDEX('Στατιστικά'!$C$10:$C$83,MATCH(G342,'Στατιστικά'!$B$10:$B$83,0))*1,0))</f>
        <v>1</v>
      </c>
    </row>
    <row r="343" spans="1:27">
      <c r="A343" s="2">
        <v>46231</v>
      </c>
      <c r="B343" t="s">
        <v>575</v>
      </c>
      <c r="C343" t="s">
        <v>2139</v>
      </c>
      <c r="D343" t="s">
        <v>1</v>
      </c>
      <c r="E343" t="s">
        <v>2140</v>
      </c>
      <c r="F343" t="s">
        <v>38</v>
      </c>
      <c r="G343" t="s">
        <v>15</v>
      </c>
      <c r="H343" t="s">
        <v>2141</v>
      </c>
      <c r="I343">
        <v>22</v>
      </c>
      <c r="J343">
        <v>8</v>
      </c>
      <c r="K343">
        <v>0</v>
      </c>
      <c r="L343">
        <v>1</v>
      </c>
      <c r="M343" t="s">
        <v>1</v>
      </c>
      <c r="N343" t="s">
        <v>1</v>
      </c>
      <c r="O343" t="s">
        <v>1</v>
      </c>
      <c r="P343" t="s">
        <v>4771</v>
      </c>
      <c r="Q343">
        <v>3</v>
      </c>
      <c r="R343" t="s">
        <v>79</v>
      </c>
      <c r="S343" t="s">
        <v>80</v>
      </c>
      <c r="T343" t="s">
        <v>98</v>
      </c>
      <c r="U343" s="3" t="s">
        <v>1</v>
      </c>
      <c r="V343" s="3" t="s">
        <v>2142</v>
      </c>
      <c r="W343" s="3" t="s">
        <v>4772</v>
      </c>
      <c r="X343" t="s">
        <v>2144</v>
      </c>
      <c r="Y343">
        <v>7</v>
      </c>
      <c r="Z343">
        <v>0</v>
      </c>
      <c r="AA343">
        <f>IF('Στατιστικά'!$C$6,1,IFERROR(INDEX('Στατιστικά'!$C$10:$C$83,MATCH(G343,'Στατιστικά'!$B$10:$B$83,0))*1,0))</f>
        <v>1</v>
      </c>
    </row>
    <row r="344" spans="1:27">
      <c r="A344" s="2">
        <v>46231</v>
      </c>
      <c r="B344" t="s">
        <v>373</v>
      </c>
      <c r="C344" t="s">
        <v>1</v>
      </c>
      <c r="D344" t="s">
        <v>1</v>
      </c>
      <c r="E344" t="s">
        <v>2145</v>
      </c>
      <c r="F344" t="s">
        <v>806</v>
      </c>
      <c r="G344" t="s">
        <v>136</v>
      </c>
      <c r="H344" t="s">
        <v>136</v>
      </c>
      <c r="I344">
        <v>32</v>
      </c>
      <c r="J344">
        <v>9</v>
      </c>
      <c r="L344">
        <v>2</v>
      </c>
      <c r="M344" t="s">
        <v>2146</v>
      </c>
      <c r="N344" t="s">
        <v>1</v>
      </c>
      <c r="O344" t="s">
        <v>1</v>
      </c>
      <c r="Q344">
        <v>3</v>
      </c>
      <c r="R344" t="s">
        <v>79</v>
      </c>
      <c r="S344" t="s">
        <v>80</v>
      </c>
      <c r="T344" t="s">
        <v>634</v>
      </c>
      <c r="U344" s="3" t="s">
        <v>1</v>
      </c>
      <c r="V344" s="3" t="s">
        <v>2147</v>
      </c>
      <c r="W344" s="3" t="s">
        <v>2148</v>
      </c>
      <c r="X344" t="s">
        <v>2063</v>
      </c>
      <c r="Y344">
        <v>7</v>
      </c>
      <c r="Z344">
        <v>0</v>
      </c>
      <c r="AA344">
        <f>IF('Στατιστικά'!$C$6,1,IFERROR(INDEX('Στατιστικά'!$C$10:$C$83,MATCH(G344,'Στατιστικά'!$B$10:$B$83,0))*1,0))</f>
        <v>1</v>
      </c>
    </row>
    <row r="345" spans="1:27">
      <c r="A345" s="2">
        <v>46231</v>
      </c>
      <c r="B345" t="s">
        <v>2149</v>
      </c>
      <c r="C345" t="s">
        <v>1</v>
      </c>
      <c r="D345" t="s">
        <v>1</v>
      </c>
      <c r="E345" t="s">
        <v>2150</v>
      </c>
      <c r="F345" t="s">
        <v>160</v>
      </c>
      <c r="G345" t="s">
        <v>161</v>
      </c>
      <c r="H345" t="s">
        <v>2151</v>
      </c>
      <c r="I345">
        <v>26</v>
      </c>
      <c r="J345">
        <v>7</v>
      </c>
      <c r="L345">
        <v>1</v>
      </c>
      <c r="M345" t="s">
        <v>1</v>
      </c>
      <c r="N345" t="s">
        <v>1</v>
      </c>
      <c r="O345" t="s">
        <v>1</v>
      </c>
      <c r="Q345">
        <v>2</v>
      </c>
      <c r="R345" t="s">
        <v>17</v>
      </c>
      <c r="S345" t="s">
        <v>1965</v>
      </c>
      <c r="T345" t="s">
        <v>1</v>
      </c>
      <c r="U345" s="3" t="s">
        <v>1</v>
      </c>
      <c r="V345" s="3" t="s">
        <v>2152</v>
      </c>
      <c r="W345" s="3" t="s">
        <v>4571</v>
      </c>
      <c r="X345" t="s">
        <v>1886</v>
      </c>
      <c r="Y345">
        <v>7</v>
      </c>
      <c r="Z345">
        <v>0</v>
      </c>
      <c r="AA345">
        <f>IF('Στατιστικά'!$C$6,1,IFERROR(INDEX('Στατιστικά'!$C$10:$C$83,MATCH(G345,'Στατιστικά'!$B$10:$B$83,0))*1,0))</f>
        <v>1</v>
      </c>
    </row>
    <row r="346" spans="1:27">
      <c r="A346" s="2">
        <v>46231</v>
      </c>
      <c r="B346" t="s">
        <v>118</v>
      </c>
      <c r="C346" t="s">
        <v>1</v>
      </c>
      <c r="D346" t="s">
        <v>1</v>
      </c>
      <c r="E346" t="s">
        <v>2154</v>
      </c>
      <c r="F346" t="s">
        <v>120</v>
      </c>
      <c r="G346" t="s">
        <v>121</v>
      </c>
      <c r="H346" t="s">
        <v>2155</v>
      </c>
      <c r="I346">
        <v>86</v>
      </c>
      <c r="J346">
        <v>24</v>
      </c>
      <c r="K346">
        <v>9</v>
      </c>
      <c r="L346">
        <v>5</v>
      </c>
      <c r="M346" t="s">
        <v>2156</v>
      </c>
      <c r="N346" t="s">
        <v>2157</v>
      </c>
      <c r="O346" t="s">
        <v>2158</v>
      </c>
      <c r="P346">
        <v>1000</v>
      </c>
      <c r="Q346">
        <v>3</v>
      </c>
      <c r="R346" t="s">
        <v>79</v>
      </c>
      <c r="S346" t="s">
        <v>2159</v>
      </c>
      <c r="T346" t="s">
        <v>98</v>
      </c>
      <c r="U346" s="3" t="s">
        <v>2160</v>
      </c>
      <c r="V346" s="3" t="s">
        <v>2161</v>
      </c>
      <c r="W346" s="3" t="s">
        <v>2162</v>
      </c>
      <c r="X346" t="s">
        <v>1886</v>
      </c>
      <c r="Y346">
        <v>7</v>
      </c>
      <c r="Z346">
        <v>1000</v>
      </c>
      <c r="AA346">
        <f>IF('Στατιστικά'!$C$6,1,IFERROR(INDEX('Στατιστικά'!$C$10:$C$83,MATCH(G346,'Στατιστικά'!$B$10:$B$83,0))*1,0))</f>
        <v>1</v>
      </c>
    </row>
    <row r="347" spans="1:27">
      <c r="A347" s="2">
        <v>46231</v>
      </c>
      <c r="B347" t="s">
        <v>881</v>
      </c>
      <c r="C347" t="s">
        <v>1</v>
      </c>
      <c r="D347" t="s">
        <v>1</v>
      </c>
      <c r="E347" t="s">
        <v>2163</v>
      </c>
      <c r="F347" t="s">
        <v>160</v>
      </c>
      <c r="G347" t="s">
        <v>161</v>
      </c>
      <c r="H347" t="s">
        <v>2164</v>
      </c>
      <c r="I347">
        <v>26</v>
      </c>
      <c r="J347">
        <v>7</v>
      </c>
      <c r="K347">
        <v>0</v>
      </c>
      <c r="L347">
        <v>1</v>
      </c>
      <c r="M347" t="s">
        <v>2165</v>
      </c>
      <c r="N347" t="s">
        <v>2166</v>
      </c>
      <c r="O347" t="s">
        <v>1</v>
      </c>
      <c r="Q347">
        <v>2</v>
      </c>
      <c r="R347" t="s">
        <v>17</v>
      </c>
      <c r="S347" t="s">
        <v>80</v>
      </c>
      <c r="T347" t="s">
        <v>98</v>
      </c>
      <c r="U347" s="3" t="s">
        <v>1</v>
      </c>
      <c r="V347" s="3" t="s">
        <v>2167</v>
      </c>
      <c r="W347" s="3" t="s">
        <v>4572</v>
      </c>
      <c r="X347" t="s">
        <v>2063</v>
      </c>
      <c r="Y347">
        <v>7</v>
      </c>
      <c r="Z347">
        <v>0</v>
      </c>
      <c r="AA347">
        <f>IF('Στατιστικά'!$C$6,1,IFERROR(INDEX('Στατιστικά'!$C$10:$C$83,MATCH(G347,'Στατιστικά'!$B$10:$B$83,0))*1,0))</f>
        <v>1</v>
      </c>
    </row>
    <row r="348" spans="1:27">
      <c r="A348" s="2">
        <v>46231</v>
      </c>
      <c r="B348" t="s">
        <v>1</v>
      </c>
      <c r="C348" t="s">
        <v>1</v>
      </c>
      <c r="D348" t="s">
        <v>1</v>
      </c>
      <c r="E348" t="s">
        <v>2169</v>
      </c>
      <c r="F348" t="s">
        <v>44</v>
      </c>
      <c r="G348" t="s">
        <v>1025</v>
      </c>
      <c r="H348" t="s">
        <v>2170</v>
      </c>
      <c r="I348">
        <v>55</v>
      </c>
      <c r="J348">
        <v>19</v>
      </c>
      <c r="K348">
        <v>6</v>
      </c>
      <c r="L348">
        <v>1</v>
      </c>
      <c r="M348" t="s">
        <v>2171</v>
      </c>
      <c r="N348" t="s">
        <v>1</v>
      </c>
      <c r="O348" t="s">
        <v>1</v>
      </c>
      <c r="Q348">
        <v>2</v>
      </c>
      <c r="R348" t="s">
        <v>17</v>
      </c>
      <c r="S348" t="s">
        <v>80</v>
      </c>
      <c r="T348" t="s">
        <v>2172</v>
      </c>
      <c r="U348" s="3" t="s">
        <v>1</v>
      </c>
      <c r="V348" s="3" t="s">
        <v>2173</v>
      </c>
      <c r="W348" s="3" t="s">
        <v>4573</v>
      </c>
      <c r="X348" t="s">
        <v>2063</v>
      </c>
      <c r="Y348">
        <v>7</v>
      </c>
      <c r="Z348">
        <v>0</v>
      </c>
      <c r="AA348">
        <f>IF('Στατιστικά'!$C$6,1,IFERROR(INDEX('Στατιστικά'!$C$10:$C$83,MATCH(G348,'Στατιστικά'!$B$10:$B$83,0))*1,0))</f>
        <v>1</v>
      </c>
    </row>
    <row r="349" spans="1:27">
      <c r="A349" s="2">
        <v>46231</v>
      </c>
      <c r="B349" t="s">
        <v>1</v>
      </c>
      <c r="C349" t="s">
        <v>373</v>
      </c>
      <c r="D349" t="s">
        <v>1</v>
      </c>
      <c r="E349" t="s">
        <v>2175</v>
      </c>
      <c r="F349" t="s">
        <v>74</v>
      </c>
      <c r="G349" t="s">
        <v>136</v>
      </c>
      <c r="H349" t="s">
        <v>2176</v>
      </c>
      <c r="I349">
        <v>32</v>
      </c>
      <c r="J349">
        <v>9</v>
      </c>
      <c r="K349">
        <v>0</v>
      </c>
      <c r="L349">
        <v>2</v>
      </c>
      <c r="M349" t="s">
        <v>688</v>
      </c>
      <c r="N349" t="s">
        <v>2177</v>
      </c>
      <c r="O349" t="s">
        <v>1</v>
      </c>
      <c r="Q349">
        <v>3</v>
      </c>
      <c r="R349" t="s">
        <v>79</v>
      </c>
      <c r="S349" t="s">
        <v>80</v>
      </c>
      <c r="T349" t="s">
        <v>1</v>
      </c>
      <c r="U349" s="3" t="s">
        <v>1</v>
      </c>
      <c r="V349" s="3" t="s">
        <v>2178</v>
      </c>
      <c r="W349" s="3" t="s">
        <v>2179</v>
      </c>
      <c r="X349" t="s">
        <v>2063</v>
      </c>
      <c r="Y349">
        <v>7</v>
      </c>
      <c r="Z349">
        <v>0</v>
      </c>
      <c r="AA349">
        <f>IF('Στατιστικά'!$C$6,1,IFERROR(INDEX('Στατιστικά'!$C$10:$C$83,MATCH(G349,'Στατιστικά'!$B$10:$B$83,0))*1,0))</f>
        <v>1</v>
      </c>
    </row>
    <row r="350" spans="1:27">
      <c r="A350" s="2">
        <v>46231</v>
      </c>
      <c r="B350" t="s">
        <v>1</v>
      </c>
      <c r="C350" t="s">
        <v>1</v>
      </c>
      <c r="D350" t="s">
        <v>1</v>
      </c>
      <c r="E350" t="s">
        <v>2180</v>
      </c>
      <c r="F350" t="s">
        <v>469</v>
      </c>
      <c r="G350" t="s">
        <v>470</v>
      </c>
      <c r="H350" t="s">
        <v>2181</v>
      </c>
      <c r="M350" t="s">
        <v>1</v>
      </c>
      <c r="N350" t="s">
        <v>1</v>
      </c>
      <c r="O350" t="s">
        <v>1</v>
      </c>
      <c r="Q350">
        <v>3</v>
      </c>
      <c r="R350" t="s">
        <v>79</v>
      </c>
      <c r="S350" t="s">
        <v>80</v>
      </c>
      <c r="T350" t="s">
        <v>1</v>
      </c>
      <c r="U350" s="3" t="s">
        <v>1</v>
      </c>
      <c r="V350" s="3" t="s">
        <v>2182</v>
      </c>
      <c r="W350" s="3" t="s">
        <v>1</v>
      </c>
      <c r="X350" t="s">
        <v>2063</v>
      </c>
      <c r="Y350">
        <v>7</v>
      </c>
      <c r="Z350">
        <v>0</v>
      </c>
      <c r="AA350">
        <f>IF('Στατιστικά'!$C$6,1,IFERROR(INDEX('Στατιστικά'!$C$10:$C$83,MATCH(G350,'Στατιστικά'!$B$10:$B$83,0))*1,0))</f>
        <v>1</v>
      </c>
    </row>
    <row r="351" spans="1:27">
      <c r="A351" s="2">
        <v>46230</v>
      </c>
      <c r="B351" t="s">
        <v>2183</v>
      </c>
      <c r="C351" t="s">
        <v>1</v>
      </c>
      <c r="D351" t="s">
        <v>1</v>
      </c>
      <c r="E351" t="s">
        <v>2184</v>
      </c>
      <c r="F351" t="s">
        <v>44</v>
      </c>
      <c r="G351" t="s">
        <v>94</v>
      </c>
      <c r="H351" t="s">
        <v>175</v>
      </c>
      <c r="I351">
        <v>42</v>
      </c>
      <c r="J351">
        <v>10</v>
      </c>
      <c r="K351">
        <v>2</v>
      </c>
      <c r="L351">
        <v>1</v>
      </c>
      <c r="M351" t="s">
        <v>2185</v>
      </c>
      <c r="N351" t="s">
        <v>2186</v>
      </c>
      <c r="O351" t="s">
        <v>239</v>
      </c>
      <c r="Q351">
        <v>2</v>
      </c>
      <c r="R351" t="s">
        <v>17</v>
      </c>
      <c r="S351" t="s">
        <v>58</v>
      </c>
      <c r="T351" t="s">
        <v>98</v>
      </c>
      <c r="U351" s="3" t="s">
        <v>1</v>
      </c>
      <c r="V351" s="3" t="s">
        <v>2187</v>
      </c>
      <c r="W351" s="3" t="s">
        <v>2188</v>
      </c>
      <c r="X351" t="s">
        <v>2063</v>
      </c>
      <c r="Y351">
        <v>7</v>
      </c>
      <c r="Z351">
        <v>0</v>
      </c>
      <c r="AA351">
        <f>IF('Στατιστικά'!$C$6,1,IFERROR(INDEX('Στατιστικά'!$C$10:$C$83,MATCH(G351,'Στατιστικά'!$B$10:$B$83,0))*1,0))</f>
        <v>1</v>
      </c>
    </row>
    <row r="352" spans="1:27">
      <c r="A352" s="2">
        <v>46230</v>
      </c>
      <c r="B352" t="s">
        <v>2183</v>
      </c>
      <c r="C352" t="s">
        <v>1</v>
      </c>
      <c r="D352" t="s">
        <v>1</v>
      </c>
      <c r="E352" t="s">
        <v>2189</v>
      </c>
      <c r="F352" t="s">
        <v>519</v>
      </c>
      <c r="G352" t="s">
        <v>174</v>
      </c>
      <c r="H352" t="s">
        <v>2190</v>
      </c>
      <c r="I352">
        <v>42</v>
      </c>
      <c r="J352">
        <v>10</v>
      </c>
      <c r="K352">
        <v>2</v>
      </c>
      <c r="L352">
        <v>1</v>
      </c>
      <c r="M352" t="s">
        <v>2191</v>
      </c>
      <c r="N352" t="s">
        <v>2192</v>
      </c>
      <c r="O352" t="s">
        <v>239</v>
      </c>
      <c r="Q352">
        <v>2</v>
      </c>
      <c r="R352" t="s">
        <v>17</v>
      </c>
      <c r="S352" t="s">
        <v>58</v>
      </c>
      <c r="T352" t="s">
        <v>98</v>
      </c>
      <c r="U352" s="3" t="s">
        <v>1</v>
      </c>
      <c r="V352" s="3" t="s">
        <v>2193</v>
      </c>
      <c r="W352" s="3" t="s">
        <v>4574</v>
      </c>
      <c r="X352" t="s">
        <v>2063</v>
      </c>
      <c r="Y352">
        <v>7</v>
      </c>
      <c r="Z352">
        <v>0</v>
      </c>
      <c r="AA352">
        <f>IF('Στατιστικά'!$C$6,1,IFERROR(INDEX('Στατιστικά'!$C$10:$C$83,MATCH(G352,'Στατιστικά'!$B$10:$B$83,0))*1,0))</f>
        <v>1</v>
      </c>
    </row>
    <row r="353" spans="1:27">
      <c r="A353" s="2">
        <v>46230</v>
      </c>
      <c r="B353" t="s">
        <v>2195</v>
      </c>
      <c r="C353" t="s">
        <v>2196</v>
      </c>
      <c r="D353" t="s">
        <v>1</v>
      </c>
      <c r="E353" t="s">
        <v>2197</v>
      </c>
      <c r="F353" t="s">
        <v>74</v>
      </c>
      <c r="G353" t="s">
        <v>136</v>
      </c>
      <c r="H353" t="s">
        <v>2020</v>
      </c>
      <c r="I353">
        <v>90</v>
      </c>
      <c r="J353">
        <v>20</v>
      </c>
      <c r="K353">
        <v>0</v>
      </c>
      <c r="L353">
        <v>4</v>
      </c>
      <c r="M353" t="s">
        <v>820</v>
      </c>
      <c r="N353" t="s">
        <v>2198</v>
      </c>
      <c r="O353" t="s">
        <v>106</v>
      </c>
      <c r="Q353">
        <v>2</v>
      </c>
      <c r="R353" t="s">
        <v>17</v>
      </c>
      <c r="S353" t="s">
        <v>107</v>
      </c>
      <c r="T353" t="s">
        <v>98</v>
      </c>
      <c r="U353" s="3" t="s">
        <v>2199</v>
      </c>
      <c r="V353" s="3" t="s">
        <v>2200</v>
      </c>
      <c r="W353" s="3" t="s">
        <v>2201</v>
      </c>
      <c r="X353" t="s">
        <v>2063</v>
      </c>
      <c r="Y353">
        <v>7</v>
      </c>
      <c r="Z353">
        <v>0</v>
      </c>
      <c r="AA353">
        <f>IF('Στατιστικά'!$C$6,1,IFERROR(INDEX('Στατιστικά'!$C$10:$C$83,MATCH(G353,'Στατιστικά'!$B$10:$B$83,0))*1,0))</f>
        <v>1</v>
      </c>
    </row>
    <row r="354" spans="1:27">
      <c r="A354" s="2">
        <v>46230</v>
      </c>
      <c r="B354" t="s">
        <v>881</v>
      </c>
      <c r="C354" t="s">
        <v>1</v>
      </c>
      <c r="D354" t="s">
        <v>1</v>
      </c>
      <c r="E354" t="s">
        <v>2163</v>
      </c>
      <c r="F354" t="s">
        <v>1152</v>
      </c>
      <c r="G354" t="s">
        <v>161</v>
      </c>
      <c r="H354" t="s">
        <v>1796</v>
      </c>
      <c r="I354">
        <v>26</v>
      </c>
      <c r="J354">
        <v>7</v>
      </c>
      <c r="K354">
        <v>0</v>
      </c>
      <c r="L354">
        <v>1</v>
      </c>
      <c r="M354" t="s">
        <v>708</v>
      </c>
      <c r="N354" t="s">
        <v>1</v>
      </c>
      <c r="O354" t="s">
        <v>1</v>
      </c>
      <c r="P354">
        <v>30</v>
      </c>
      <c r="Q354">
        <v>2</v>
      </c>
      <c r="R354" t="s">
        <v>17</v>
      </c>
      <c r="S354" t="s">
        <v>80</v>
      </c>
      <c r="T354" t="s">
        <v>98</v>
      </c>
      <c r="U354" s="3" t="s">
        <v>1</v>
      </c>
      <c r="V354" s="3" t="s">
        <v>2202</v>
      </c>
      <c r="W354" s="3" t="s">
        <v>2203</v>
      </c>
      <c r="X354" t="s">
        <v>2144</v>
      </c>
      <c r="Y354">
        <v>7</v>
      </c>
      <c r="Z354">
        <v>30</v>
      </c>
      <c r="AA354">
        <f>IF('Στατιστικά'!$C$6,1,IFERROR(INDEX('Στατιστικά'!$C$10:$C$83,MATCH(G354,'Στατιστικά'!$B$10:$B$83,0))*1,0))</f>
        <v>1</v>
      </c>
    </row>
    <row r="355" spans="1:27">
      <c r="A355" s="2">
        <v>46230</v>
      </c>
      <c r="B355" t="s">
        <v>422</v>
      </c>
      <c r="C355" t="s">
        <v>1</v>
      </c>
      <c r="D355" t="s">
        <v>1</v>
      </c>
      <c r="E355" t="s">
        <v>2204</v>
      </c>
      <c r="F355" t="s">
        <v>141</v>
      </c>
      <c r="G355" t="s">
        <v>1004</v>
      </c>
      <c r="H355" t="s">
        <v>2205</v>
      </c>
      <c r="I355">
        <v>28</v>
      </c>
      <c r="J355">
        <v>9</v>
      </c>
      <c r="K355">
        <v>4</v>
      </c>
      <c r="L355">
        <v>2</v>
      </c>
      <c r="M355" t="s">
        <v>621</v>
      </c>
      <c r="N355" t="s">
        <v>2206</v>
      </c>
      <c r="O355" t="s">
        <v>106</v>
      </c>
      <c r="Q355">
        <v>2</v>
      </c>
      <c r="R355" t="s">
        <v>17</v>
      </c>
      <c r="S355" t="s">
        <v>107</v>
      </c>
      <c r="T355" t="s">
        <v>98</v>
      </c>
      <c r="U355" s="3" t="s">
        <v>1</v>
      </c>
      <c r="V355" s="3" t="s">
        <v>2207</v>
      </c>
      <c r="W355" s="3" t="s">
        <v>2208</v>
      </c>
      <c r="X355" t="s">
        <v>2063</v>
      </c>
      <c r="Y355">
        <v>7</v>
      </c>
      <c r="Z355">
        <v>0</v>
      </c>
      <c r="AA355">
        <f>IF('Στατιστικά'!$C$6,1,IFERROR(INDEX('Στατιστικά'!$C$10:$C$83,MATCH(G355,'Στατιστικά'!$B$10:$B$83,0))*1,0))</f>
        <v>1</v>
      </c>
    </row>
    <row r="356" spans="1:27">
      <c r="A356" s="2">
        <v>46230</v>
      </c>
      <c r="B356" t="s">
        <v>92</v>
      </c>
      <c r="C356" t="s">
        <v>1</v>
      </c>
      <c r="D356" t="s">
        <v>1</v>
      </c>
      <c r="E356" t="s">
        <v>2209</v>
      </c>
      <c r="F356" t="s">
        <v>488</v>
      </c>
      <c r="G356" t="s">
        <v>657</v>
      </c>
      <c r="H356" t="s">
        <v>657</v>
      </c>
      <c r="I356">
        <v>20</v>
      </c>
      <c r="J356">
        <v>5</v>
      </c>
      <c r="K356">
        <v>0</v>
      </c>
      <c r="L356">
        <v>1</v>
      </c>
      <c r="M356" t="s">
        <v>2210</v>
      </c>
      <c r="N356" t="s">
        <v>1</v>
      </c>
      <c r="O356" t="s">
        <v>106</v>
      </c>
      <c r="P356" t="s">
        <v>4773</v>
      </c>
      <c r="Q356">
        <v>2</v>
      </c>
      <c r="R356" t="s">
        <v>17</v>
      </c>
      <c r="S356" t="s">
        <v>107</v>
      </c>
      <c r="T356" t="s">
        <v>98</v>
      </c>
      <c r="U356" s="3" t="s">
        <v>1</v>
      </c>
      <c r="V356" s="3" t="s">
        <v>2211</v>
      </c>
      <c r="W356" s="3" t="s">
        <v>4774</v>
      </c>
      <c r="X356" t="s">
        <v>2063</v>
      </c>
      <c r="Y356">
        <v>7</v>
      </c>
      <c r="Z356">
        <v>0</v>
      </c>
      <c r="AA356">
        <f>IF('Στατιστικά'!$C$6,1,IFERROR(INDEX('Στατιστικά'!$C$10:$C$83,MATCH(G356,'Στατιστικά'!$B$10:$B$83,0))*1,0))</f>
        <v>1</v>
      </c>
    </row>
    <row r="357" spans="1:27">
      <c r="A357" s="2">
        <v>46229</v>
      </c>
      <c r="B357" t="s">
        <v>926</v>
      </c>
      <c r="C357" t="s">
        <v>2213</v>
      </c>
      <c r="D357" t="s">
        <v>1</v>
      </c>
      <c r="E357" t="s">
        <v>2214</v>
      </c>
      <c r="F357" t="s">
        <v>53</v>
      </c>
      <c r="G357" t="s">
        <v>130</v>
      </c>
      <c r="H357" t="s">
        <v>2215</v>
      </c>
      <c r="I357">
        <v>37</v>
      </c>
      <c r="J357">
        <v>11</v>
      </c>
      <c r="K357">
        <v>3</v>
      </c>
      <c r="L357">
        <v>2</v>
      </c>
      <c r="M357" t="s">
        <v>176</v>
      </c>
      <c r="N357" t="s">
        <v>2216</v>
      </c>
      <c r="O357" t="s">
        <v>1</v>
      </c>
      <c r="Q357">
        <v>2</v>
      </c>
      <c r="R357" t="s">
        <v>17</v>
      </c>
      <c r="S357" t="s">
        <v>80</v>
      </c>
      <c r="T357" t="s">
        <v>2217</v>
      </c>
      <c r="U357" s="3" t="s">
        <v>2218</v>
      </c>
      <c r="V357" s="3" t="s">
        <v>2219</v>
      </c>
      <c r="W357" s="3" t="s">
        <v>2220</v>
      </c>
      <c r="X357" t="s">
        <v>2063</v>
      </c>
      <c r="Y357">
        <v>7</v>
      </c>
      <c r="Z357">
        <v>0</v>
      </c>
      <c r="AA357">
        <f>IF('Στατιστικά'!$C$6,1,IFERROR(INDEX('Στατιστικά'!$C$10:$C$83,MATCH(G357,'Στατιστικά'!$B$10:$B$83,0))*1,0))</f>
        <v>1</v>
      </c>
    </row>
    <row r="358" spans="1:27">
      <c r="A358" s="2">
        <v>46229</v>
      </c>
      <c r="B358" t="s">
        <v>926</v>
      </c>
      <c r="C358" t="s">
        <v>1</v>
      </c>
      <c r="D358" t="s">
        <v>1</v>
      </c>
      <c r="E358" t="s">
        <v>2221</v>
      </c>
      <c r="F358" t="s">
        <v>64</v>
      </c>
      <c r="G358" t="s">
        <v>130</v>
      </c>
      <c r="H358" t="s">
        <v>2222</v>
      </c>
      <c r="I358">
        <v>37</v>
      </c>
      <c r="J358">
        <v>11</v>
      </c>
      <c r="L358">
        <v>2</v>
      </c>
      <c r="M358" t="s">
        <v>1016</v>
      </c>
      <c r="N358" t="s">
        <v>1</v>
      </c>
      <c r="O358" t="s">
        <v>1</v>
      </c>
      <c r="Q358">
        <v>2</v>
      </c>
      <c r="R358" t="s">
        <v>17</v>
      </c>
      <c r="S358" t="s">
        <v>2110</v>
      </c>
      <c r="T358" t="s">
        <v>2223</v>
      </c>
      <c r="U358" s="3" t="s">
        <v>1</v>
      </c>
      <c r="V358" s="3" t="s">
        <v>2224</v>
      </c>
      <c r="W358" s="3" t="s">
        <v>2225</v>
      </c>
      <c r="X358" t="s">
        <v>1886</v>
      </c>
      <c r="Y358">
        <v>7</v>
      </c>
      <c r="Z358">
        <v>0</v>
      </c>
      <c r="AA358">
        <f>IF('Στατιστικά'!$C$6,1,IFERROR(INDEX('Στατιστικά'!$C$10:$C$83,MATCH(G358,'Στατιστικά'!$B$10:$B$83,0))*1,0))</f>
        <v>1</v>
      </c>
    </row>
    <row r="359" spans="1:27">
      <c r="A359" s="2">
        <v>46229</v>
      </c>
      <c r="B359" t="s">
        <v>582</v>
      </c>
      <c r="C359" t="s">
        <v>1</v>
      </c>
      <c r="D359" t="s">
        <v>1</v>
      </c>
      <c r="E359" t="s">
        <v>2226</v>
      </c>
      <c r="F359" t="s">
        <v>488</v>
      </c>
      <c r="G359" t="s">
        <v>657</v>
      </c>
      <c r="H359" t="s">
        <v>657</v>
      </c>
      <c r="I359">
        <v>22</v>
      </c>
      <c r="J359">
        <v>6</v>
      </c>
      <c r="K359">
        <v>3</v>
      </c>
      <c r="L359">
        <v>1</v>
      </c>
      <c r="M359" t="s">
        <v>2210</v>
      </c>
      <c r="N359" t="s">
        <v>1</v>
      </c>
      <c r="O359" t="s">
        <v>1</v>
      </c>
      <c r="P359" t="s">
        <v>4775</v>
      </c>
      <c r="Q359">
        <v>2</v>
      </c>
      <c r="R359" t="s">
        <v>17</v>
      </c>
      <c r="S359" t="s">
        <v>107</v>
      </c>
      <c r="T359" t="s">
        <v>1</v>
      </c>
      <c r="U359" s="3" t="s">
        <v>1</v>
      </c>
      <c r="V359" s="3" t="s">
        <v>2227</v>
      </c>
      <c r="W359" s="3" t="s">
        <v>4776</v>
      </c>
      <c r="X359" t="s">
        <v>2063</v>
      </c>
      <c r="Y359">
        <v>7</v>
      </c>
      <c r="Z359">
        <v>0</v>
      </c>
      <c r="AA359">
        <f>IF('Στατιστικά'!$C$6,1,IFERROR(INDEX('Στατιστικά'!$C$10:$C$83,MATCH(G359,'Στατιστικά'!$B$10:$B$83,0))*1,0))</f>
        <v>1</v>
      </c>
    </row>
    <row r="360" spans="1:27">
      <c r="A360" s="2">
        <v>46229</v>
      </c>
      <c r="B360" t="s">
        <v>794</v>
      </c>
      <c r="C360" t="s">
        <v>373</v>
      </c>
      <c r="D360" t="s">
        <v>1</v>
      </c>
      <c r="E360" t="s">
        <v>2229</v>
      </c>
      <c r="F360" t="s">
        <v>64</v>
      </c>
      <c r="G360" t="s">
        <v>130</v>
      </c>
      <c r="H360" t="s">
        <v>2230</v>
      </c>
      <c r="I360">
        <v>72</v>
      </c>
      <c r="J360">
        <v>20</v>
      </c>
      <c r="K360">
        <v>4</v>
      </c>
      <c r="L360">
        <v>4</v>
      </c>
      <c r="M360" t="s">
        <v>2231</v>
      </c>
      <c r="N360" t="s">
        <v>2232</v>
      </c>
      <c r="O360" t="s">
        <v>239</v>
      </c>
      <c r="Q360">
        <v>2</v>
      </c>
      <c r="R360" t="s">
        <v>17</v>
      </c>
      <c r="S360" t="s">
        <v>80</v>
      </c>
      <c r="T360" t="s">
        <v>2217</v>
      </c>
      <c r="U360" s="3" t="s">
        <v>2233</v>
      </c>
      <c r="V360" s="3" t="s">
        <v>2234</v>
      </c>
      <c r="W360" s="3" t="s">
        <v>2235</v>
      </c>
      <c r="X360" t="s">
        <v>2063</v>
      </c>
      <c r="Y360">
        <v>7</v>
      </c>
      <c r="Z360">
        <v>0</v>
      </c>
      <c r="AA360">
        <f>IF('Στατιστικά'!$C$6,1,IFERROR(INDEX('Στατιστικά'!$C$10:$C$83,MATCH(G360,'Στατιστικά'!$B$10:$B$83,0))*1,0))</f>
        <v>1</v>
      </c>
    </row>
    <row r="361" spans="1:27">
      <c r="A361" s="2">
        <v>46229</v>
      </c>
      <c r="B361" t="s">
        <v>118</v>
      </c>
      <c r="C361" t="s">
        <v>1</v>
      </c>
      <c r="D361" t="s">
        <v>1</v>
      </c>
      <c r="E361" t="s">
        <v>2236</v>
      </c>
      <c r="F361" t="s">
        <v>44</v>
      </c>
      <c r="G361" t="s">
        <v>465</v>
      </c>
      <c r="H361" t="s">
        <v>2237</v>
      </c>
      <c r="I361">
        <v>55</v>
      </c>
      <c r="J361">
        <v>19</v>
      </c>
      <c r="K361">
        <v>6</v>
      </c>
      <c r="L361">
        <v>1</v>
      </c>
      <c r="M361" t="s">
        <v>876</v>
      </c>
      <c r="N361" t="s">
        <v>2238</v>
      </c>
      <c r="O361" t="s">
        <v>1</v>
      </c>
      <c r="Q361">
        <v>2</v>
      </c>
      <c r="R361" t="s">
        <v>17</v>
      </c>
      <c r="S361" t="s">
        <v>107</v>
      </c>
      <c r="T361" t="s">
        <v>1</v>
      </c>
      <c r="U361" s="3" t="s">
        <v>1</v>
      </c>
      <c r="V361" s="3" t="s">
        <v>2239</v>
      </c>
      <c r="W361" s="3" t="s">
        <v>2240</v>
      </c>
      <c r="X361" t="s">
        <v>2241</v>
      </c>
      <c r="Y361">
        <v>7</v>
      </c>
      <c r="Z361">
        <v>0</v>
      </c>
      <c r="AA361">
        <f>IF('Στατιστικά'!$C$6,1,IFERROR(INDEX('Στατιστικά'!$C$10:$C$83,MATCH(G361,'Στατιστικά'!$B$10:$B$83,0))*1,0))</f>
        <v>1</v>
      </c>
    </row>
    <row r="362" spans="1:27">
      <c r="A362" s="2">
        <v>46229</v>
      </c>
      <c r="B362" t="s">
        <v>422</v>
      </c>
      <c r="C362" t="s">
        <v>1</v>
      </c>
      <c r="D362" t="s">
        <v>1</v>
      </c>
      <c r="E362" t="s">
        <v>2169</v>
      </c>
      <c r="F362" t="s">
        <v>44</v>
      </c>
      <c r="G362" t="s">
        <v>1025</v>
      </c>
      <c r="H362" t="s">
        <v>2242</v>
      </c>
      <c r="I362">
        <v>55</v>
      </c>
      <c r="J362">
        <v>19</v>
      </c>
      <c r="K362">
        <v>6</v>
      </c>
      <c r="L362">
        <v>1</v>
      </c>
      <c r="M362" t="s">
        <v>876</v>
      </c>
      <c r="N362" t="s">
        <v>2243</v>
      </c>
      <c r="O362" t="s">
        <v>239</v>
      </c>
      <c r="Q362">
        <v>2</v>
      </c>
      <c r="R362" t="s">
        <v>17</v>
      </c>
      <c r="S362" t="s">
        <v>80</v>
      </c>
      <c r="T362" t="s">
        <v>2244</v>
      </c>
      <c r="U362" s="3" t="s">
        <v>1</v>
      </c>
      <c r="V362" s="3" t="s">
        <v>2245</v>
      </c>
      <c r="W362" s="3" t="s">
        <v>2246</v>
      </c>
      <c r="X362" t="s">
        <v>2063</v>
      </c>
      <c r="Y362">
        <v>7</v>
      </c>
      <c r="Z362">
        <v>0</v>
      </c>
      <c r="AA362">
        <f>IF('Στατιστικά'!$C$6,1,IFERROR(INDEX('Στατιστικά'!$C$10:$C$83,MATCH(G362,'Στατιστικά'!$B$10:$B$83,0))*1,0))</f>
        <v>1</v>
      </c>
    </row>
    <row r="363" spans="1:27">
      <c r="A363" s="2">
        <v>46229</v>
      </c>
      <c r="B363" t="s">
        <v>422</v>
      </c>
      <c r="C363" t="s">
        <v>2247</v>
      </c>
      <c r="D363" t="s">
        <v>1</v>
      </c>
      <c r="E363" t="s">
        <v>2248</v>
      </c>
      <c r="F363" t="s">
        <v>44</v>
      </c>
      <c r="G363" t="s">
        <v>465</v>
      </c>
      <c r="H363" t="s">
        <v>1026</v>
      </c>
      <c r="I363">
        <v>55</v>
      </c>
      <c r="J363">
        <v>19</v>
      </c>
      <c r="K363">
        <v>6</v>
      </c>
      <c r="L363">
        <v>1</v>
      </c>
      <c r="M363" t="s">
        <v>876</v>
      </c>
      <c r="N363" t="s">
        <v>2249</v>
      </c>
      <c r="O363" t="s">
        <v>239</v>
      </c>
      <c r="Q363">
        <v>2</v>
      </c>
      <c r="R363" t="s">
        <v>17</v>
      </c>
      <c r="S363" t="s">
        <v>80</v>
      </c>
      <c r="T363" t="s">
        <v>2250</v>
      </c>
      <c r="U363" s="3" t="s">
        <v>1</v>
      </c>
      <c r="V363" s="3" t="s">
        <v>2251</v>
      </c>
      <c r="W363" s="3" t="s">
        <v>4575</v>
      </c>
      <c r="X363" t="s">
        <v>2144</v>
      </c>
      <c r="Y363">
        <v>7</v>
      </c>
      <c r="Z363">
        <v>0</v>
      </c>
      <c r="AA363">
        <f>IF('Στατιστικά'!$C$6,1,IFERROR(INDEX('Στατιστικά'!$C$10:$C$83,MATCH(G363,'Στατιστικά'!$B$10:$B$83,0))*1,0))</f>
        <v>1</v>
      </c>
    </row>
    <row r="364" spans="1:27">
      <c r="A364" s="2">
        <v>46229</v>
      </c>
      <c r="B364" t="s">
        <v>1</v>
      </c>
      <c r="C364" t="s">
        <v>1</v>
      </c>
      <c r="D364" t="s">
        <v>1</v>
      </c>
      <c r="E364" t="s">
        <v>2253</v>
      </c>
      <c r="F364" t="s">
        <v>64</v>
      </c>
      <c r="G364" t="s">
        <v>130</v>
      </c>
      <c r="H364" t="s">
        <v>2254</v>
      </c>
      <c r="M364" t="s">
        <v>1</v>
      </c>
      <c r="N364" t="s">
        <v>1</v>
      </c>
      <c r="O364" t="s">
        <v>1</v>
      </c>
      <c r="Q364">
        <v>2</v>
      </c>
      <c r="R364" t="s">
        <v>17</v>
      </c>
      <c r="S364" t="s">
        <v>2255</v>
      </c>
      <c r="T364" t="s">
        <v>1</v>
      </c>
      <c r="U364" s="3" t="s">
        <v>1</v>
      </c>
      <c r="V364" s="3" t="s">
        <v>2256</v>
      </c>
      <c r="W364" s="3" t="s">
        <v>2257</v>
      </c>
      <c r="X364" t="s">
        <v>2144</v>
      </c>
      <c r="Y364">
        <v>7</v>
      </c>
      <c r="Z364">
        <v>0</v>
      </c>
      <c r="AA364">
        <f>IF('Στατιστικά'!$C$6,1,IFERROR(INDEX('Στατιστικά'!$C$10:$C$83,MATCH(G364,'Στατιστικά'!$B$10:$B$83,0))*1,0))</f>
        <v>1</v>
      </c>
    </row>
    <row r="365" spans="1:27">
      <c r="A365" s="2">
        <v>46228</v>
      </c>
      <c r="B365" t="s">
        <v>1900</v>
      </c>
      <c r="C365" t="s">
        <v>1</v>
      </c>
      <c r="D365" t="s">
        <v>1</v>
      </c>
      <c r="E365" t="s">
        <v>2258</v>
      </c>
      <c r="F365" t="s">
        <v>347</v>
      </c>
      <c r="G365" t="s">
        <v>944</v>
      </c>
      <c r="H365" t="s">
        <v>944</v>
      </c>
      <c r="I365">
        <v>32</v>
      </c>
      <c r="J365">
        <v>10</v>
      </c>
      <c r="K365">
        <v>0</v>
      </c>
      <c r="L365">
        <v>0</v>
      </c>
      <c r="M365" t="s">
        <v>2259</v>
      </c>
      <c r="N365" t="s">
        <v>1</v>
      </c>
      <c r="O365" t="s">
        <v>239</v>
      </c>
      <c r="Q365">
        <v>2</v>
      </c>
      <c r="R365" t="s">
        <v>17</v>
      </c>
      <c r="S365" t="s">
        <v>47</v>
      </c>
      <c r="T365" t="s">
        <v>2260</v>
      </c>
      <c r="U365" s="3" t="s">
        <v>1</v>
      </c>
      <c r="V365" s="3" t="s">
        <v>2261</v>
      </c>
      <c r="W365" s="3" t="s">
        <v>4576</v>
      </c>
      <c r="X365" t="s">
        <v>2144</v>
      </c>
      <c r="Y365">
        <v>7</v>
      </c>
      <c r="Z365">
        <v>0</v>
      </c>
      <c r="AA365">
        <f>IF('Στατιστικά'!$C$6,1,IFERROR(INDEX('Στατιστικά'!$C$10:$C$83,MATCH(G365,'Στατιστικά'!$B$10:$B$83,0))*1,0))</f>
        <v>1</v>
      </c>
    </row>
    <row r="366" spans="1:27">
      <c r="A366" s="2">
        <v>46228</v>
      </c>
      <c r="B366" t="s">
        <v>62</v>
      </c>
      <c r="C366" t="s">
        <v>1</v>
      </c>
      <c r="D366" t="s">
        <v>1</v>
      </c>
      <c r="E366" t="s">
        <v>2263</v>
      </c>
      <c r="F366" t="s">
        <v>3</v>
      </c>
      <c r="G366" t="s">
        <v>4</v>
      </c>
      <c r="H366" t="s">
        <v>2264</v>
      </c>
      <c r="I366">
        <v>22</v>
      </c>
      <c r="J366">
        <v>6</v>
      </c>
      <c r="K366">
        <v>0</v>
      </c>
      <c r="L366">
        <v>1</v>
      </c>
      <c r="M366" t="s">
        <v>34</v>
      </c>
      <c r="N366" t="s">
        <v>2265</v>
      </c>
      <c r="O366" t="s">
        <v>239</v>
      </c>
      <c r="P366" t="s">
        <v>4777</v>
      </c>
      <c r="Q366">
        <v>2</v>
      </c>
      <c r="R366" t="s">
        <v>17</v>
      </c>
      <c r="S366" t="s">
        <v>107</v>
      </c>
      <c r="T366" t="s">
        <v>9</v>
      </c>
      <c r="U366" s="3" t="s">
        <v>1</v>
      </c>
      <c r="V366" s="3" t="s">
        <v>2266</v>
      </c>
      <c r="W366" s="3" t="s">
        <v>4778</v>
      </c>
      <c r="X366" t="s">
        <v>2144</v>
      </c>
      <c r="Y366">
        <v>7</v>
      </c>
      <c r="Z366">
        <v>0</v>
      </c>
      <c r="AA366">
        <f>IF('Στατιστικά'!$C$6,1,IFERROR(INDEX('Στατιστικά'!$C$10:$C$83,MATCH(G366,'Στατιστικά'!$B$10:$B$83,0))*1,0))</f>
        <v>1</v>
      </c>
    </row>
    <row r="367" spans="1:27">
      <c r="A367" s="2">
        <v>46228</v>
      </c>
      <c r="B367" t="s">
        <v>300</v>
      </c>
      <c r="C367" t="s">
        <v>762</v>
      </c>
      <c r="D367" t="s">
        <v>1</v>
      </c>
      <c r="E367" t="s">
        <v>2268</v>
      </c>
      <c r="F367" t="s">
        <v>64</v>
      </c>
      <c r="G367" t="s">
        <v>116</v>
      </c>
      <c r="H367" t="s">
        <v>1521</v>
      </c>
      <c r="I367">
        <v>60</v>
      </c>
      <c r="J367">
        <v>20</v>
      </c>
      <c r="K367">
        <v>0</v>
      </c>
      <c r="L367">
        <v>1</v>
      </c>
      <c r="M367" t="s">
        <v>176</v>
      </c>
      <c r="N367" t="s">
        <v>2269</v>
      </c>
      <c r="O367" t="s">
        <v>239</v>
      </c>
      <c r="Q367">
        <v>2</v>
      </c>
      <c r="R367" t="s">
        <v>17</v>
      </c>
      <c r="S367" t="s">
        <v>107</v>
      </c>
      <c r="T367" t="s">
        <v>2270</v>
      </c>
      <c r="U367" s="3" t="s">
        <v>1</v>
      </c>
      <c r="V367" s="3" t="s">
        <v>2271</v>
      </c>
      <c r="W367" s="3" t="s">
        <v>2272</v>
      </c>
      <c r="X367" t="s">
        <v>1886</v>
      </c>
      <c r="Y367">
        <v>7</v>
      </c>
      <c r="Z367">
        <v>0</v>
      </c>
      <c r="AA367">
        <f>IF('Στατιστικά'!$C$6,1,IFERROR(INDEX('Στατιστικά'!$C$10:$C$83,MATCH(G367,'Στατιστικά'!$B$10:$B$83,0))*1,0))</f>
        <v>1</v>
      </c>
    </row>
    <row r="368" spans="1:27">
      <c r="A368" s="2">
        <v>46228</v>
      </c>
      <c r="B368" t="s">
        <v>2273</v>
      </c>
      <c r="C368" t="s">
        <v>1</v>
      </c>
      <c r="D368" t="s">
        <v>1</v>
      </c>
      <c r="E368" t="s">
        <v>2274</v>
      </c>
      <c r="F368" t="s">
        <v>160</v>
      </c>
      <c r="G368" t="s">
        <v>161</v>
      </c>
      <c r="H368" t="s">
        <v>1796</v>
      </c>
      <c r="I368">
        <v>32</v>
      </c>
      <c r="J368">
        <v>7</v>
      </c>
      <c r="K368">
        <v>3</v>
      </c>
      <c r="L368">
        <v>1</v>
      </c>
      <c r="M368" t="s">
        <v>2275</v>
      </c>
      <c r="N368" t="s">
        <v>1</v>
      </c>
      <c r="O368" t="s">
        <v>239</v>
      </c>
      <c r="Q368">
        <v>2</v>
      </c>
      <c r="R368" t="s">
        <v>17</v>
      </c>
      <c r="S368" t="s">
        <v>58</v>
      </c>
      <c r="T368" t="s">
        <v>2276</v>
      </c>
      <c r="U368" s="3" t="s">
        <v>1</v>
      </c>
      <c r="V368" s="3" t="s">
        <v>2277</v>
      </c>
      <c r="W368" s="3" t="s">
        <v>4577</v>
      </c>
      <c r="X368" t="s">
        <v>2144</v>
      </c>
      <c r="Y368">
        <v>7</v>
      </c>
      <c r="Z368">
        <v>0</v>
      </c>
      <c r="AA368">
        <f>IF('Στατιστικά'!$C$6,1,IFERROR(INDEX('Στατιστικά'!$C$10:$C$83,MATCH(G368,'Στατιστικά'!$B$10:$B$83,0))*1,0))</f>
        <v>1</v>
      </c>
    </row>
    <row r="369" spans="1:27">
      <c r="A369" s="2">
        <v>46228</v>
      </c>
      <c r="B369" t="s">
        <v>410</v>
      </c>
      <c r="C369" t="s">
        <v>2279</v>
      </c>
      <c r="D369" t="s">
        <v>1</v>
      </c>
      <c r="E369" t="s">
        <v>2280</v>
      </c>
      <c r="F369" t="s">
        <v>74</v>
      </c>
      <c r="G369" t="s">
        <v>136</v>
      </c>
      <c r="H369" t="s">
        <v>136</v>
      </c>
      <c r="I369">
        <v>40</v>
      </c>
      <c r="J369">
        <v>7</v>
      </c>
      <c r="K369">
        <v>0</v>
      </c>
      <c r="L369">
        <v>1</v>
      </c>
      <c r="M369" t="s">
        <v>2281</v>
      </c>
      <c r="N369" t="s">
        <v>2282</v>
      </c>
      <c r="O369" t="s">
        <v>850</v>
      </c>
      <c r="Q369">
        <v>3</v>
      </c>
      <c r="R369" t="s">
        <v>79</v>
      </c>
      <c r="S369" t="s">
        <v>80</v>
      </c>
      <c r="T369" t="s">
        <v>2283</v>
      </c>
      <c r="U369" s="3" t="s">
        <v>1</v>
      </c>
      <c r="V369" s="3" t="s">
        <v>2284</v>
      </c>
      <c r="W369" s="3" t="s">
        <v>2285</v>
      </c>
      <c r="X369" t="s">
        <v>1886</v>
      </c>
      <c r="Y369">
        <v>7</v>
      </c>
      <c r="Z369">
        <v>0</v>
      </c>
      <c r="AA369">
        <f>IF('Στατιστικά'!$C$6,1,IFERROR(INDEX('Στατιστικά'!$C$10:$C$83,MATCH(G369,'Στατιστικά'!$B$10:$B$83,0))*1,0))</f>
        <v>1</v>
      </c>
    </row>
    <row r="370" spans="1:27">
      <c r="A370" s="2">
        <v>46228</v>
      </c>
      <c r="B370" t="s">
        <v>2286</v>
      </c>
      <c r="C370" t="s">
        <v>1</v>
      </c>
      <c r="D370" t="s">
        <v>1</v>
      </c>
      <c r="E370" t="s">
        <v>2287</v>
      </c>
      <c r="F370" t="s">
        <v>488</v>
      </c>
      <c r="G370" t="s">
        <v>724</v>
      </c>
      <c r="H370" t="s">
        <v>724</v>
      </c>
      <c r="I370">
        <v>15</v>
      </c>
      <c r="J370">
        <v>3</v>
      </c>
      <c r="K370">
        <v>0</v>
      </c>
      <c r="L370">
        <v>1</v>
      </c>
      <c r="M370" t="s">
        <v>2210</v>
      </c>
      <c r="N370" t="s">
        <v>1</v>
      </c>
      <c r="O370" t="s">
        <v>1</v>
      </c>
      <c r="P370" t="s">
        <v>4779</v>
      </c>
      <c r="Q370">
        <v>2</v>
      </c>
      <c r="R370" t="s">
        <v>17</v>
      </c>
      <c r="S370" t="s">
        <v>58</v>
      </c>
      <c r="T370" t="s">
        <v>2288</v>
      </c>
      <c r="U370" s="3" t="s">
        <v>1</v>
      </c>
      <c r="V370" s="3" t="s">
        <v>2289</v>
      </c>
      <c r="W370" s="3" t="s">
        <v>4780</v>
      </c>
      <c r="X370" t="s">
        <v>2063</v>
      </c>
      <c r="Y370">
        <v>7</v>
      </c>
      <c r="Z370">
        <v>0</v>
      </c>
      <c r="AA370">
        <f>IF('Στατιστικά'!$C$6,1,IFERROR(INDEX('Στατιστικά'!$C$10:$C$83,MATCH(G370,'Στατιστικά'!$B$10:$B$83,0))*1,0))</f>
        <v>1</v>
      </c>
    </row>
    <row r="371" spans="1:27">
      <c r="A371" s="2">
        <v>46228</v>
      </c>
      <c r="B371" t="s">
        <v>881</v>
      </c>
      <c r="C371" t="s">
        <v>1</v>
      </c>
      <c r="D371" t="s">
        <v>1</v>
      </c>
      <c r="E371" t="s">
        <v>2291</v>
      </c>
      <c r="F371" t="s">
        <v>38</v>
      </c>
      <c r="G371" t="s">
        <v>15</v>
      </c>
      <c r="H371" t="s">
        <v>2292</v>
      </c>
      <c r="I371">
        <v>38</v>
      </c>
      <c r="J371">
        <v>5</v>
      </c>
      <c r="K371">
        <v>0</v>
      </c>
      <c r="L371">
        <v>1</v>
      </c>
      <c r="M371" t="s">
        <v>828</v>
      </c>
      <c r="N371" t="s">
        <v>2293</v>
      </c>
      <c r="O371" t="s">
        <v>850</v>
      </c>
      <c r="Q371">
        <v>2</v>
      </c>
      <c r="R371" t="s">
        <v>17</v>
      </c>
      <c r="S371" t="s">
        <v>80</v>
      </c>
      <c r="T371" t="s">
        <v>2294</v>
      </c>
      <c r="U371" s="3" t="s">
        <v>1</v>
      </c>
      <c r="V371" s="3" t="s">
        <v>2295</v>
      </c>
      <c r="W371" s="3" t="s">
        <v>2296</v>
      </c>
      <c r="X371" t="s">
        <v>2144</v>
      </c>
      <c r="Y371">
        <v>7</v>
      </c>
      <c r="Z371">
        <v>0</v>
      </c>
      <c r="AA371">
        <f>IF('Στατιστικά'!$C$6,1,IFERROR(INDEX('Στατιστικά'!$C$10:$C$83,MATCH(G371,'Στατιστικά'!$B$10:$B$83,0))*1,0))</f>
        <v>1</v>
      </c>
    </row>
    <row r="372" spans="1:27">
      <c r="A372" s="2">
        <v>46228</v>
      </c>
      <c r="B372" t="s">
        <v>196</v>
      </c>
      <c r="C372" t="s">
        <v>1</v>
      </c>
      <c r="D372" t="s">
        <v>1</v>
      </c>
      <c r="E372" t="s">
        <v>2297</v>
      </c>
      <c r="F372" t="s">
        <v>469</v>
      </c>
      <c r="G372" t="s">
        <v>1282</v>
      </c>
      <c r="H372" t="s">
        <v>2298</v>
      </c>
      <c r="I372">
        <v>18</v>
      </c>
      <c r="J372">
        <v>4</v>
      </c>
      <c r="K372">
        <v>0</v>
      </c>
      <c r="L372">
        <v>2</v>
      </c>
      <c r="M372" t="s">
        <v>1283</v>
      </c>
      <c r="N372" t="s">
        <v>2299</v>
      </c>
      <c r="O372" t="s">
        <v>106</v>
      </c>
      <c r="P372">
        <v>0.5</v>
      </c>
      <c r="Q372">
        <v>3</v>
      </c>
      <c r="R372" t="s">
        <v>79</v>
      </c>
      <c r="S372" t="s">
        <v>58</v>
      </c>
      <c r="T372" t="s">
        <v>2300</v>
      </c>
      <c r="U372" s="3" t="s">
        <v>1</v>
      </c>
      <c r="V372" s="3" t="s">
        <v>2301</v>
      </c>
      <c r="W372" s="3" t="s">
        <v>2302</v>
      </c>
      <c r="X372" t="s">
        <v>2144</v>
      </c>
      <c r="Y372">
        <v>7</v>
      </c>
      <c r="Z372">
        <v>0.5</v>
      </c>
      <c r="AA372">
        <f>IF('Στατιστικά'!$C$6,1,IFERROR(INDEX('Στατιστικά'!$C$10:$C$83,MATCH(G372,'Στατιστικά'!$B$10:$B$83,0))*1,0))</f>
        <v>1</v>
      </c>
    </row>
    <row r="373" spans="1:27">
      <c r="A373" s="2">
        <v>46227</v>
      </c>
      <c r="B373" t="s">
        <v>1900</v>
      </c>
      <c r="C373" t="s">
        <v>1</v>
      </c>
      <c r="D373" t="s">
        <v>1</v>
      </c>
      <c r="E373" t="s">
        <v>2303</v>
      </c>
      <c r="F373" t="s">
        <v>324</v>
      </c>
      <c r="G373" t="s">
        <v>944</v>
      </c>
      <c r="H373" t="s">
        <v>2304</v>
      </c>
      <c r="I373">
        <v>32</v>
      </c>
      <c r="J373">
        <v>10</v>
      </c>
      <c r="K373">
        <v>4</v>
      </c>
      <c r="L373">
        <v>2</v>
      </c>
      <c r="M373" t="s">
        <v>2305</v>
      </c>
      <c r="N373" t="s">
        <v>1</v>
      </c>
      <c r="O373" t="s">
        <v>106</v>
      </c>
      <c r="Q373">
        <v>3</v>
      </c>
      <c r="R373" t="s">
        <v>79</v>
      </c>
      <c r="S373" t="s">
        <v>47</v>
      </c>
      <c r="T373" t="s">
        <v>2306</v>
      </c>
      <c r="U373" s="3" t="s">
        <v>2307</v>
      </c>
      <c r="V373" s="3" t="s">
        <v>2308</v>
      </c>
      <c r="W373" s="3" t="s">
        <v>2309</v>
      </c>
      <c r="X373" t="s">
        <v>2063</v>
      </c>
      <c r="Y373">
        <v>7</v>
      </c>
      <c r="Z373">
        <v>0</v>
      </c>
      <c r="AA373">
        <f>IF('Στατιστικά'!$C$6,1,IFERROR(INDEX('Στατιστικά'!$C$10:$C$83,MATCH(G373,'Στατιστικά'!$B$10:$B$83,0))*1,0))</f>
        <v>1</v>
      </c>
    </row>
    <row r="374" spans="1:27">
      <c r="A374" s="2">
        <v>46227</v>
      </c>
      <c r="B374" t="s">
        <v>2310</v>
      </c>
      <c r="C374" t="s">
        <v>1</v>
      </c>
      <c r="D374" t="s">
        <v>1</v>
      </c>
      <c r="E374" t="s">
        <v>2311</v>
      </c>
      <c r="F374" t="s">
        <v>38</v>
      </c>
      <c r="G374" t="s">
        <v>15</v>
      </c>
      <c r="H374" t="s">
        <v>1533</v>
      </c>
      <c r="I374">
        <v>20</v>
      </c>
      <c r="J374">
        <v>4</v>
      </c>
      <c r="K374">
        <v>0</v>
      </c>
      <c r="L374">
        <v>0</v>
      </c>
      <c r="M374" t="s">
        <v>2312</v>
      </c>
      <c r="N374" t="s">
        <v>1</v>
      </c>
      <c r="O374" t="s">
        <v>1</v>
      </c>
      <c r="P374" t="s">
        <v>4781</v>
      </c>
      <c r="Q374">
        <v>2</v>
      </c>
      <c r="R374" t="s">
        <v>17</v>
      </c>
      <c r="S374" t="s">
        <v>58</v>
      </c>
      <c r="T374" t="s">
        <v>2313</v>
      </c>
      <c r="U374" s="3" t="s">
        <v>1</v>
      </c>
      <c r="V374" s="3" t="s">
        <v>2314</v>
      </c>
      <c r="W374" s="3" t="s">
        <v>4782</v>
      </c>
      <c r="X374" t="s">
        <v>2144</v>
      </c>
      <c r="Y374">
        <v>7</v>
      </c>
      <c r="Z374">
        <v>0</v>
      </c>
      <c r="AA374">
        <f>IF('Στατιστικά'!$C$6,1,IFERROR(INDEX('Στατιστικά'!$C$10:$C$83,MATCH(G374,'Στατιστικά'!$B$10:$B$83,0))*1,0))</f>
        <v>1</v>
      </c>
    </row>
    <row r="375" spans="1:27">
      <c r="A375" s="2">
        <v>46227</v>
      </c>
      <c r="B375" t="s">
        <v>2310</v>
      </c>
      <c r="C375" t="s">
        <v>1</v>
      </c>
      <c r="D375" t="s">
        <v>1</v>
      </c>
      <c r="E375" t="s">
        <v>2316</v>
      </c>
      <c r="F375" t="s">
        <v>38</v>
      </c>
      <c r="G375" t="s">
        <v>15</v>
      </c>
      <c r="H375" t="s">
        <v>1</v>
      </c>
      <c r="I375">
        <v>20</v>
      </c>
      <c r="J375">
        <v>4</v>
      </c>
      <c r="M375" t="s">
        <v>507</v>
      </c>
      <c r="N375" t="s">
        <v>2317</v>
      </c>
      <c r="O375" t="s">
        <v>1202</v>
      </c>
      <c r="Q375">
        <v>2</v>
      </c>
      <c r="R375" t="s">
        <v>17</v>
      </c>
      <c r="S375" t="s">
        <v>58</v>
      </c>
      <c r="T375" t="s">
        <v>564</v>
      </c>
      <c r="U375" s="3" t="s">
        <v>1</v>
      </c>
      <c r="V375" s="3" t="s">
        <v>2318</v>
      </c>
      <c r="W375" s="3" t="s">
        <v>4578</v>
      </c>
      <c r="X375" t="s">
        <v>2320</v>
      </c>
      <c r="Y375">
        <v>7</v>
      </c>
      <c r="Z375">
        <v>0</v>
      </c>
      <c r="AA375">
        <f>IF('Στατιστικά'!$C$6,1,IFERROR(INDEX('Στατιστικά'!$C$10:$C$83,MATCH(G375,'Στατιστικά'!$B$10:$B$83,0))*1,0))</f>
        <v>1</v>
      </c>
    </row>
    <row r="376" spans="1:27">
      <c r="A376" s="2">
        <v>46227</v>
      </c>
      <c r="B376" t="s">
        <v>582</v>
      </c>
      <c r="C376" t="s">
        <v>1</v>
      </c>
      <c r="D376" t="s">
        <v>1</v>
      </c>
      <c r="E376" t="s">
        <v>2321</v>
      </c>
      <c r="F376" t="s">
        <v>469</v>
      </c>
      <c r="G376" t="s">
        <v>1282</v>
      </c>
      <c r="H376" t="s">
        <v>2322</v>
      </c>
      <c r="I376">
        <v>18</v>
      </c>
      <c r="J376">
        <v>5</v>
      </c>
      <c r="K376">
        <v>0</v>
      </c>
      <c r="L376">
        <v>0</v>
      </c>
      <c r="M376" t="s">
        <v>2323</v>
      </c>
      <c r="N376" t="s">
        <v>2324</v>
      </c>
      <c r="O376" t="s">
        <v>850</v>
      </c>
      <c r="P376" t="s">
        <v>4783</v>
      </c>
      <c r="Q376">
        <v>3</v>
      </c>
      <c r="R376" t="s">
        <v>79</v>
      </c>
      <c r="S376" t="s">
        <v>80</v>
      </c>
      <c r="T376" t="s">
        <v>2325</v>
      </c>
      <c r="U376" s="3" t="s">
        <v>1</v>
      </c>
      <c r="V376" s="3" t="s">
        <v>2326</v>
      </c>
      <c r="W376" s="3" t="s">
        <v>4784</v>
      </c>
      <c r="X376" t="s">
        <v>2241</v>
      </c>
      <c r="Y376">
        <v>7</v>
      </c>
      <c r="Z376">
        <v>0</v>
      </c>
      <c r="AA376">
        <f>IF('Στατιστικά'!$C$6,1,IFERROR(INDEX('Στατιστικά'!$C$10:$C$83,MATCH(G376,'Στατιστικά'!$B$10:$B$83,0))*1,0))</f>
        <v>1</v>
      </c>
    </row>
    <row r="377" spans="1:27">
      <c r="A377" s="2">
        <v>46227</v>
      </c>
      <c r="B377" t="s">
        <v>251</v>
      </c>
      <c r="C377" t="s">
        <v>1</v>
      </c>
      <c r="D377" t="s">
        <v>1</v>
      </c>
      <c r="E377" t="s">
        <v>2328</v>
      </c>
      <c r="F377" t="s">
        <v>44</v>
      </c>
      <c r="G377" t="s">
        <v>45</v>
      </c>
      <c r="H377" t="s">
        <v>2329</v>
      </c>
      <c r="I377">
        <v>54</v>
      </c>
      <c r="J377">
        <v>19</v>
      </c>
      <c r="K377">
        <v>4</v>
      </c>
      <c r="L377">
        <v>2</v>
      </c>
      <c r="M377" t="s">
        <v>876</v>
      </c>
      <c r="N377" t="s">
        <v>2330</v>
      </c>
      <c r="O377" t="s">
        <v>1</v>
      </c>
      <c r="Q377">
        <v>2</v>
      </c>
      <c r="R377" t="s">
        <v>17</v>
      </c>
      <c r="S377" t="s">
        <v>80</v>
      </c>
      <c r="T377" t="s">
        <v>2331</v>
      </c>
      <c r="U377" s="3" t="s">
        <v>1</v>
      </c>
      <c r="V377" s="3" t="s">
        <v>2332</v>
      </c>
      <c r="W377" s="3" t="s">
        <v>2333</v>
      </c>
      <c r="X377" t="s">
        <v>2144</v>
      </c>
      <c r="Y377">
        <v>7</v>
      </c>
      <c r="Z377">
        <v>0</v>
      </c>
      <c r="AA377">
        <f>IF('Στατιστικά'!$C$6,1,IFERROR(INDEX('Στατιστικά'!$C$10:$C$83,MATCH(G377,'Στατιστικά'!$B$10:$B$83,0))*1,0))</f>
        <v>1</v>
      </c>
    </row>
    <row r="378" spans="1:27">
      <c r="A378" s="2">
        <v>46227</v>
      </c>
      <c r="B378" t="s">
        <v>300</v>
      </c>
      <c r="C378" t="s">
        <v>1</v>
      </c>
      <c r="D378" t="s">
        <v>1</v>
      </c>
      <c r="E378" t="s">
        <v>2334</v>
      </c>
      <c r="F378" t="s">
        <v>64</v>
      </c>
      <c r="G378" t="s">
        <v>116</v>
      </c>
      <c r="H378" t="s">
        <v>1368</v>
      </c>
      <c r="I378">
        <v>18</v>
      </c>
      <c r="J378">
        <v>5</v>
      </c>
      <c r="K378">
        <v>0</v>
      </c>
      <c r="L378">
        <v>0</v>
      </c>
      <c r="M378" t="s">
        <v>2335</v>
      </c>
      <c r="N378" t="s">
        <v>1</v>
      </c>
      <c r="O378" t="s">
        <v>1</v>
      </c>
      <c r="P378" t="s">
        <v>4785</v>
      </c>
      <c r="Q378">
        <v>2</v>
      </c>
      <c r="R378" t="s">
        <v>17</v>
      </c>
      <c r="S378" t="s">
        <v>80</v>
      </c>
      <c r="T378" t="s">
        <v>2325</v>
      </c>
      <c r="U378" s="3" t="s">
        <v>1</v>
      </c>
      <c r="V378" s="3" t="s">
        <v>2336</v>
      </c>
      <c r="W378" s="3" t="s">
        <v>4786</v>
      </c>
      <c r="X378" t="s">
        <v>2241</v>
      </c>
      <c r="Y378">
        <v>7</v>
      </c>
      <c r="Z378">
        <v>0</v>
      </c>
      <c r="AA378">
        <f>IF('Στατιστικά'!$C$6,1,IFERROR(INDEX('Στατιστικά'!$C$10:$C$83,MATCH(G378,'Στατιστικά'!$B$10:$B$83,0))*1,0))</f>
        <v>1</v>
      </c>
    </row>
    <row r="379" spans="1:27">
      <c r="A379" s="2">
        <v>46227</v>
      </c>
      <c r="B379" t="s">
        <v>300</v>
      </c>
      <c r="C379" t="s">
        <v>1</v>
      </c>
      <c r="D379" t="s">
        <v>1</v>
      </c>
      <c r="E379" t="s">
        <v>2338</v>
      </c>
      <c r="F379" t="s">
        <v>44</v>
      </c>
      <c r="G379" t="s">
        <v>45</v>
      </c>
      <c r="H379" t="s">
        <v>272</v>
      </c>
      <c r="I379">
        <v>30</v>
      </c>
      <c r="J379">
        <v>7</v>
      </c>
      <c r="K379">
        <v>0</v>
      </c>
      <c r="L379">
        <v>0</v>
      </c>
      <c r="M379" t="s">
        <v>876</v>
      </c>
      <c r="N379" t="s">
        <v>2339</v>
      </c>
      <c r="O379" t="s">
        <v>106</v>
      </c>
      <c r="Q379">
        <v>2</v>
      </c>
      <c r="R379" t="s">
        <v>17</v>
      </c>
      <c r="S379" t="s">
        <v>80</v>
      </c>
      <c r="T379" t="s">
        <v>2340</v>
      </c>
      <c r="U379" s="3" t="s">
        <v>1</v>
      </c>
      <c r="V379" s="3" t="s">
        <v>2341</v>
      </c>
      <c r="W379" s="3" t="s">
        <v>2342</v>
      </c>
      <c r="X379" t="s">
        <v>2241</v>
      </c>
      <c r="Y379">
        <v>7</v>
      </c>
      <c r="Z379">
        <v>0</v>
      </c>
      <c r="AA379">
        <f>IF('Στατιστικά'!$C$6,1,IFERROR(INDEX('Στατιστικά'!$C$10:$C$83,MATCH(G379,'Στατιστικά'!$B$10:$B$83,0))*1,0))</f>
        <v>1</v>
      </c>
    </row>
    <row r="380" spans="1:27">
      <c r="A380" s="2">
        <v>46227</v>
      </c>
      <c r="B380" t="s">
        <v>2286</v>
      </c>
      <c r="C380" t="s">
        <v>1</v>
      </c>
      <c r="D380" t="s">
        <v>1</v>
      </c>
      <c r="E380" t="s">
        <v>2343</v>
      </c>
      <c r="F380" t="s">
        <v>488</v>
      </c>
      <c r="G380" t="s">
        <v>724</v>
      </c>
      <c r="H380" t="s">
        <v>1</v>
      </c>
      <c r="M380" t="s">
        <v>1</v>
      </c>
      <c r="N380" t="s">
        <v>1</v>
      </c>
      <c r="O380" t="s">
        <v>1</v>
      </c>
      <c r="R380" t="s">
        <v>1</v>
      </c>
      <c r="S380" t="s">
        <v>1</v>
      </c>
      <c r="T380" t="s">
        <v>2344</v>
      </c>
      <c r="U380" s="3" t="s">
        <v>1</v>
      </c>
      <c r="V380" s="3" t="s">
        <v>2345</v>
      </c>
      <c r="W380" s="3" t="s">
        <v>2346</v>
      </c>
      <c r="X380" t="s">
        <v>2063</v>
      </c>
      <c r="Y380">
        <v>7</v>
      </c>
      <c r="Z380">
        <v>0</v>
      </c>
      <c r="AA380">
        <f>IF('Στατιστικά'!$C$6,1,IFERROR(INDEX('Στατιστικά'!$C$10:$C$83,MATCH(G380,'Στατιστικά'!$B$10:$B$83,0))*1,0))</f>
        <v>1</v>
      </c>
    </row>
    <row r="381" spans="1:27">
      <c r="A381" s="2">
        <v>46227</v>
      </c>
      <c r="B381" t="s">
        <v>1986</v>
      </c>
      <c r="C381" t="s">
        <v>1</v>
      </c>
      <c r="D381" t="s">
        <v>2347</v>
      </c>
      <c r="E381" t="s">
        <v>2348</v>
      </c>
      <c r="F381" t="s">
        <v>38</v>
      </c>
      <c r="G381" t="s">
        <v>15</v>
      </c>
      <c r="H381" t="s">
        <v>39</v>
      </c>
      <c r="I381">
        <v>45</v>
      </c>
      <c r="J381">
        <v>10</v>
      </c>
      <c r="M381" t="s">
        <v>176</v>
      </c>
      <c r="N381" t="s">
        <v>1</v>
      </c>
      <c r="O381" t="s">
        <v>1</v>
      </c>
      <c r="Q381">
        <v>2</v>
      </c>
      <c r="R381" t="s">
        <v>17</v>
      </c>
      <c r="S381" t="s">
        <v>58</v>
      </c>
      <c r="T381" t="s">
        <v>2349</v>
      </c>
      <c r="U381" s="3" t="s">
        <v>1</v>
      </c>
      <c r="V381" s="3" t="s">
        <v>2350</v>
      </c>
      <c r="W381" s="3" t="s">
        <v>2351</v>
      </c>
      <c r="X381" t="s">
        <v>2144</v>
      </c>
      <c r="Y381">
        <v>7</v>
      </c>
      <c r="Z381">
        <v>0</v>
      </c>
      <c r="AA381">
        <f>IF('Στατιστικά'!$C$6,1,IFERROR(INDEX('Στατιστικά'!$C$10:$C$83,MATCH(G381,'Στατιστικά'!$B$10:$B$83,0))*1,0))</f>
        <v>1</v>
      </c>
    </row>
    <row r="382" spans="1:27">
      <c r="A382" s="2">
        <v>46227</v>
      </c>
      <c r="B382" t="s">
        <v>182</v>
      </c>
      <c r="C382" t="s">
        <v>1</v>
      </c>
      <c r="D382" t="s">
        <v>1</v>
      </c>
      <c r="E382" t="s">
        <v>2352</v>
      </c>
      <c r="F382" t="s">
        <v>160</v>
      </c>
      <c r="G382" t="s">
        <v>161</v>
      </c>
      <c r="H382" t="s">
        <v>1796</v>
      </c>
      <c r="I382">
        <v>32</v>
      </c>
      <c r="J382">
        <v>7</v>
      </c>
      <c r="K382">
        <v>3</v>
      </c>
      <c r="L382">
        <v>1</v>
      </c>
      <c r="M382" t="s">
        <v>1103</v>
      </c>
      <c r="N382" t="s">
        <v>2353</v>
      </c>
      <c r="O382" t="s">
        <v>850</v>
      </c>
      <c r="Q382">
        <v>2</v>
      </c>
      <c r="R382" t="s">
        <v>17</v>
      </c>
      <c r="S382" t="s">
        <v>58</v>
      </c>
      <c r="T382" t="s">
        <v>2354</v>
      </c>
      <c r="U382" s="3" t="s">
        <v>1</v>
      </c>
      <c r="V382" s="3" t="s">
        <v>2355</v>
      </c>
      <c r="W382" s="3" t="s">
        <v>2356</v>
      </c>
      <c r="X382" t="s">
        <v>2063</v>
      </c>
      <c r="Y382">
        <v>7</v>
      </c>
      <c r="Z382">
        <v>0</v>
      </c>
      <c r="AA382">
        <f>IF('Στατιστικά'!$C$6,1,IFERROR(INDEX('Στατιστικά'!$C$10:$C$83,MATCH(G382,'Στατιστικά'!$B$10:$B$83,0))*1,0))</f>
        <v>1</v>
      </c>
    </row>
    <row r="383" spans="1:27">
      <c r="A383" s="2">
        <v>46227</v>
      </c>
      <c r="B383" t="s">
        <v>1</v>
      </c>
      <c r="C383" t="s">
        <v>1</v>
      </c>
      <c r="D383" t="s">
        <v>1</v>
      </c>
      <c r="E383" t="s">
        <v>2357</v>
      </c>
      <c r="F383" t="s">
        <v>217</v>
      </c>
      <c r="G383" t="s">
        <v>412</v>
      </c>
      <c r="H383" t="s">
        <v>2358</v>
      </c>
      <c r="I383">
        <v>40</v>
      </c>
      <c r="J383">
        <v>13</v>
      </c>
      <c r="K383">
        <v>6</v>
      </c>
      <c r="L383">
        <v>3</v>
      </c>
      <c r="M383" t="s">
        <v>220</v>
      </c>
      <c r="N383" t="s">
        <v>2359</v>
      </c>
      <c r="O383" t="s">
        <v>1</v>
      </c>
      <c r="Q383">
        <v>2</v>
      </c>
      <c r="R383" t="s">
        <v>17</v>
      </c>
      <c r="S383" t="s">
        <v>80</v>
      </c>
      <c r="T383" t="s">
        <v>2360</v>
      </c>
      <c r="U383" s="3" t="s">
        <v>1</v>
      </c>
      <c r="V383" s="3" t="s">
        <v>2361</v>
      </c>
      <c r="W383" s="3" t="s">
        <v>2362</v>
      </c>
      <c r="X383" t="s">
        <v>2063</v>
      </c>
      <c r="Y383">
        <v>7</v>
      </c>
      <c r="Z383">
        <v>0</v>
      </c>
      <c r="AA383">
        <f>IF('Στατιστικά'!$C$6,1,IFERROR(INDEX('Στατιστικά'!$C$10:$C$83,MATCH(G383,'Στατιστικά'!$B$10:$B$83,0))*1,0))</f>
        <v>1</v>
      </c>
    </row>
    <row r="384" spans="1:27">
      <c r="A384" s="2">
        <v>46226</v>
      </c>
      <c r="B384" t="s">
        <v>2132</v>
      </c>
      <c r="C384" t="s">
        <v>2132</v>
      </c>
      <c r="D384" t="s">
        <v>1</v>
      </c>
      <c r="E384" t="s">
        <v>2363</v>
      </c>
      <c r="F384" t="s">
        <v>64</v>
      </c>
      <c r="G384" t="s">
        <v>130</v>
      </c>
      <c r="H384" t="s">
        <v>2364</v>
      </c>
      <c r="I384">
        <v>75</v>
      </c>
      <c r="J384">
        <v>16</v>
      </c>
      <c r="K384">
        <v>0</v>
      </c>
      <c r="L384">
        <v>0</v>
      </c>
      <c r="M384" t="s">
        <v>2365</v>
      </c>
      <c r="N384" t="s">
        <v>2366</v>
      </c>
      <c r="O384" t="s">
        <v>239</v>
      </c>
      <c r="Q384">
        <v>3</v>
      </c>
      <c r="R384" t="s">
        <v>79</v>
      </c>
      <c r="S384" t="s">
        <v>80</v>
      </c>
      <c r="T384" t="s">
        <v>1357</v>
      </c>
      <c r="U384" s="3" t="s">
        <v>1</v>
      </c>
      <c r="V384" s="3" t="s">
        <v>2367</v>
      </c>
      <c r="W384" s="3" t="s">
        <v>2368</v>
      </c>
      <c r="X384" t="s">
        <v>2144</v>
      </c>
      <c r="Y384">
        <v>7</v>
      </c>
      <c r="Z384">
        <v>0</v>
      </c>
      <c r="AA384">
        <f>IF('Στατιστικά'!$C$6,1,IFERROR(INDEX('Στατιστικά'!$C$10:$C$83,MATCH(G384,'Στατιστικά'!$B$10:$B$83,0))*1,0))</f>
        <v>1</v>
      </c>
    </row>
    <row r="385" spans="1:27">
      <c r="A385" s="2">
        <v>46226</v>
      </c>
      <c r="B385" t="s">
        <v>2369</v>
      </c>
      <c r="C385" t="s">
        <v>1</v>
      </c>
      <c r="D385" t="s">
        <v>1</v>
      </c>
      <c r="E385" t="s">
        <v>2370</v>
      </c>
      <c r="F385" t="s">
        <v>64</v>
      </c>
      <c r="G385" t="s">
        <v>130</v>
      </c>
      <c r="H385" t="s">
        <v>2371</v>
      </c>
      <c r="I385">
        <v>44</v>
      </c>
      <c r="J385">
        <v>12</v>
      </c>
      <c r="K385">
        <v>2</v>
      </c>
      <c r="L385">
        <v>2</v>
      </c>
      <c r="M385" t="s">
        <v>56</v>
      </c>
      <c r="N385" t="s">
        <v>106</v>
      </c>
      <c r="O385" t="s">
        <v>239</v>
      </c>
      <c r="Q385">
        <v>3</v>
      </c>
      <c r="R385" t="s">
        <v>79</v>
      </c>
      <c r="S385" t="s">
        <v>107</v>
      </c>
      <c r="T385" t="s">
        <v>1357</v>
      </c>
      <c r="U385" s="3" t="s">
        <v>1</v>
      </c>
      <c r="V385" s="3" t="s">
        <v>2372</v>
      </c>
      <c r="W385" s="3" t="s">
        <v>2373</v>
      </c>
      <c r="X385" t="s">
        <v>2063</v>
      </c>
      <c r="Y385">
        <v>7</v>
      </c>
      <c r="Z385">
        <v>0</v>
      </c>
      <c r="AA385">
        <f>IF('Στατιστικά'!$C$6,1,IFERROR(INDEX('Στατιστικά'!$C$10:$C$83,MATCH(G385,'Στατιστικά'!$B$10:$B$83,0))*1,0))</f>
        <v>1</v>
      </c>
    </row>
    <row r="386" spans="1:27">
      <c r="A386" s="2">
        <v>46226</v>
      </c>
      <c r="B386" t="s">
        <v>643</v>
      </c>
      <c r="C386" t="s">
        <v>1</v>
      </c>
      <c r="D386" t="s">
        <v>1</v>
      </c>
      <c r="E386" t="s">
        <v>2374</v>
      </c>
      <c r="F386" t="s">
        <v>141</v>
      </c>
      <c r="G386" t="s">
        <v>142</v>
      </c>
      <c r="H386" t="s">
        <v>1</v>
      </c>
      <c r="I386">
        <v>12</v>
      </c>
      <c r="J386">
        <v>5</v>
      </c>
      <c r="K386">
        <v>0</v>
      </c>
      <c r="L386">
        <v>1</v>
      </c>
      <c r="M386" t="s">
        <v>1</v>
      </c>
      <c r="N386" t="s">
        <v>1</v>
      </c>
      <c r="O386" t="s">
        <v>1</v>
      </c>
      <c r="P386" t="s">
        <v>4787</v>
      </c>
      <c r="Q386">
        <v>3</v>
      </c>
      <c r="R386" t="s">
        <v>79</v>
      </c>
      <c r="S386" t="s">
        <v>107</v>
      </c>
      <c r="T386" t="s">
        <v>98</v>
      </c>
      <c r="U386" s="3" t="s">
        <v>1</v>
      </c>
      <c r="V386" s="3" t="s">
        <v>2375</v>
      </c>
      <c r="W386" s="3" t="s">
        <v>4788</v>
      </c>
      <c r="X386" t="s">
        <v>2063</v>
      </c>
      <c r="Y386">
        <v>7</v>
      </c>
      <c r="Z386">
        <v>0</v>
      </c>
      <c r="AA386">
        <f>IF('Στατιστικά'!$C$6,1,IFERROR(INDEX('Στατιστικά'!$C$10:$C$83,MATCH(G386,'Στατιστικά'!$B$10:$B$83,0))*1,0))</f>
        <v>1</v>
      </c>
    </row>
    <row r="387" spans="1:27">
      <c r="A387" s="2">
        <v>46226</v>
      </c>
      <c r="B387" t="s">
        <v>582</v>
      </c>
      <c r="C387" t="s">
        <v>1</v>
      </c>
      <c r="D387" t="s">
        <v>1</v>
      </c>
      <c r="E387" t="s">
        <v>2377</v>
      </c>
      <c r="F387" t="s">
        <v>217</v>
      </c>
      <c r="G387" t="s">
        <v>412</v>
      </c>
      <c r="H387" t="s">
        <v>2378</v>
      </c>
      <c r="I387">
        <v>38</v>
      </c>
      <c r="J387">
        <v>10</v>
      </c>
      <c r="K387">
        <v>2</v>
      </c>
      <c r="L387">
        <v>1</v>
      </c>
      <c r="M387" t="s">
        <v>34</v>
      </c>
      <c r="N387" t="s">
        <v>1</v>
      </c>
      <c r="O387" t="s">
        <v>1</v>
      </c>
      <c r="Q387">
        <v>3</v>
      </c>
      <c r="R387" t="s">
        <v>79</v>
      </c>
      <c r="S387" t="s">
        <v>80</v>
      </c>
      <c r="T387" t="s">
        <v>2379</v>
      </c>
      <c r="U387" s="3" t="s">
        <v>1</v>
      </c>
      <c r="V387" s="3" t="s">
        <v>2380</v>
      </c>
      <c r="W387" s="3" t="s">
        <v>2381</v>
      </c>
      <c r="X387" t="s">
        <v>2241</v>
      </c>
      <c r="Y387">
        <v>7</v>
      </c>
      <c r="Z387">
        <v>0</v>
      </c>
      <c r="AA387">
        <f>IF('Στατιστικά'!$C$6,1,IFERROR(INDEX('Στατιστικά'!$C$10:$C$83,MATCH(G387,'Στατιστικά'!$B$10:$B$83,0))*1,0))</f>
        <v>1</v>
      </c>
    </row>
    <row r="388" spans="1:27">
      <c r="A388" s="2">
        <v>46226</v>
      </c>
      <c r="B388" t="s">
        <v>881</v>
      </c>
      <c r="C388" t="s">
        <v>118</v>
      </c>
      <c r="D388" t="s">
        <v>1</v>
      </c>
      <c r="E388" t="s">
        <v>2382</v>
      </c>
      <c r="F388" t="s">
        <v>44</v>
      </c>
      <c r="G388" t="s">
        <v>45</v>
      </c>
      <c r="H388" t="s">
        <v>308</v>
      </c>
      <c r="I388">
        <v>33</v>
      </c>
      <c r="J388">
        <v>7</v>
      </c>
      <c r="K388">
        <v>2</v>
      </c>
      <c r="L388">
        <v>2</v>
      </c>
      <c r="M388" t="s">
        <v>2383</v>
      </c>
      <c r="N388" t="s">
        <v>1</v>
      </c>
      <c r="O388" t="s">
        <v>1</v>
      </c>
      <c r="Q388">
        <v>3</v>
      </c>
      <c r="R388" t="s">
        <v>79</v>
      </c>
      <c r="S388" t="s">
        <v>58</v>
      </c>
      <c r="T388" t="s">
        <v>2384</v>
      </c>
      <c r="U388" s="3" t="s">
        <v>1</v>
      </c>
      <c r="V388" s="3" t="s">
        <v>2385</v>
      </c>
      <c r="W388" s="3" t="s">
        <v>2386</v>
      </c>
      <c r="X388" t="s">
        <v>2387</v>
      </c>
      <c r="Y388">
        <v>7</v>
      </c>
      <c r="Z388">
        <v>0</v>
      </c>
      <c r="AA388">
        <f>IF('Στατιστικά'!$C$6,1,IFERROR(INDEX('Στατιστικά'!$C$10:$C$83,MATCH(G388,'Στατιστικά'!$B$10:$B$83,0))*1,0))</f>
        <v>1</v>
      </c>
    </row>
    <row r="389" spans="1:27">
      <c r="A389" s="2">
        <v>46226</v>
      </c>
      <c r="B389" t="s">
        <v>2388</v>
      </c>
      <c r="C389" t="s">
        <v>1</v>
      </c>
      <c r="D389" t="s">
        <v>1</v>
      </c>
      <c r="E389" t="s">
        <v>2389</v>
      </c>
      <c r="F389" t="s">
        <v>64</v>
      </c>
      <c r="G389" t="s">
        <v>130</v>
      </c>
      <c r="H389" t="s">
        <v>2215</v>
      </c>
      <c r="I389">
        <v>120</v>
      </c>
      <c r="J389">
        <v>33</v>
      </c>
      <c r="K389">
        <v>7</v>
      </c>
      <c r="L389">
        <v>3</v>
      </c>
      <c r="M389" t="s">
        <v>1417</v>
      </c>
      <c r="N389" t="s">
        <v>2390</v>
      </c>
      <c r="O389" t="s">
        <v>1417</v>
      </c>
      <c r="Q389">
        <v>2</v>
      </c>
      <c r="R389" t="s">
        <v>17</v>
      </c>
      <c r="S389" t="s">
        <v>80</v>
      </c>
      <c r="T389" t="s">
        <v>2391</v>
      </c>
      <c r="U389" s="3" t="s">
        <v>2392</v>
      </c>
      <c r="V389" s="3" t="s">
        <v>2393</v>
      </c>
      <c r="W389" s="3" t="s">
        <v>2394</v>
      </c>
      <c r="X389" t="s">
        <v>2241</v>
      </c>
      <c r="Y389">
        <v>7</v>
      </c>
      <c r="Z389">
        <v>0</v>
      </c>
      <c r="AA389">
        <f>IF('Στατιστικά'!$C$6,1,IFERROR(INDEX('Στατιστικά'!$C$10:$C$83,MATCH(G389,'Στατιστικά'!$B$10:$B$83,0))*1,0))</f>
        <v>1</v>
      </c>
    </row>
    <row r="390" spans="1:27">
      <c r="A390" s="2">
        <v>46226</v>
      </c>
      <c r="B390" t="s">
        <v>1707</v>
      </c>
      <c r="C390" t="s">
        <v>881</v>
      </c>
      <c r="D390" t="s">
        <v>1</v>
      </c>
      <c r="E390" t="s">
        <v>2395</v>
      </c>
      <c r="F390" t="s">
        <v>64</v>
      </c>
      <c r="G390" t="s">
        <v>130</v>
      </c>
      <c r="H390" t="s">
        <v>2222</v>
      </c>
      <c r="I390">
        <v>132</v>
      </c>
      <c r="J390">
        <v>36</v>
      </c>
      <c r="K390">
        <v>7</v>
      </c>
      <c r="L390">
        <v>3</v>
      </c>
      <c r="M390" t="s">
        <v>744</v>
      </c>
      <c r="N390" t="s">
        <v>2396</v>
      </c>
      <c r="O390" t="s">
        <v>2397</v>
      </c>
      <c r="Q390">
        <v>3</v>
      </c>
      <c r="R390" t="s">
        <v>79</v>
      </c>
      <c r="S390" t="s">
        <v>80</v>
      </c>
      <c r="T390" t="s">
        <v>2398</v>
      </c>
      <c r="U390" s="3" t="s">
        <v>2399</v>
      </c>
      <c r="V390" s="3" t="s">
        <v>2400</v>
      </c>
      <c r="W390" s="3" t="s">
        <v>2401</v>
      </c>
      <c r="X390" t="s">
        <v>2241</v>
      </c>
      <c r="Y390">
        <v>7</v>
      </c>
      <c r="Z390">
        <v>0</v>
      </c>
      <c r="AA390">
        <f>IF('Στατιστικά'!$C$6,1,IFERROR(INDEX('Στατιστικά'!$C$10:$C$83,MATCH(G390,'Στατιστικά'!$B$10:$B$83,0))*1,0))</f>
        <v>1</v>
      </c>
    </row>
    <row r="391" spans="1:27">
      <c r="A391" s="2">
        <v>46226</v>
      </c>
      <c r="B391" t="s">
        <v>1707</v>
      </c>
      <c r="C391" t="s">
        <v>881</v>
      </c>
      <c r="D391" t="s">
        <v>1</v>
      </c>
      <c r="E391" t="s">
        <v>2402</v>
      </c>
      <c r="F391" t="s">
        <v>64</v>
      </c>
      <c r="G391" t="s">
        <v>130</v>
      </c>
      <c r="H391" t="s">
        <v>2403</v>
      </c>
      <c r="I391">
        <v>132</v>
      </c>
      <c r="J391">
        <v>36</v>
      </c>
      <c r="K391">
        <v>7</v>
      </c>
      <c r="L391">
        <v>3</v>
      </c>
      <c r="M391" t="s">
        <v>744</v>
      </c>
      <c r="N391" t="s">
        <v>1</v>
      </c>
      <c r="O391" t="s">
        <v>1</v>
      </c>
      <c r="Q391">
        <v>3</v>
      </c>
      <c r="R391" t="s">
        <v>79</v>
      </c>
      <c r="S391" t="s">
        <v>58</v>
      </c>
      <c r="T391" t="s">
        <v>2404</v>
      </c>
      <c r="U391" s="3" t="s">
        <v>2405</v>
      </c>
      <c r="V391" s="3" t="s">
        <v>2406</v>
      </c>
      <c r="W391" s="3" t="s">
        <v>2407</v>
      </c>
      <c r="X391" t="s">
        <v>2387</v>
      </c>
      <c r="Y391">
        <v>7</v>
      </c>
      <c r="Z391">
        <v>0</v>
      </c>
      <c r="AA391">
        <f>IF('Στατιστικά'!$C$6,1,IFERROR(INDEX('Στατιστικά'!$C$10:$C$83,MATCH(G391,'Στατιστικά'!$B$10:$B$83,0))*1,0))</f>
        <v>1</v>
      </c>
    </row>
    <row r="392" spans="1:27">
      <c r="A392" s="2">
        <v>46226</v>
      </c>
      <c r="B392" t="s">
        <v>1</v>
      </c>
      <c r="C392" t="s">
        <v>1</v>
      </c>
      <c r="D392" t="s">
        <v>1</v>
      </c>
      <c r="E392" t="s">
        <v>2408</v>
      </c>
      <c r="F392" t="s">
        <v>53</v>
      </c>
      <c r="G392" t="s">
        <v>130</v>
      </c>
      <c r="H392" t="s">
        <v>1832</v>
      </c>
      <c r="M392" t="s">
        <v>2409</v>
      </c>
      <c r="N392" t="s">
        <v>1</v>
      </c>
      <c r="O392" t="s">
        <v>1</v>
      </c>
      <c r="Q392">
        <v>2</v>
      </c>
      <c r="R392" t="s">
        <v>17</v>
      </c>
      <c r="S392" t="s">
        <v>1</v>
      </c>
      <c r="T392" t="s">
        <v>1</v>
      </c>
      <c r="U392" s="3" t="s">
        <v>1</v>
      </c>
      <c r="V392" s="3" t="s">
        <v>2410</v>
      </c>
      <c r="W392" s="3" t="s">
        <v>2411</v>
      </c>
      <c r="X392" t="s">
        <v>2241</v>
      </c>
      <c r="Y392">
        <v>7</v>
      </c>
      <c r="Z392">
        <v>0</v>
      </c>
      <c r="AA392">
        <f>IF('Στατιστικά'!$C$6,1,IFERROR(INDEX('Στατιστικά'!$C$10:$C$83,MATCH(G392,'Στατιστικά'!$B$10:$B$83,0))*1,0))</f>
        <v>1</v>
      </c>
    </row>
    <row r="393" spans="1:27">
      <c r="A393" s="2">
        <v>46225</v>
      </c>
      <c r="B393" t="s">
        <v>1900</v>
      </c>
      <c r="C393" t="s">
        <v>1</v>
      </c>
      <c r="D393" t="s">
        <v>1</v>
      </c>
      <c r="E393" t="s">
        <v>2412</v>
      </c>
      <c r="F393" t="s">
        <v>120</v>
      </c>
      <c r="G393" t="s">
        <v>1496</v>
      </c>
      <c r="H393" t="s">
        <v>2413</v>
      </c>
      <c r="I393">
        <v>17</v>
      </c>
      <c r="J393">
        <v>4</v>
      </c>
      <c r="M393" t="s">
        <v>1</v>
      </c>
      <c r="N393" t="s">
        <v>1</v>
      </c>
      <c r="O393" t="s">
        <v>106</v>
      </c>
      <c r="P393" t="s">
        <v>4789</v>
      </c>
      <c r="Q393">
        <v>4</v>
      </c>
      <c r="R393" t="s">
        <v>137</v>
      </c>
      <c r="S393" t="s">
        <v>80</v>
      </c>
      <c r="T393" t="s">
        <v>1903</v>
      </c>
      <c r="U393" s="3" t="s">
        <v>1</v>
      </c>
      <c r="V393" s="3" t="s">
        <v>2414</v>
      </c>
      <c r="W393" s="3" t="s">
        <v>4790</v>
      </c>
      <c r="X393" t="s">
        <v>2063</v>
      </c>
      <c r="Y393">
        <v>7</v>
      </c>
      <c r="Z393">
        <v>0</v>
      </c>
      <c r="AA393">
        <f>IF('Στατιστικά'!$C$6,1,IFERROR(INDEX('Στατιστικά'!$C$10:$C$83,MATCH(G393,'Στατιστικά'!$B$10:$B$83,0))*1,0))</f>
        <v>1</v>
      </c>
    </row>
    <row r="394" spans="1:27">
      <c r="A394" s="2">
        <v>46225</v>
      </c>
      <c r="B394" t="s">
        <v>2132</v>
      </c>
      <c r="C394" t="s">
        <v>1513</v>
      </c>
      <c r="D394" t="s">
        <v>1</v>
      </c>
      <c r="E394" t="s">
        <v>2416</v>
      </c>
      <c r="F394" t="s">
        <v>120</v>
      </c>
      <c r="G394" t="s">
        <v>2417</v>
      </c>
      <c r="H394" t="s">
        <v>2418</v>
      </c>
      <c r="I394">
        <v>9</v>
      </c>
      <c r="J394">
        <v>4</v>
      </c>
      <c r="M394" t="s">
        <v>2419</v>
      </c>
      <c r="N394" t="s">
        <v>2420</v>
      </c>
      <c r="O394" t="s">
        <v>1</v>
      </c>
      <c r="P394" t="s">
        <v>4791</v>
      </c>
      <c r="Q394">
        <v>4</v>
      </c>
      <c r="R394" t="s">
        <v>137</v>
      </c>
      <c r="S394" t="s">
        <v>58</v>
      </c>
      <c r="T394" t="s">
        <v>2421</v>
      </c>
      <c r="U394" s="3" t="s">
        <v>1</v>
      </c>
      <c r="V394" s="3" t="s">
        <v>2422</v>
      </c>
      <c r="W394" s="3" t="s">
        <v>4792</v>
      </c>
      <c r="X394" t="s">
        <v>2387</v>
      </c>
      <c r="Y394">
        <v>7</v>
      </c>
      <c r="Z394">
        <v>0</v>
      </c>
      <c r="AA394">
        <f>IF('Στατιστικά'!$C$6,1,IFERROR(INDEX('Στατιστικά'!$C$10:$C$83,MATCH(G394,'Στατιστικά'!$B$10:$B$83,0))*1,0))</f>
        <v>1</v>
      </c>
    </row>
    <row r="395" spans="1:27">
      <c r="A395" s="2">
        <v>46225</v>
      </c>
      <c r="B395" t="s">
        <v>2132</v>
      </c>
      <c r="C395" t="s">
        <v>1513</v>
      </c>
      <c r="D395" t="s">
        <v>1</v>
      </c>
      <c r="E395" t="s">
        <v>2424</v>
      </c>
      <c r="F395" t="s">
        <v>120</v>
      </c>
      <c r="G395" t="s">
        <v>1496</v>
      </c>
      <c r="H395" t="s">
        <v>2425</v>
      </c>
      <c r="I395">
        <v>9</v>
      </c>
      <c r="J395">
        <v>4</v>
      </c>
      <c r="K395">
        <v>0</v>
      </c>
      <c r="L395">
        <v>0</v>
      </c>
      <c r="M395" t="s">
        <v>2426</v>
      </c>
      <c r="N395" t="s">
        <v>296</v>
      </c>
      <c r="O395" t="s">
        <v>2427</v>
      </c>
      <c r="P395" t="s">
        <v>4793</v>
      </c>
      <c r="Q395">
        <v>4</v>
      </c>
      <c r="R395" t="s">
        <v>137</v>
      </c>
      <c r="S395" t="s">
        <v>58</v>
      </c>
      <c r="T395" t="s">
        <v>1903</v>
      </c>
      <c r="U395" s="3" t="s">
        <v>1</v>
      </c>
      <c r="V395" s="3" t="s">
        <v>2428</v>
      </c>
      <c r="W395" s="3" t="s">
        <v>4794</v>
      </c>
      <c r="X395" t="s">
        <v>2387</v>
      </c>
      <c r="Y395">
        <v>7</v>
      </c>
      <c r="Z395">
        <v>0</v>
      </c>
      <c r="AA395">
        <f>IF('Στατιστικά'!$C$6,1,IFERROR(INDEX('Στατιστικά'!$C$10:$C$83,MATCH(G395,'Στατιστικά'!$B$10:$B$83,0))*1,0))</f>
        <v>1</v>
      </c>
    </row>
    <row r="396" spans="1:27">
      <c r="A396" s="2">
        <v>46225</v>
      </c>
      <c r="B396" t="s">
        <v>2132</v>
      </c>
      <c r="C396" t="s">
        <v>1513</v>
      </c>
      <c r="D396" t="s">
        <v>1</v>
      </c>
      <c r="E396" t="s">
        <v>2430</v>
      </c>
      <c r="F396" t="s">
        <v>120</v>
      </c>
      <c r="G396" t="s">
        <v>1496</v>
      </c>
      <c r="H396" t="s">
        <v>2417</v>
      </c>
      <c r="I396">
        <v>9</v>
      </c>
      <c r="J396">
        <v>4</v>
      </c>
      <c r="M396" t="s">
        <v>1</v>
      </c>
      <c r="N396" t="s">
        <v>2431</v>
      </c>
      <c r="O396" t="s">
        <v>2427</v>
      </c>
      <c r="P396" t="s">
        <v>4795</v>
      </c>
      <c r="Q396">
        <v>4</v>
      </c>
      <c r="R396" t="s">
        <v>137</v>
      </c>
      <c r="S396" t="s">
        <v>58</v>
      </c>
      <c r="T396" t="s">
        <v>2432</v>
      </c>
      <c r="U396" s="3" t="s">
        <v>1</v>
      </c>
      <c r="V396" s="3" t="s">
        <v>2433</v>
      </c>
      <c r="W396" s="3" t="s">
        <v>4796</v>
      </c>
      <c r="X396" t="s">
        <v>2241</v>
      </c>
      <c r="Y396">
        <v>7</v>
      </c>
      <c r="Z396">
        <v>0</v>
      </c>
      <c r="AA396">
        <f>IF('Στατιστικά'!$C$6,1,IFERROR(INDEX('Στατιστικά'!$C$10:$C$83,MATCH(G396,'Στατιστικά'!$B$10:$B$83,0))*1,0))</f>
        <v>1</v>
      </c>
    </row>
    <row r="397" spans="1:27">
      <c r="A397" s="2">
        <v>46225</v>
      </c>
      <c r="B397" t="s">
        <v>757</v>
      </c>
      <c r="C397" t="s">
        <v>1</v>
      </c>
      <c r="D397" t="s">
        <v>1</v>
      </c>
      <c r="E397" t="s">
        <v>2435</v>
      </c>
      <c r="F397" t="s">
        <v>141</v>
      </c>
      <c r="G397" t="s">
        <v>481</v>
      </c>
      <c r="H397" t="s">
        <v>2436</v>
      </c>
      <c r="I397">
        <v>22</v>
      </c>
      <c r="J397">
        <v>8</v>
      </c>
      <c r="K397">
        <v>2</v>
      </c>
      <c r="M397" t="s">
        <v>2437</v>
      </c>
      <c r="N397" t="s">
        <v>1</v>
      </c>
      <c r="O397" t="s">
        <v>239</v>
      </c>
      <c r="P397">
        <v>0.5</v>
      </c>
      <c r="Q397">
        <v>5</v>
      </c>
      <c r="R397" t="s">
        <v>192</v>
      </c>
      <c r="S397" t="s">
        <v>58</v>
      </c>
      <c r="T397" t="s">
        <v>2438</v>
      </c>
      <c r="U397" s="3" t="s">
        <v>1</v>
      </c>
      <c r="V397" s="3" t="s">
        <v>2439</v>
      </c>
      <c r="W397" s="3" t="s">
        <v>2440</v>
      </c>
      <c r="X397" t="s">
        <v>2441</v>
      </c>
      <c r="Y397">
        <v>7</v>
      </c>
      <c r="Z397">
        <v>0.5</v>
      </c>
      <c r="AA397">
        <f>IF('Στατιστικά'!$C$6,1,IFERROR(INDEX('Στατιστικά'!$C$10:$C$83,MATCH(G397,'Στατιστικά'!$B$10:$B$83,0))*1,0))</f>
        <v>1</v>
      </c>
    </row>
    <row r="398" spans="1:27">
      <c r="A398" s="2">
        <v>46225</v>
      </c>
      <c r="B398" t="s">
        <v>2442</v>
      </c>
      <c r="C398" t="s">
        <v>561</v>
      </c>
      <c r="D398" t="s">
        <v>1</v>
      </c>
      <c r="E398" t="s">
        <v>2443</v>
      </c>
      <c r="F398" t="s">
        <v>324</v>
      </c>
      <c r="G398" t="s">
        <v>1102</v>
      </c>
      <c r="H398" t="s">
        <v>1102</v>
      </c>
      <c r="M398" t="s">
        <v>1</v>
      </c>
      <c r="N398" t="s">
        <v>1</v>
      </c>
      <c r="O398" t="s">
        <v>1</v>
      </c>
      <c r="Q398">
        <v>3</v>
      </c>
      <c r="R398" t="s">
        <v>79</v>
      </c>
      <c r="S398" t="s">
        <v>107</v>
      </c>
      <c r="T398" t="s">
        <v>1</v>
      </c>
      <c r="U398" s="3" t="s">
        <v>1</v>
      </c>
      <c r="V398" s="3" t="s">
        <v>2444</v>
      </c>
      <c r="W398" s="3" t="s">
        <v>2445</v>
      </c>
      <c r="X398" t="s">
        <v>2446</v>
      </c>
      <c r="Y398">
        <v>7</v>
      </c>
      <c r="Z398">
        <v>0</v>
      </c>
      <c r="AA398">
        <f>IF('Στατιστικά'!$C$6,1,IFERROR(INDEX('Στατιστικά'!$C$10:$C$83,MATCH(G398,'Στατιστικά'!$B$10:$B$83,0))*1,0))</f>
        <v>1</v>
      </c>
    </row>
    <row r="399" spans="1:27">
      <c r="A399" s="2">
        <v>46225</v>
      </c>
      <c r="B399" t="s">
        <v>668</v>
      </c>
      <c r="C399" t="s">
        <v>1</v>
      </c>
      <c r="D399" t="s">
        <v>1</v>
      </c>
      <c r="E399" t="s">
        <v>2447</v>
      </c>
      <c r="F399" t="s">
        <v>469</v>
      </c>
      <c r="G399" t="s">
        <v>1336</v>
      </c>
      <c r="H399" t="s">
        <v>2448</v>
      </c>
      <c r="I399">
        <v>16</v>
      </c>
      <c r="J399">
        <v>4</v>
      </c>
      <c r="K399">
        <v>4</v>
      </c>
      <c r="L399">
        <v>1</v>
      </c>
      <c r="M399" t="s">
        <v>2449</v>
      </c>
      <c r="N399" t="s">
        <v>2450</v>
      </c>
      <c r="O399" t="s">
        <v>1</v>
      </c>
      <c r="Q399">
        <v>3</v>
      </c>
      <c r="R399" t="s">
        <v>79</v>
      </c>
      <c r="S399" t="s">
        <v>58</v>
      </c>
      <c r="T399" t="s">
        <v>2451</v>
      </c>
      <c r="U399" s="3" t="s">
        <v>2452</v>
      </c>
      <c r="V399" s="3" t="s">
        <v>2453</v>
      </c>
      <c r="W399" s="3" t="s">
        <v>2454</v>
      </c>
      <c r="X399" t="s">
        <v>2063</v>
      </c>
      <c r="Y399">
        <v>7</v>
      </c>
      <c r="Z399">
        <v>0</v>
      </c>
      <c r="AA399">
        <f>IF('Στατιστικά'!$C$6,1,IFERROR(INDEX('Στατιστικά'!$C$10:$C$83,MATCH(G399,'Στατιστικά'!$B$10:$B$83,0))*1,0))</f>
        <v>1</v>
      </c>
    </row>
    <row r="400" spans="1:27">
      <c r="A400" s="2">
        <v>46225</v>
      </c>
      <c r="B400" t="s">
        <v>668</v>
      </c>
      <c r="C400" t="s">
        <v>1</v>
      </c>
      <c r="D400" t="s">
        <v>1</v>
      </c>
      <c r="E400" t="s">
        <v>2447</v>
      </c>
      <c r="F400" t="s">
        <v>469</v>
      </c>
      <c r="G400" t="s">
        <v>2455</v>
      </c>
      <c r="H400" t="s">
        <v>2456</v>
      </c>
      <c r="I400">
        <v>16</v>
      </c>
      <c r="J400">
        <v>4</v>
      </c>
      <c r="K400">
        <v>4</v>
      </c>
      <c r="L400">
        <v>1</v>
      </c>
      <c r="M400" t="s">
        <v>2457</v>
      </c>
      <c r="N400" t="s">
        <v>2450</v>
      </c>
      <c r="O400" t="s">
        <v>1</v>
      </c>
      <c r="Q400">
        <v>3</v>
      </c>
      <c r="R400" t="s">
        <v>79</v>
      </c>
      <c r="S400" t="s">
        <v>80</v>
      </c>
      <c r="T400" t="s">
        <v>2458</v>
      </c>
      <c r="U400" s="3" t="s">
        <v>2459</v>
      </c>
      <c r="V400" s="3" t="s">
        <v>2460</v>
      </c>
      <c r="W400" s="3" t="s">
        <v>2461</v>
      </c>
      <c r="X400" t="s">
        <v>2063</v>
      </c>
      <c r="Y400">
        <v>7</v>
      </c>
      <c r="Z400">
        <v>0</v>
      </c>
      <c r="AA400">
        <f>IF('Στατιστικά'!$C$6,1,IFERROR(INDEX('Στατιστικά'!$C$10:$C$83,MATCH(G400,'Στατιστικά'!$B$10:$B$83,0))*1,0))</f>
        <v>1</v>
      </c>
    </row>
    <row r="401" spans="1:27">
      <c r="A401" s="2">
        <v>46225</v>
      </c>
      <c r="B401" t="s">
        <v>410</v>
      </c>
      <c r="C401" t="s">
        <v>607</v>
      </c>
      <c r="D401" t="s">
        <v>1</v>
      </c>
      <c r="E401" t="s">
        <v>2462</v>
      </c>
      <c r="F401" t="s">
        <v>38</v>
      </c>
      <c r="G401" t="s">
        <v>15</v>
      </c>
      <c r="H401" t="s">
        <v>593</v>
      </c>
      <c r="I401">
        <v>65</v>
      </c>
      <c r="J401">
        <v>20</v>
      </c>
      <c r="K401">
        <v>2</v>
      </c>
      <c r="L401">
        <v>1</v>
      </c>
      <c r="M401" t="s">
        <v>2463</v>
      </c>
      <c r="N401" t="s">
        <v>2464</v>
      </c>
      <c r="O401" t="s">
        <v>239</v>
      </c>
      <c r="Q401">
        <v>5</v>
      </c>
      <c r="R401" t="s">
        <v>192</v>
      </c>
      <c r="S401" t="s">
        <v>80</v>
      </c>
      <c r="T401" t="s">
        <v>2465</v>
      </c>
      <c r="U401" s="3" t="s">
        <v>1</v>
      </c>
      <c r="V401" s="3" t="s">
        <v>2466</v>
      </c>
      <c r="W401" s="3" t="s">
        <v>2467</v>
      </c>
      <c r="X401" t="s">
        <v>2063</v>
      </c>
      <c r="Y401">
        <v>7</v>
      </c>
      <c r="Z401">
        <v>0</v>
      </c>
      <c r="AA401">
        <f>IF('Στατιστικά'!$C$6,1,IFERROR(INDEX('Στατιστικά'!$C$10:$C$83,MATCH(G401,'Στατιστικά'!$B$10:$B$83,0))*1,0))</f>
        <v>1</v>
      </c>
    </row>
    <row r="402" spans="1:27">
      <c r="A402" s="2">
        <v>46225</v>
      </c>
      <c r="B402" t="s">
        <v>422</v>
      </c>
      <c r="C402" t="s">
        <v>1</v>
      </c>
      <c r="D402" t="s">
        <v>1</v>
      </c>
      <c r="E402" t="s">
        <v>2468</v>
      </c>
      <c r="F402" t="s">
        <v>141</v>
      </c>
      <c r="G402" t="s">
        <v>1352</v>
      </c>
      <c r="H402" t="s">
        <v>2469</v>
      </c>
      <c r="I402">
        <v>88</v>
      </c>
      <c r="J402">
        <v>19</v>
      </c>
      <c r="K402">
        <v>8</v>
      </c>
      <c r="L402">
        <v>4</v>
      </c>
      <c r="M402" t="s">
        <v>2470</v>
      </c>
      <c r="N402" t="s">
        <v>2471</v>
      </c>
      <c r="O402" t="s">
        <v>1</v>
      </c>
      <c r="P402">
        <v>50</v>
      </c>
      <c r="R402" t="s">
        <v>1</v>
      </c>
      <c r="S402" t="s">
        <v>58</v>
      </c>
      <c r="T402" t="s">
        <v>2472</v>
      </c>
      <c r="U402" s="3" t="s">
        <v>1</v>
      </c>
      <c r="V402" s="3" t="s">
        <v>2473</v>
      </c>
      <c r="W402" s="3" t="s">
        <v>4579</v>
      </c>
      <c r="X402" t="s">
        <v>2063</v>
      </c>
      <c r="Y402">
        <v>7</v>
      </c>
      <c r="Z402">
        <v>0</v>
      </c>
      <c r="AA402">
        <f>IF('Στατιστικά'!$C$6,1,IFERROR(INDEX('Στατιστικά'!$C$10:$C$83,MATCH(G402,'Στατιστικά'!$B$10:$B$83,0))*1,0))</f>
        <v>1</v>
      </c>
    </row>
    <row r="403" spans="1:27">
      <c r="A403" s="2">
        <v>46225</v>
      </c>
      <c r="B403" t="s">
        <v>422</v>
      </c>
      <c r="C403" t="s">
        <v>118</v>
      </c>
      <c r="D403" t="s">
        <v>1</v>
      </c>
      <c r="E403" t="s">
        <v>2475</v>
      </c>
      <c r="F403" t="s">
        <v>74</v>
      </c>
      <c r="G403" t="s">
        <v>1140</v>
      </c>
      <c r="H403" t="s">
        <v>2476</v>
      </c>
      <c r="I403">
        <v>35</v>
      </c>
      <c r="J403">
        <v>10</v>
      </c>
      <c r="K403">
        <v>0</v>
      </c>
      <c r="L403">
        <v>2</v>
      </c>
      <c r="M403" t="s">
        <v>688</v>
      </c>
      <c r="N403" t="s">
        <v>2477</v>
      </c>
      <c r="O403" t="s">
        <v>1</v>
      </c>
      <c r="Q403">
        <v>3</v>
      </c>
      <c r="R403" t="s">
        <v>79</v>
      </c>
      <c r="S403" t="s">
        <v>80</v>
      </c>
      <c r="T403" t="s">
        <v>2478</v>
      </c>
      <c r="U403" s="3" t="s">
        <v>1</v>
      </c>
      <c r="V403" s="3" t="s">
        <v>2479</v>
      </c>
      <c r="W403" s="3" t="s">
        <v>2480</v>
      </c>
      <c r="X403" t="s">
        <v>2063</v>
      </c>
      <c r="Y403">
        <v>7</v>
      </c>
      <c r="Z403">
        <v>0</v>
      </c>
      <c r="AA403">
        <f>IF('Στατιστικά'!$C$6,1,IFERROR(INDEX('Στατιστικά'!$C$10:$C$83,MATCH(G403,'Στατιστικά'!$B$10:$B$83,0))*1,0))</f>
        <v>1</v>
      </c>
    </row>
    <row r="404" spans="1:27">
      <c r="A404" s="2">
        <v>46225</v>
      </c>
      <c r="B404" t="s">
        <v>182</v>
      </c>
      <c r="C404" t="s">
        <v>1</v>
      </c>
      <c r="D404" t="s">
        <v>1</v>
      </c>
      <c r="E404" t="s">
        <v>2481</v>
      </c>
      <c r="F404" t="s">
        <v>217</v>
      </c>
      <c r="G404" t="s">
        <v>412</v>
      </c>
      <c r="H404" t="s">
        <v>998</v>
      </c>
      <c r="I404">
        <v>23</v>
      </c>
      <c r="J404">
        <v>8</v>
      </c>
      <c r="K404">
        <v>4</v>
      </c>
      <c r="L404">
        <v>0</v>
      </c>
      <c r="M404" t="s">
        <v>2482</v>
      </c>
      <c r="N404" t="s">
        <v>419</v>
      </c>
      <c r="O404" t="s">
        <v>239</v>
      </c>
      <c r="P404" t="s">
        <v>4797</v>
      </c>
      <c r="Q404">
        <v>4</v>
      </c>
      <c r="R404" t="s">
        <v>137</v>
      </c>
      <c r="S404" t="s">
        <v>107</v>
      </c>
      <c r="T404" t="s">
        <v>1</v>
      </c>
      <c r="U404" s="3" t="s">
        <v>1</v>
      </c>
      <c r="V404" s="3" t="s">
        <v>2483</v>
      </c>
      <c r="W404" s="3" t="s">
        <v>4798</v>
      </c>
      <c r="X404" t="s">
        <v>2241</v>
      </c>
      <c r="Y404">
        <v>7</v>
      </c>
      <c r="Z404">
        <v>0</v>
      </c>
      <c r="AA404">
        <f>IF('Στατιστικά'!$C$6,1,IFERROR(INDEX('Στατιστικά'!$C$10:$C$83,MATCH(G404,'Στατιστικά'!$B$10:$B$83,0))*1,0))</f>
        <v>1</v>
      </c>
    </row>
    <row r="405" spans="1:27">
      <c r="A405" s="2">
        <v>46225</v>
      </c>
      <c r="B405" t="s">
        <v>1</v>
      </c>
      <c r="C405" t="s">
        <v>1</v>
      </c>
      <c r="D405" t="s">
        <v>1</v>
      </c>
      <c r="E405" t="s">
        <v>2485</v>
      </c>
      <c r="F405" t="s">
        <v>3</v>
      </c>
      <c r="G405" t="s">
        <v>4</v>
      </c>
      <c r="H405" t="s">
        <v>2486</v>
      </c>
      <c r="M405" t="s">
        <v>2487</v>
      </c>
      <c r="N405" t="s">
        <v>1</v>
      </c>
      <c r="O405" t="s">
        <v>2488</v>
      </c>
      <c r="Q405">
        <v>3</v>
      </c>
      <c r="R405" t="s">
        <v>79</v>
      </c>
      <c r="S405" t="s">
        <v>58</v>
      </c>
      <c r="T405" t="s">
        <v>98</v>
      </c>
      <c r="U405" s="3" t="s">
        <v>1</v>
      </c>
      <c r="V405" s="3" t="s">
        <v>2489</v>
      </c>
      <c r="W405" s="3" t="s">
        <v>2490</v>
      </c>
      <c r="X405" t="s">
        <v>2063</v>
      </c>
      <c r="Y405">
        <v>7</v>
      </c>
      <c r="Z405">
        <v>0</v>
      </c>
      <c r="AA405">
        <f>IF('Στατιστικά'!$C$6,1,IFERROR(INDEX('Στατιστικά'!$C$10:$C$83,MATCH(G405,'Στατιστικά'!$B$10:$B$83,0))*1,0))</f>
        <v>1</v>
      </c>
    </row>
    <row r="406" spans="1:27">
      <c r="A406" s="2">
        <v>46225</v>
      </c>
      <c r="B406" t="s">
        <v>1</v>
      </c>
      <c r="C406" t="s">
        <v>1</v>
      </c>
      <c r="D406" t="s">
        <v>1</v>
      </c>
      <c r="E406" t="s">
        <v>2491</v>
      </c>
      <c r="F406" t="s">
        <v>324</v>
      </c>
      <c r="G406" t="s">
        <v>1102</v>
      </c>
      <c r="H406" t="s">
        <v>1087</v>
      </c>
      <c r="M406" t="s">
        <v>1</v>
      </c>
      <c r="N406" t="s">
        <v>296</v>
      </c>
      <c r="O406" t="s">
        <v>106</v>
      </c>
      <c r="Q406">
        <v>3</v>
      </c>
      <c r="R406" t="s">
        <v>79</v>
      </c>
      <c r="S406" t="s">
        <v>107</v>
      </c>
      <c r="T406" t="s">
        <v>1</v>
      </c>
      <c r="U406" s="3" t="s">
        <v>1</v>
      </c>
      <c r="V406" s="3" t="s">
        <v>2492</v>
      </c>
      <c r="W406" s="3" t="s">
        <v>2493</v>
      </c>
      <c r="X406" t="s">
        <v>2441</v>
      </c>
      <c r="Y406">
        <v>7</v>
      </c>
      <c r="Z406">
        <v>0</v>
      </c>
      <c r="AA406">
        <f>IF('Στατιστικά'!$C$6,1,IFERROR(INDEX('Στατιστικά'!$C$10:$C$83,MATCH(G406,'Στατιστικά'!$B$10:$B$83,0))*1,0))</f>
        <v>1</v>
      </c>
    </row>
    <row r="407" spans="1:27">
      <c r="A407" s="2">
        <v>46225</v>
      </c>
      <c r="B407" t="s">
        <v>1</v>
      </c>
      <c r="C407" t="s">
        <v>1</v>
      </c>
      <c r="D407" t="s">
        <v>1</v>
      </c>
      <c r="E407" t="s">
        <v>2494</v>
      </c>
      <c r="F407" t="s">
        <v>64</v>
      </c>
      <c r="G407" t="s">
        <v>130</v>
      </c>
      <c r="H407" t="s">
        <v>1832</v>
      </c>
      <c r="I407">
        <v>20</v>
      </c>
      <c r="J407">
        <v>4</v>
      </c>
      <c r="M407" t="s">
        <v>2335</v>
      </c>
      <c r="N407" t="s">
        <v>1</v>
      </c>
      <c r="O407" t="s">
        <v>1</v>
      </c>
      <c r="P407" t="s">
        <v>4799</v>
      </c>
      <c r="Q407">
        <v>3</v>
      </c>
      <c r="R407" t="s">
        <v>79</v>
      </c>
      <c r="S407" t="s">
        <v>47</v>
      </c>
      <c r="T407" t="s">
        <v>1</v>
      </c>
      <c r="U407" s="3" t="s">
        <v>1</v>
      </c>
      <c r="V407" s="3" t="s">
        <v>2495</v>
      </c>
      <c r="W407" s="3" t="s">
        <v>4800</v>
      </c>
      <c r="X407" t="s">
        <v>2241</v>
      </c>
      <c r="Y407">
        <v>7</v>
      </c>
      <c r="Z407">
        <v>0</v>
      </c>
      <c r="AA407">
        <f>IF('Στατιστικά'!$C$6,1,IFERROR(INDEX('Στατιστικά'!$C$10:$C$83,MATCH(G407,'Στατιστικά'!$B$10:$B$83,0))*1,0))</f>
        <v>1</v>
      </c>
    </row>
    <row r="408" spans="1:27">
      <c r="A408" s="2">
        <v>46224</v>
      </c>
      <c r="B408" t="s">
        <v>1900</v>
      </c>
      <c r="C408" t="s">
        <v>1513</v>
      </c>
      <c r="D408" t="s">
        <v>1</v>
      </c>
      <c r="E408" t="s">
        <v>2497</v>
      </c>
      <c r="F408" t="s">
        <v>120</v>
      </c>
      <c r="G408" t="s">
        <v>1496</v>
      </c>
      <c r="H408" t="s">
        <v>2417</v>
      </c>
      <c r="L408">
        <v>1</v>
      </c>
      <c r="M408" t="s">
        <v>1</v>
      </c>
      <c r="N408" t="s">
        <v>1</v>
      </c>
      <c r="O408" t="s">
        <v>2498</v>
      </c>
      <c r="Q408">
        <v>3</v>
      </c>
      <c r="R408" t="s">
        <v>79</v>
      </c>
      <c r="S408" t="s">
        <v>80</v>
      </c>
      <c r="T408" t="s">
        <v>1</v>
      </c>
      <c r="U408" s="3" t="s">
        <v>1</v>
      </c>
      <c r="V408" s="3" t="s">
        <v>2499</v>
      </c>
      <c r="W408" s="3" t="s">
        <v>2500</v>
      </c>
      <c r="X408" t="s">
        <v>2063</v>
      </c>
      <c r="Y408">
        <v>7</v>
      </c>
      <c r="Z408">
        <v>0</v>
      </c>
      <c r="AA408">
        <f>IF('Στατιστικά'!$C$6,1,IFERROR(INDEX('Στατιστικά'!$C$10:$C$83,MATCH(G408,'Στατιστικά'!$B$10:$B$83,0))*1,0))</f>
        <v>1</v>
      </c>
    </row>
    <row r="409" spans="1:27">
      <c r="A409" s="2">
        <v>46224</v>
      </c>
      <c r="B409" t="s">
        <v>381</v>
      </c>
      <c r="C409" t="s">
        <v>1</v>
      </c>
      <c r="D409" t="s">
        <v>1</v>
      </c>
      <c r="E409" t="s">
        <v>2501</v>
      </c>
      <c r="F409" t="s">
        <v>74</v>
      </c>
      <c r="G409" t="s">
        <v>136</v>
      </c>
      <c r="H409" t="s">
        <v>2502</v>
      </c>
      <c r="L409">
        <v>1</v>
      </c>
      <c r="M409" t="s">
        <v>1</v>
      </c>
      <c r="N409" t="s">
        <v>1</v>
      </c>
      <c r="O409" t="s">
        <v>1</v>
      </c>
      <c r="Q409">
        <v>2</v>
      </c>
      <c r="R409" t="s">
        <v>17</v>
      </c>
      <c r="S409" t="s">
        <v>80</v>
      </c>
      <c r="T409" t="s">
        <v>2503</v>
      </c>
      <c r="U409" s="3" t="s">
        <v>1</v>
      </c>
      <c r="V409" s="3" t="s">
        <v>2504</v>
      </c>
      <c r="W409" s="3" t="s">
        <v>2505</v>
      </c>
      <c r="X409" t="s">
        <v>2063</v>
      </c>
      <c r="Y409">
        <v>7</v>
      </c>
      <c r="Z409">
        <v>0</v>
      </c>
      <c r="AA409">
        <f>IF('Στατιστικά'!$C$6,1,IFERROR(INDEX('Στατιστικά'!$C$10:$C$83,MATCH(G409,'Στατιστικά'!$B$10:$B$83,0))*1,0))</f>
        <v>1</v>
      </c>
    </row>
    <row r="410" spans="1:27">
      <c r="A410" s="2">
        <v>46224</v>
      </c>
      <c r="B410" t="s">
        <v>2506</v>
      </c>
      <c r="C410" t="s">
        <v>1</v>
      </c>
      <c r="D410" t="s">
        <v>1</v>
      </c>
      <c r="E410" t="s">
        <v>1579</v>
      </c>
      <c r="F410" t="s">
        <v>217</v>
      </c>
      <c r="G410" t="s">
        <v>205</v>
      </c>
      <c r="H410" t="s">
        <v>1580</v>
      </c>
      <c r="I410">
        <v>30</v>
      </c>
      <c r="J410">
        <v>9</v>
      </c>
      <c r="K410">
        <v>1</v>
      </c>
      <c r="L410">
        <v>1</v>
      </c>
      <c r="M410" t="s">
        <v>360</v>
      </c>
      <c r="N410" t="s">
        <v>405</v>
      </c>
      <c r="O410" t="s">
        <v>1</v>
      </c>
      <c r="Q410">
        <v>3</v>
      </c>
      <c r="R410" t="s">
        <v>79</v>
      </c>
      <c r="S410" t="s">
        <v>891</v>
      </c>
      <c r="T410" t="s">
        <v>2507</v>
      </c>
      <c r="U410" s="3" t="s">
        <v>2508</v>
      </c>
      <c r="V410" s="3" t="s">
        <v>2509</v>
      </c>
      <c r="W410" s="3" t="s">
        <v>2510</v>
      </c>
      <c r="X410" t="s">
        <v>2063</v>
      </c>
      <c r="Y410">
        <v>7</v>
      </c>
      <c r="Z410">
        <v>0</v>
      </c>
      <c r="AA410">
        <f>IF('Στατιστικά'!$C$6,1,IFERROR(INDEX('Στατιστικά'!$C$10:$C$83,MATCH(G410,'Στατιστικά'!$B$10:$B$83,0))*1,0))</f>
        <v>1</v>
      </c>
    </row>
    <row r="411" spans="1:27">
      <c r="A411" s="2">
        <v>46224</v>
      </c>
      <c r="B411" t="s">
        <v>422</v>
      </c>
      <c r="C411" t="s">
        <v>1</v>
      </c>
      <c r="D411" t="s">
        <v>1</v>
      </c>
      <c r="E411" t="s">
        <v>2511</v>
      </c>
      <c r="F411" t="s">
        <v>141</v>
      </c>
      <c r="G411" t="s">
        <v>2512</v>
      </c>
      <c r="H411" t="s">
        <v>2513</v>
      </c>
      <c r="I411">
        <v>88</v>
      </c>
      <c r="J411">
        <v>19</v>
      </c>
      <c r="K411">
        <v>8</v>
      </c>
      <c r="L411">
        <v>8</v>
      </c>
      <c r="M411" t="s">
        <v>2514</v>
      </c>
      <c r="N411" t="s">
        <v>2515</v>
      </c>
      <c r="O411" t="s">
        <v>1</v>
      </c>
      <c r="P411">
        <v>50</v>
      </c>
      <c r="Q411">
        <v>3</v>
      </c>
      <c r="R411" t="s">
        <v>79</v>
      </c>
      <c r="S411" t="s">
        <v>80</v>
      </c>
      <c r="T411" t="s">
        <v>2516</v>
      </c>
      <c r="U411" s="3" t="s">
        <v>1</v>
      </c>
      <c r="V411" s="3" t="s">
        <v>2517</v>
      </c>
      <c r="W411" s="3" t="s">
        <v>2518</v>
      </c>
      <c r="X411" t="s">
        <v>2063</v>
      </c>
      <c r="Y411">
        <v>7</v>
      </c>
      <c r="Z411">
        <v>50</v>
      </c>
      <c r="AA411">
        <f>IF('Στατιστικά'!$C$6,1,IFERROR(INDEX('Στατιστικά'!$C$10:$C$83,MATCH(G411,'Στατιστικά'!$B$10:$B$83,0))*1,0))</f>
        <v>1</v>
      </c>
    </row>
    <row r="412" spans="1:27">
      <c r="A412" s="2">
        <v>46224</v>
      </c>
      <c r="B412" t="s">
        <v>182</v>
      </c>
      <c r="C412" t="s">
        <v>1</v>
      </c>
      <c r="D412" t="s">
        <v>1</v>
      </c>
      <c r="E412" t="s">
        <v>2519</v>
      </c>
      <c r="F412" t="s">
        <v>74</v>
      </c>
      <c r="G412" t="s">
        <v>136</v>
      </c>
      <c r="H412" t="s">
        <v>2520</v>
      </c>
      <c r="I412">
        <v>55</v>
      </c>
      <c r="J412">
        <v>18</v>
      </c>
      <c r="K412">
        <v>2</v>
      </c>
      <c r="L412">
        <v>2</v>
      </c>
      <c r="M412" t="s">
        <v>2521</v>
      </c>
      <c r="N412" t="s">
        <v>2198</v>
      </c>
      <c r="O412" t="s">
        <v>1</v>
      </c>
      <c r="Q412">
        <v>3</v>
      </c>
      <c r="R412" t="s">
        <v>79</v>
      </c>
      <c r="S412" t="s">
        <v>80</v>
      </c>
      <c r="T412" t="s">
        <v>2522</v>
      </c>
      <c r="U412" s="3" t="s">
        <v>2523</v>
      </c>
      <c r="V412" s="3" t="s">
        <v>2524</v>
      </c>
      <c r="W412" s="3" t="s">
        <v>2525</v>
      </c>
      <c r="X412" t="s">
        <v>2063</v>
      </c>
      <c r="Y412">
        <v>7</v>
      </c>
      <c r="Z412">
        <v>0</v>
      </c>
      <c r="AA412">
        <f>IF('Στατιστικά'!$C$6,1,IFERROR(INDEX('Στατιστικά'!$C$10:$C$83,MATCH(G412,'Στατιστικά'!$B$10:$B$83,0))*1,0))</f>
        <v>1</v>
      </c>
    </row>
    <row r="413" spans="1:27">
      <c r="A413" s="2">
        <v>46224</v>
      </c>
      <c r="B413" t="s">
        <v>1</v>
      </c>
      <c r="C413" t="s">
        <v>1</v>
      </c>
      <c r="D413" t="s">
        <v>1</v>
      </c>
      <c r="E413" t="s">
        <v>2526</v>
      </c>
      <c r="F413" t="s">
        <v>74</v>
      </c>
      <c r="G413" t="s">
        <v>136</v>
      </c>
      <c r="H413" t="s">
        <v>2502</v>
      </c>
      <c r="M413" t="s">
        <v>1</v>
      </c>
      <c r="N413" t="s">
        <v>1</v>
      </c>
      <c r="O413" t="s">
        <v>1</v>
      </c>
      <c r="R413" t="s">
        <v>1</v>
      </c>
      <c r="S413" t="s">
        <v>107</v>
      </c>
      <c r="T413" t="s">
        <v>1</v>
      </c>
      <c r="U413" s="3" t="s">
        <v>1</v>
      </c>
      <c r="V413" s="3" t="s">
        <v>2527</v>
      </c>
      <c r="W413" s="3" t="s">
        <v>2528</v>
      </c>
      <c r="X413" t="s">
        <v>2063</v>
      </c>
      <c r="Y413">
        <v>7</v>
      </c>
      <c r="Z413">
        <v>0</v>
      </c>
      <c r="AA413">
        <f>IF('Στατιστικά'!$C$6,1,IFERROR(INDEX('Στατιστικά'!$C$10:$C$83,MATCH(G413,'Στατιστικά'!$B$10:$B$83,0))*1,0))</f>
        <v>1</v>
      </c>
    </row>
    <row r="414" spans="1:27">
      <c r="A414" s="2">
        <v>46224</v>
      </c>
      <c r="B414" t="s">
        <v>1</v>
      </c>
      <c r="C414" t="s">
        <v>1</v>
      </c>
      <c r="D414" t="s">
        <v>1</v>
      </c>
      <c r="E414" t="s">
        <v>2529</v>
      </c>
      <c r="F414" t="s">
        <v>120</v>
      </c>
      <c r="G414" t="s">
        <v>121</v>
      </c>
      <c r="H414" t="s">
        <v>2530</v>
      </c>
      <c r="M414" t="s">
        <v>1</v>
      </c>
      <c r="N414" t="s">
        <v>1</v>
      </c>
      <c r="O414" t="s">
        <v>1</v>
      </c>
      <c r="R414" t="s">
        <v>1</v>
      </c>
      <c r="S414" t="s">
        <v>1</v>
      </c>
      <c r="T414" t="s">
        <v>1</v>
      </c>
      <c r="U414" s="3" t="s">
        <v>1</v>
      </c>
      <c r="V414" s="3" t="s">
        <v>2531</v>
      </c>
      <c r="W414" s="3" t="s">
        <v>2532</v>
      </c>
      <c r="X414" t="s">
        <v>2533</v>
      </c>
      <c r="Y414">
        <v>7</v>
      </c>
      <c r="Z414">
        <v>0</v>
      </c>
      <c r="AA414">
        <f>IF('Στατιστικά'!$C$6,1,IFERROR(INDEX('Στατιστικά'!$C$10:$C$83,MATCH(G414,'Στατιστικά'!$B$10:$B$83,0))*1,0))</f>
        <v>1</v>
      </c>
    </row>
    <row r="415" spans="1:27">
      <c r="A415" s="2">
        <v>46223</v>
      </c>
      <c r="B415" t="s">
        <v>1900</v>
      </c>
      <c r="C415" t="s">
        <v>2534</v>
      </c>
      <c r="D415" t="s">
        <v>1</v>
      </c>
      <c r="E415" t="s">
        <v>2535</v>
      </c>
      <c r="F415" t="s">
        <v>86</v>
      </c>
      <c r="G415" t="s">
        <v>188</v>
      </c>
      <c r="H415" t="s">
        <v>2536</v>
      </c>
      <c r="I415">
        <v>48</v>
      </c>
      <c r="J415">
        <v>13</v>
      </c>
      <c r="K415">
        <v>0</v>
      </c>
      <c r="L415">
        <v>0</v>
      </c>
      <c r="M415" t="s">
        <v>2537</v>
      </c>
      <c r="N415" t="s">
        <v>2538</v>
      </c>
      <c r="O415" t="s">
        <v>2539</v>
      </c>
      <c r="Q415">
        <v>3</v>
      </c>
      <c r="R415" t="s">
        <v>79</v>
      </c>
      <c r="S415" t="s">
        <v>80</v>
      </c>
      <c r="T415" t="s">
        <v>2540</v>
      </c>
      <c r="U415" s="3" t="s">
        <v>1</v>
      </c>
      <c r="V415" s="3" t="s">
        <v>2541</v>
      </c>
      <c r="W415" s="3" t="s">
        <v>2542</v>
      </c>
      <c r="X415" t="s">
        <v>2144</v>
      </c>
      <c r="Y415">
        <v>7</v>
      </c>
      <c r="Z415">
        <v>0</v>
      </c>
      <c r="AA415">
        <f>IF('Στατιστικά'!$C$6,1,IFERROR(INDEX('Στατιστικά'!$C$10:$C$83,MATCH(G415,'Στατιστικά'!$B$10:$B$83,0))*1,0))</f>
        <v>1</v>
      </c>
    </row>
    <row r="416" spans="1:27">
      <c r="A416" s="2">
        <v>46223</v>
      </c>
      <c r="B416" t="s">
        <v>62</v>
      </c>
      <c r="C416" t="s">
        <v>1</v>
      </c>
      <c r="D416" t="s">
        <v>1</v>
      </c>
      <c r="E416" t="s">
        <v>2543</v>
      </c>
      <c r="F416" t="s">
        <v>64</v>
      </c>
      <c r="G416" t="s">
        <v>130</v>
      </c>
      <c r="H416" t="s">
        <v>1832</v>
      </c>
      <c r="I416">
        <v>35</v>
      </c>
      <c r="J416">
        <v>10</v>
      </c>
      <c r="K416">
        <v>0</v>
      </c>
      <c r="L416">
        <v>2</v>
      </c>
      <c r="M416" t="s">
        <v>56</v>
      </c>
      <c r="N416" t="s">
        <v>2544</v>
      </c>
      <c r="O416" t="s">
        <v>1</v>
      </c>
      <c r="Q416">
        <v>3</v>
      </c>
      <c r="R416" t="s">
        <v>79</v>
      </c>
      <c r="S416" t="s">
        <v>58</v>
      </c>
      <c r="T416" t="s">
        <v>2545</v>
      </c>
      <c r="U416" s="3" t="s">
        <v>1</v>
      </c>
      <c r="V416" s="3" t="s">
        <v>2546</v>
      </c>
      <c r="W416" s="3" t="s">
        <v>2547</v>
      </c>
      <c r="X416" t="s">
        <v>2320</v>
      </c>
      <c r="Y416">
        <v>7</v>
      </c>
      <c r="Z416">
        <v>0</v>
      </c>
      <c r="AA416">
        <f>IF('Στατιστικά'!$C$6,1,IFERROR(INDEX('Στατιστικά'!$C$10:$C$83,MATCH(G416,'Στατιστικά'!$B$10:$B$83,0))*1,0))</f>
        <v>1</v>
      </c>
    </row>
    <row r="417" spans="1:27">
      <c r="A417" s="2">
        <v>46223</v>
      </c>
      <c r="B417" t="s">
        <v>62</v>
      </c>
      <c r="C417" t="s">
        <v>42</v>
      </c>
      <c r="D417" t="s">
        <v>1</v>
      </c>
      <c r="E417" t="s">
        <v>2548</v>
      </c>
      <c r="F417" t="s">
        <v>64</v>
      </c>
      <c r="G417" t="s">
        <v>130</v>
      </c>
      <c r="H417" t="s">
        <v>2549</v>
      </c>
      <c r="I417">
        <v>35</v>
      </c>
      <c r="J417">
        <v>10</v>
      </c>
      <c r="L417">
        <v>2</v>
      </c>
      <c r="M417" t="s">
        <v>1039</v>
      </c>
      <c r="N417" t="s">
        <v>2550</v>
      </c>
      <c r="O417" t="s">
        <v>1</v>
      </c>
      <c r="Q417">
        <v>3</v>
      </c>
      <c r="R417" t="s">
        <v>79</v>
      </c>
      <c r="S417" t="s">
        <v>80</v>
      </c>
      <c r="T417" t="s">
        <v>2551</v>
      </c>
      <c r="U417" s="3" t="s">
        <v>1</v>
      </c>
      <c r="V417" s="3" t="s">
        <v>2552</v>
      </c>
      <c r="W417" s="3" t="s">
        <v>4580</v>
      </c>
      <c r="X417" t="s">
        <v>2144</v>
      </c>
      <c r="Y417">
        <v>7</v>
      </c>
      <c r="Z417">
        <v>0</v>
      </c>
      <c r="AA417">
        <f>IF('Στατιστικά'!$C$6,1,IFERROR(INDEX('Στατιστικά'!$C$10:$C$83,MATCH(G417,'Στατιστικά'!$B$10:$B$83,0))*1,0))</f>
        <v>1</v>
      </c>
    </row>
    <row r="418" spans="1:27">
      <c r="A418" s="2">
        <v>46223</v>
      </c>
      <c r="B418" t="s">
        <v>62</v>
      </c>
      <c r="C418" t="s">
        <v>1</v>
      </c>
      <c r="D418" t="s">
        <v>1</v>
      </c>
      <c r="E418" t="s">
        <v>2554</v>
      </c>
      <c r="F418" t="s">
        <v>353</v>
      </c>
      <c r="G418" t="s">
        <v>198</v>
      </c>
      <c r="H418" t="s">
        <v>2555</v>
      </c>
      <c r="I418">
        <v>18</v>
      </c>
      <c r="J418">
        <v>2</v>
      </c>
      <c r="K418">
        <v>1</v>
      </c>
      <c r="L418">
        <v>1</v>
      </c>
      <c r="M418" t="s">
        <v>2556</v>
      </c>
      <c r="N418" t="s">
        <v>1</v>
      </c>
      <c r="O418" t="s">
        <v>1</v>
      </c>
      <c r="P418" t="s">
        <v>4801</v>
      </c>
      <c r="Q418">
        <v>3</v>
      </c>
      <c r="R418" t="s">
        <v>79</v>
      </c>
      <c r="S418" t="s">
        <v>8</v>
      </c>
      <c r="T418" t="s">
        <v>98</v>
      </c>
      <c r="U418" s="3" t="s">
        <v>1</v>
      </c>
      <c r="V418" s="3" t="s">
        <v>2557</v>
      </c>
      <c r="W418" s="3" t="s">
        <v>4802</v>
      </c>
      <c r="X418" t="s">
        <v>2441</v>
      </c>
      <c r="Y418">
        <v>7</v>
      </c>
      <c r="Z418">
        <v>0</v>
      </c>
      <c r="AA418">
        <f>IF('Στατιστικά'!$C$6,1,IFERROR(INDEX('Στατιστικά'!$C$10:$C$83,MATCH(G418,'Στατιστικά'!$B$10:$B$83,0))*1,0))</f>
        <v>1</v>
      </c>
    </row>
    <row r="419" spans="1:27">
      <c r="A419" s="2">
        <v>46223</v>
      </c>
      <c r="B419" t="s">
        <v>62</v>
      </c>
      <c r="C419" t="s">
        <v>1</v>
      </c>
      <c r="D419" t="s">
        <v>1</v>
      </c>
      <c r="E419" t="s">
        <v>2559</v>
      </c>
      <c r="F419" t="s">
        <v>160</v>
      </c>
      <c r="G419" t="s">
        <v>198</v>
      </c>
      <c r="H419" t="s">
        <v>2560</v>
      </c>
      <c r="I419">
        <v>18</v>
      </c>
      <c r="J419">
        <v>2</v>
      </c>
      <c r="K419">
        <v>1</v>
      </c>
      <c r="L419">
        <v>1</v>
      </c>
      <c r="M419" t="s">
        <v>2561</v>
      </c>
      <c r="N419" t="s">
        <v>1</v>
      </c>
      <c r="O419" t="s">
        <v>1</v>
      </c>
      <c r="R419" t="s">
        <v>1</v>
      </c>
      <c r="S419" t="s">
        <v>8</v>
      </c>
      <c r="T419" t="s">
        <v>2562</v>
      </c>
      <c r="U419" s="3" t="s">
        <v>1</v>
      </c>
      <c r="V419" s="3" t="s">
        <v>2563</v>
      </c>
      <c r="W419" s="3" t="s">
        <v>4581</v>
      </c>
      <c r="X419" t="s">
        <v>2446</v>
      </c>
      <c r="Y419">
        <v>7</v>
      </c>
      <c r="Z419">
        <v>0</v>
      </c>
      <c r="AA419">
        <f>IF('Στατιστικά'!$C$6,1,IFERROR(INDEX('Στατιστικά'!$C$10:$C$83,MATCH(G419,'Στατιστικά'!$B$10:$B$83,0))*1,0))</f>
        <v>1</v>
      </c>
    </row>
    <row r="420" spans="1:27">
      <c r="A420" s="2">
        <v>46223</v>
      </c>
      <c r="B420" t="s">
        <v>62</v>
      </c>
      <c r="C420" t="s">
        <v>1</v>
      </c>
      <c r="D420" t="s">
        <v>1</v>
      </c>
      <c r="E420" t="s">
        <v>2565</v>
      </c>
      <c r="F420" t="s">
        <v>160</v>
      </c>
      <c r="G420" t="s">
        <v>198</v>
      </c>
      <c r="H420" t="s">
        <v>2566</v>
      </c>
      <c r="I420">
        <v>18</v>
      </c>
      <c r="J420">
        <v>2</v>
      </c>
      <c r="K420">
        <v>1</v>
      </c>
      <c r="L420">
        <v>1</v>
      </c>
      <c r="M420" t="s">
        <v>2567</v>
      </c>
      <c r="N420" t="s">
        <v>1</v>
      </c>
      <c r="O420" t="s">
        <v>1</v>
      </c>
      <c r="Q420">
        <v>3</v>
      </c>
      <c r="R420" t="s">
        <v>79</v>
      </c>
      <c r="S420" t="s">
        <v>8</v>
      </c>
      <c r="T420" t="s">
        <v>1</v>
      </c>
      <c r="U420" s="3" t="s">
        <v>1</v>
      </c>
      <c r="V420" s="3" t="s">
        <v>2568</v>
      </c>
      <c r="W420" s="3" t="s">
        <v>4582</v>
      </c>
      <c r="X420" t="s">
        <v>2441</v>
      </c>
      <c r="Y420">
        <v>7</v>
      </c>
      <c r="Z420">
        <v>0</v>
      </c>
      <c r="AA420">
        <f>IF('Στατιστικά'!$C$6,1,IFERROR(INDEX('Στατιστικά'!$C$10:$C$83,MATCH(G420,'Στατιστικά'!$B$10:$B$83,0))*1,0))</f>
        <v>1</v>
      </c>
    </row>
    <row r="421" spans="1:27">
      <c r="A421" s="2">
        <v>46223</v>
      </c>
      <c r="B421" t="s">
        <v>926</v>
      </c>
      <c r="C421" t="s">
        <v>1</v>
      </c>
      <c r="D421" t="s">
        <v>1</v>
      </c>
      <c r="E421" t="s">
        <v>2570</v>
      </c>
      <c r="F421" t="s">
        <v>86</v>
      </c>
      <c r="G421" t="s">
        <v>2571</v>
      </c>
      <c r="H421" t="s">
        <v>2572</v>
      </c>
      <c r="I421">
        <v>23</v>
      </c>
      <c r="J421">
        <v>7</v>
      </c>
      <c r="K421">
        <v>0</v>
      </c>
      <c r="L421">
        <v>2</v>
      </c>
      <c r="M421" t="s">
        <v>1082</v>
      </c>
      <c r="N421" t="s">
        <v>1</v>
      </c>
      <c r="O421" t="s">
        <v>1</v>
      </c>
      <c r="P421" t="s">
        <v>4803</v>
      </c>
      <c r="Q421">
        <v>3</v>
      </c>
      <c r="R421" t="s">
        <v>79</v>
      </c>
      <c r="S421" t="s">
        <v>47</v>
      </c>
      <c r="T421" t="s">
        <v>1</v>
      </c>
      <c r="U421" s="3" t="s">
        <v>1</v>
      </c>
      <c r="V421" s="3" t="s">
        <v>2573</v>
      </c>
      <c r="W421" s="3" t="s">
        <v>4804</v>
      </c>
      <c r="X421" t="s">
        <v>2533</v>
      </c>
      <c r="Y421">
        <v>7</v>
      </c>
      <c r="Z421">
        <v>0</v>
      </c>
      <c r="AA421">
        <f>IF('Στατιστικά'!$C$6,1,IFERROR(INDEX('Στατιστικά'!$C$10:$C$83,MATCH(G421,'Στατιστικά'!$B$10:$B$83,0))*1,0))</f>
        <v>1</v>
      </c>
    </row>
    <row r="422" spans="1:27">
      <c r="A422" s="2">
        <v>46223</v>
      </c>
      <c r="B422" t="s">
        <v>926</v>
      </c>
      <c r="C422" t="s">
        <v>1</v>
      </c>
      <c r="D422" t="s">
        <v>1</v>
      </c>
      <c r="E422" t="s">
        <v>2575</v>
      </c>
      <c r="F422" t="s">
        <v>86</v>
      </c>
      <c r="G422" t="s">
        <v>111</v>
      </c>
      <c r="H422" t="s">
        <v>2576</v>
      </c>
      <c r="I422">
        <v>23</v>
      </c>
      <c r="J422">
        <v>7</v>
      </c>
      <c r="K422">
        <v>0</v>
      </c>
      <c r="L422">
        <v>2</v>
      </c>
      <c r="M422" t="s">
        <v>1309</v>
      </c>
      <c r="N422" t="s">
        <v>1</v>
      </c>
      <c r="O422" t="s">
        <v>1</v>
      </c>
      <c r="P422" t="s">
        <v>4805</v>
      </c>
      <c r="Q422">
        <v>3</v>
      </c>
      <c r="R422" t="s">
        <v>79</v>
      </c>
      <c r="S422" t="s">
        <v>107</v>
      </c>
      <c r="T422" t="s">
        <v>1903</v>
      </c>
      <c r="U422" s="3" t="s">
        <v>1</v>
      </c>
      <c r="V422" s="3" t="s">
        <v>2577</v>
      </c>
      <c r="W422" s="3" t="s">
        <v>4806</v>
      </c>
      <c r="X422" t="s">
        <v>2241</v>
      </c>
      <c r="Y422">
        <v>7</v>
      </c>
      <c r="Z422">
        <v>0</v>
      </c>
      <c r="AA422">
        <f>IF('Στατιστικά'!$C$6,1,IFERROR(INDEX('Στατιστικά'!$C$10:$C$83,MATCH(G422,'Στατιστικά'!$B$10:$B$83,0))*1,0))</f>
        <v>1</v>
      </c>
    </row>
    <row r="423" spans="1:27">
      <c r="A423" s="2">
        <v>46223</v>
      </c>
      <c r="B423" t="s">
        <v>926</v>
      </c>
      <c r="C423" t="s">
        <v>1</v>
      </c>
      <c r="D423" t="s">
        <v>1</v>
      </c>
      <c r="E423" t="s">
        <v>2579</v>
      </c>
      <c r="F423" t="s">
        <v>86</v>
      </c>
      <c r="G423" t="s">
        <v>111</v>
      </c>
      <c r="H423" t="s">
        <v>2576</v>
      </c>
      <c r="I423">
        <v>23</v>
      </c>
      <c r="J423">
        <v>7</v>
      </c>
      <c r="K423">
        <v>0</v>
      </c>
      <c r="L423">
        <v>2</v>
      </c>
      <c r="M423" t="s">
        <v>190</v>
      </c>
      <c r="N423" t="s">
        <v>2580</v>
      </c>
      <c r="O423" t="s">
        <v>1</v>
      </c>
      <c r="Q423">
        <v>3</v>
      </c>
      <c r="R423" t="s">
        <v>79</v>
      </c>
      <c r="S423" t="s">
        <v>47</v>
      </c>
      <c r="T423" t="s">
        <v>1</v>
      </c>
      <c r="U423" s="3" t="s">
        <v>1</v>
      </c>
      <c r="V423" s="3" t="s">
        <v>2581</v>
      </c>
      <c r="W423" s="3" t="s">
        <v>4583</v>
      </c>
      <c r="X423" t="s">
        <v>2441</v>
      </c>
      <c r="Y423">
        <v>7</v>
      </c>
      <c r="Z423">
        <v>0</v>
      </c>
      <c r="AA423">
        <f>IF('Στατιστικά'!$C$6,1,IFERROR(INDEX('Στατιστικά'!$C$10:$C$83,MATCH(G423,'Στατιστικά'!$B$10:$B$83,0))*1,0))</f>
        <v>1</v>
      </c>
    </row>
    <row r="424" spans="1:27">
      <c r="A424" s="2">
        <v>46223</v>
      </c>
      <c r="B424" t="s">
        <v>158</v>
      </c>
      <c r="C424" t="s">
        <v>1</v>
      </c>
      <c r="D424" t="s">
        <v>1</v>
      </c>
      <c r="E424" t="s">
        <v>2583</v>
      </c>
      <c r="F424" t="s">
        <v>44</v>
      </c>
      <c r="G424" t="s">
        <v>465</v>
      </c>
      <c r="H424" t="s">
        <v>2584</v>
      </c>
      <c r="I424">
        <v>30</v>
      </c>
      <c r="J424">
        <v>8</v>
      </c>
      <c r="K424">
        <v>5</v>
      </c>
      <c r="L424">
        <v>1</v>
      </c>
      <c r="M424" t="s">
        <v>452</v>
      </c>
      <c r="N424" t="s">
        <v>2585</v>
      </c>
      <c r="O424" t="s">
        <v>1</v>
      </c>
      <c r="Q424">
        <v>3</v>
      </c>
      <c r="R424" t="s">
        <v>79</v>
      </c>
      <c r="S424" t="s">
        <v>80</v>
      </c>
      <c r="T424" t="s">
        <v>98</v>
      </c>
      <c r="U424" s="3" t="s">
        <v>1</v>
      </c>
      <c r="V424" s="3" t="s">
        <v>2586</v>
      </c>
      <c r="W424" s="3" t="s">
        <v>2587</v>
      </c>
      <c r="X424" t="s">
        <v>2441</v>
      </c>
      <c r="Y424">
        <v>7</v>
      </c>
      <c r="Z424">
        <v>0</v>
      </c>
      <c r="AA424">
        <f>IF('Στατιστικά'!$C$6,1,IFERROR(INDEX('Στατιστικά'!$C$10:$C$83,MATCH(G424,'Στατιστικά'!$B$10:$B$83,0))*1,0))</f>
        <v>1</v>
      </c>
    </row>
    <row r="425" spans="1:27">
      <c r="A425" s="2">
        <v>46223</v>
      </c>
      <c r="B425" t="s">
        <v>158</v>
      </c>
      <c r="C425" t="s">
        <v>1</v>
      </c>
      <c r="D425" t="s">
        <v>1</v>
      </c>
      <c r="E425" t="s">
        <v>2583</v>
      </c>
      <c r="F425" t="s">
        <v>44</v>
      </c>
      <c r="G425" t="s">
        <v>1025</v>
      </c>
      <c r="H425" t="s">
        <v>2584</v>
      </c>
      <c r="I425">
        <v>30</v>
      </c>
      <c r="J425">
        <v>8</v>
      </c>
      <c r="K425">
        <v>5</v>
      </c>
      <c r="L425">
        <v>1</v>
      </c>
      <c r="M425" t="s">
        <v>452</v>
      </c>
      <c r="N425" t="s">
        <v>419</v>
      </c>
      <c r="O425" t="s">
        <v>1</v>
      </c>
      <c r="Q425">
        <v>3</v>
      </c>
      <c r="R425" t="s">
        <v>79</v>
      </c>
      <c r="S425" t="s">
        <v>80</v>
      </c>
      <c r="T425" t="s">
        <v>2588</v>
      </c>
      <c r="U425" s="3" t="s">
        <v>1</v>
      </c>
      <c r="V425" s="3" t="s">
        <v>2589</v>
      </c>
      <c r="W425" s="3" t="s">
        <v>4584</v>
      </c>
      <c r="X425" t="s">
        <v>2446</v>
      </c>
      <c r="Y425">
        <v>7</v>
      </c>
      <c r="Z425">
        <v>0</v>
      </c>
      <c r="AA425">
        <f>IF('Στατιστικά'!$C$6,1,IFERROR(INDEX('Στατιστικά'!$C$10:$C$83,MATCH(G425,'Στατιστικά'!$B$10:$B$83,0))*1,0))</f>
        <v>1</v>
      </c>
    </row>
    <row r="426" spans="1:27">
      <c r="A426" s="2">
        <v>46223</v>
      </c>
      <c r="B426" t="s">
        <v>679</v>
      </c>
      <c r="C426" t="s">
        <v>1</v>
      </c>
      <c r="D426" t="s">
        <v>1</v>
      </c>
      <c r="E426" t="s">
        <v>2591</v>
      </c>
      <c r="F426" t="s">
        <v>38</v>
      </c>
      <c r="G426" t="s">
        <v>15</v>
      </c>
      <c r="H426" t="s">
        <v>2592</v>
      </c>
      <c r="I426">
        <v>38</v>
      </c>
      <c r="J426">
        <v>12</v>
      </c>
      <c r="K426">
        <v>2</v>
      </c>
      <c r="L426">
        <v>2</v>
      </c>
      <c r="M426" t="s">
        <v>1682</v>
      </c>
      <c r="N426" t="s">
        <v>2593</v>
      </c>
      <c r="O426" t="s">
        <v>1</v>
      </c>
      <c r="Q426">
        <v>3</v>
      </c>
      <c r="R426" t="s">
        <v>79</v>
      </c>
      <c r="S426" t="s">
        <v>58</v>
      </c>
      <c r="T426" t="s">
        <v>2594</v>
      </c>
      <c r="U426" s="3" t="s">
        <v>1</v>
      </c>
      <c r="V426" s="3" t="s">
        <v>2595</v>
      </c>
      <c r="W426" s="3" t="s">
        <v>2596</v>
      </c>
      <c r="X426" t="s">
        <v>2320</v>
      </c>
      <c r="Y426">
        <v>7</v>
      </c>
      <c r="Z426">
        <v>0</v>
      </c>
      <c r="AA426">
        <f>IF('Στατιστικά'!$C$6,1,IFERROR(INDEX('Στατιστικά'!$C$10:$C$83,MATCH(G426,'Στατιστικά'!$B$10:$B$83,0))*1,0))</f>
        <v>1</v>
      </c>
    </row>
    <row r="427" spans="1:27">
      <c r="A427" s="2">
        <v>46223</v>
      </c>
      <c r="B427" t="s">
        <v>410</v>
      </c>
      <c r="C427" t="s">
        <v>1</v>
      </c>
      <c r="D427" t="s">
        <v>1</v>
      </c>
      <c r="E427" t="s">
        <v>2597</v>
      </c>
      <c r="F427" t="s">
        <v>74</v>
      </c>
      <c r="G427" t="s">
        <v>136</v>
      </c>
      <c r="H427" t="s">
        <v>896</v>
      </c>
      <c r="I427">
        <v>25</v>
      </c>
      <c r="J427">
        <v>5</v>
      </c>
      <c r="K427">
        <v>0</v>
      </c>
      <c r="L427">
        <v>1</v>
      </c>
      <c r="M427" t="s">
        <v>688</v>
      </c>
      <c r="N427" t="s">
        <v>1</v>
      </c>
      <c r="O427" t="s">
        <v>1</v>
      </c>
      <c r="P427" t="s">
        <v>4807</v>
      </c>
      <c r="Q427">
        <v>3</v>
      </c>
      <c r="R427" t="s">
        <v>79</v>
      </c>
      <c r="S427" t="s">
        <v>107</v>
      </c>
      <c r="T427" t="s">
        <v>2598</v>
      </c>
      <c r="U427" s="3" t="s">
        <v>1</v>
      </c>
      <c r="V427" s="3" t="s">
        <v>2599</v>
      </c>
      <c r="W427" s="3" t="s">
        <v>4808</v>
      </c>
      <c r="X427" t="s">
        <v>2441</v>
      </c>
      <c r="Y427">
        <v>7</v>
      </c>
      <c r="Z427">
        <v>0</v>
      </c>
      <c r="AA427">
        <f>IF('Στατιστικά'!$C$6,1,IFERROR(INDEX('Στατιστικά'!$C$10:$C$83,MATCH(G427,'Στατιστικά'!$B$10:$B$83,0))*1,0))</f>
        <v>1</v>
      </c>
    </row>
    <row r="428" spans="1:27">
      <c r="A428" s="2">
        <v>46223</v>
      </c>
      <c r="B428" t="s">
        <v>196</v>
      </c>
      <c r="C428" t="s">
        <v>2601</v>
      </c>
      <c r="D428" t="s">
        <v>1</v>
      </c>
      <c r="E428" t="s">
        <v>2602</v>
      </c>
      <c r="F428" t="s">
        <v>44</v>
      </c>
      <c r="G428" t="s">
        <v>45</v>
      </c>
      <c r="H428" t="s">
        <v>2603</v>
      </c>
      <c r="I428">
        <v>26</v>
      </c>
      <c r="J428">
        <v>9</v>
      </c>
      <c r="K428">
        <v>0</v>
      </c>
      <c r="L428">
        <v>3</v>
      </c>
      <c r="M428" t="s">
        <v>452</v>
      </c>
      <c r="N428" t="s">
        <v>2604</v>
      </c>
      <c r="O428" t="s">
        <v>1</v>
      </c>
      <c r="Q428">
        <v>3</v>
      </c>
      <c r="R428" t="s">
        <v>79</v>
      </c>
      <c r="S428" t="s">
        <v>891</v>
      </c>
      <c r="T428" t="s">
        <v>2605</v>
      </c>
      <c r="U428" s="3" t="s">
        <v>1</v>
      </c>
      <c r="V428" s="3" t="s">
        <v>2606</v>
      </c>
      <c r="W428" s="3" t="s">
        <v>2607</v>
      </c>
      <c r="X428" t="s">
        <v>2144</v>
      </c>
      <c r="Y428">
        <v>7</v>
      </c>
      <c r="Z428">
        <v>0</v>
      </c>
      <c r="AA428">
        <f>IF('Στατιστικά'!$C$6,1,IFERROR(INDEX('Στατιστικά'!$C$10:$C$83,MATCH(G428,'Στατιστικά'!$B$10:$B$83,0))*1,0))</f>
        <v>1</v>
      </c>
    </row>
    <row r="429" spans="1:27">
      <c r="A429" s="2">
        <v>46223</v>
      </c>
      <c r="B429" t="s">
        <v>1</v>
      </c>
      <c r="C429" t="s">
        <v>1</v>
      </c>
      <c r="D429" t="s">
        <v>1</v>
      </c>
      <c r="E429" t="s">
        <v>2608</v>
      </c>
      <c r="F429" t="s">
        <v>38</v>
      </c>
      <c r="G429" t="s">
        <v>15</v>
      </c>
      <c r="H429" t="s">
        <v>1</v>
      </c>
      <c r="I429">
        <v>38</v>
      </c>
      <c r="J429">
        <v>12</v>
      </c>
      <c r="K429">
        <v>2</v>
      </c>
      <c r="L429">
        <v>2</v>
      </c>
      <c r="M429" t="s">
        <v>1682</v>
      </c>
      <c r="N429" t="s">
        <v>2609</v>
      </c>
      <c r="O429" t="s">
        <v>1</v>
      </c>
      <c r="Q429">
        <v>3</v>
      </c>
      <c r="R429" t="s">
        <v>79</v>
      </c>
      <c r="S429" t="s">
        <v>58</v>
      </c>
      <c r="T429" t="s">
        <v>2594</v>
      </c>
      <c r="U429" s="3" t="s">
        <v>1</v>
      </c>
      <c r="V429" s="3" t="s">
        <v>2610</v>
      </c>
      <c r="W429" s="3" t="s">
        <v>4585</v>
      </c>
      <c r="X429" t="s">
        <v>2320</v>
      </c>
      <c r="Y429">
        <v>7</v>
      </c>
      <c r="Z429">
        <v>0</v>
      </c>
      <c r="AA429">
        <f>IF('Στατιστικά'!$C$6,1,IFERROR(INDEX('Στατιστικά'!$C$10:$C$83,MATCH(G429,'Στατιστικά'!$B$10:$B$83,0))*1,0))</f>
        <v>1</v>
      </c>
    </row>
    <row r="430" spans="1:27">
      <c r="A430" s="2">
        <v>46222</v>
      </c>
      <c r="B430" t="s">
        <v>926</v>
      </c>
      <c r="C430" t="s">
        <v>643</v>
      </c>
      <c r="D430" t="s">
        <v>1</v>
      </c>
      <c r="E430" t="s">
        <v>2612</v>
      </c>
      <c r="F430" t="s">
        <v>15</v>
      </c>
      <c r="G430" t="s">
        <v>15</v>
      </c>
      <c r="H430" t="s">
        <v>39</v>
      </c>
      <c r="I430">
        <v>78</v>
      </c>
      <c r="J430">
        <v>30</v>
      </c>
      <c r="K430">
        <v>2</v>
      </c>
      <c r="L430">
        <v>3</v>
      </c>
      <c r="M430" t="s">
        <v>2613</v>
      </c>
      <c r="N430" t="s">
        <v>2614</v>
      </c>
      <c r="O430" t="s">
        <v>106</v>
      </c>
      <c r="Q430">
        <v>3</v>
      </c>
      <c r="R430" t="s">
        <v>79</v>
      </c>
      <c r="S430" t="s">
        <v>58</v>
      </c>
      <c r="T430" t="s">
        <v>2615</v>
      </c>
      <c r="U430" s="3" t="s">
        <v>2616</v>
      </c>
      <c r="V430" s="3" t="s">
        <v>2617</v>
      </c>
      <c r="W430" s="3" t="s">
        <v>2618</v>
      </c>
      <c r="X430" t="s">
        <v>2320</v>
      </c>
      <c r="Y430">
        <v>7</v>
      </c>
      <c r="Z430">
        <v>0</v>
      </c>
      <c r="AA430">
        <f>IF('Στατιστικά'!$C$6,1,IFERROR(INDEX('Στατιστικά'!$C$10:$C$83,MATCH(G430,'Στατιστικά'!$B$10:$B$83,0))*1,0))</f>
        <v>1</v>
      </c>
    </row>
    <row r="431" spans="1:27">
      <c r="A431" s="2">
        <v>46222</v>
      </c>
      <c r="B431" t="s">
        <v>410</v>
      </c>
      <c r="C431" t="s">
        <v>607</v>
      </c>
      <c r="D431" t="s">
        <v>1</v>
      </c>
      <c r="E431" t="s">
        <v>2619</v>
      </c>
      <c r="F431" t="s">
        <v>53</v>
      </c>
      <c r="G431" t="s">
        <v>54</v>
      </c>
      <c r="H431" t="s">
        <v>1038</v>
      </c>
      <c r="I431">
        <v>20</v>
      </c>
      <c r="J431">
        <v>8</v>
      </c>
      <c r="K431">
        <v>0</v>
      </c>
      <c r="L431">
        <v>0</v>
      </c>
      <c r="M431" t="s">
        <v>1</v>
      </c>
      <c r="N431" t="s">
        <v>2620</v>
      </c>
      <c r="O431" t="s">
        <v>1</v>
      </c>
      <c r="P431" t="s">
        <v>4809</v>
      </c>
      <c r="Q431">
        <v>2</v>
      </c>
      <c r="R431" t="s">
        <v>17</v>
      </c>
      <c r="S431" t="s">
        <v>80</v>
      </c>
      <c r="T431" t="s">
        <v>2621</v>
      </c>
      <c r="U431" s="3" t="s">
        <v>1</v>
      </c>
      <c r="V431" s="3" t="s">
        <v>2622</v>
      </c>
      <c r="W431" s="3" t="s">
        <v>4810</v>
      </c>
      <c r="X431" t="s">
        <v>2387</v>
      </c>
      <c r="Y431">
        <v>7</v>
      </c>
      <c r="Z431">
        <v>0</v>
      </c>
      <c r="AA431">
        <f>IF('Στατιστικά'!$C$6,1,IFERROR(INDEX('Στατιστικά'!$C$10:$C$83,MATCH(G431,'Στατιστικά'!$B$10:$B$83,0))*1,0))</f>
        <v>1</v>
      </c>
    </row>
    <row r="432" spans="1:27">
      <c r="A432" s="2">
        <v>46222</v>
      </c>
      <c r="B432" t="s">
        <v>2624</v>
      </c>
      <c r="C432" t="s">
        <v>1</v>
      </c>
      <c r="D432" t="s">
        <v>1</v>
      </c>
      <c r="E432" t="s">
        <v>2625</v>
      </c>
      <c r="F432" t="s">
        <v>450</v>
      </c>
      <c r="G432" t="s">
        <v>174</v>
      </c>
      <c r="H432" t="s">
        <v>2626</v>
      </c>
      <c r="I432">
        <v>28</v>
      </c>
      <c r="J432">
        <v>9</v>
      </c>
      <c r="K432">
        <v>7</v>
      </c>
      <c r="L432">
        <v>2</v>
      </c>
      <c r="M432" t="s">
        <v>2627</v>
      </c>
      <c r="N432" t="s">
        <v>2628</v>
      </c>
      <c r="O432" t="s">
        <v>1</v>
      </c>
      <c r="Q432">
        <v>3</v>
      </c>
      <c r="R432" t="s">
        <v>79</v>
      </c>
      <c r="S432" t="s">
        <v>80</v>
      </c>
      <c r="T432" t="s">
        <v>2629</v>
      </c>
      <c r="U432" s="3" t="s">
        <v>2630</v>
      </c>
      <c r="V432" s="3" t="s">
        <v>2631</v>
      </c>
      <c r="W432" s="3" t="s">
        <v>2632</v>
      </c>
      <c r="X432" t="s">
        <v>2446</v>
      </c>
      <c r="Y432">
        <v>7</v>
      </c>
      <c r="Z432">
        <v>0</v>
      </c>
      <c r="AA432">
        <f>IF('Στατιστικά'!$C$6,1,IFERROR(INDEX('Στατιστικά'!$C$10:$C$83,MATCH(G432,'Στατιστικά'!$B$10:$B$83,0))*1,0))</f>
        <v>1</v>
      </c>
    </row>
    <row r="433" spans="1:27">
      <c r="A433" s="2">
        <v>46222</v>
      </c>
      <c r="B433" t="s">
        <v>182</v>
      </c>
      <c r="C433" t="s">
        <v>410</v>
      </c>
      <c r="D433" t="s">
        <v>1</v>
      </c>
      <c r="E433" t="s">
        <v>2633</v>
      </c>
      <c r="F433" t="s">
        <v>15</v>
      </c>
      <c r="G433" t="s">
        <v>15</v>
      </c>
      <c r="H433" t="s">
        <v>827</v>
      </c>
      <c r="I433">
        <v>100</v>
      </c>
      <c r="J433">
        <v>27</v>
      </c>
      <c r="K433">
        <v>8</v>
      </c>
      <c r="L433">
        <v>2</v>
      </c>
      <c r="M433" t="s">
        <v>2634</v>
      </c>
      <c r="N433" t="s">
        <v>2635</v>
      </c>
      <c r="O433" t="s">
        <v>1</v>
      </c>
      <c r="Q433">
        <v>3</v>
      </c>
      <c r="R433" t="s">
        <v>79</v>
      </c>
      <c r="S433" t="s">
        <v>80</v>
      </c>
      <c r="T433" t="s">
        <v>2636</v>
      </c>
      <c r="U433" s="3" t="s">
        <v>2637</v>
      </c>
      <c r="V433" s="3" t="s">
        <v>2638</v>
      </c>
      <c r="W433" s="3" t="s">
        <v>2639</v>
      </c>
      <c r="X433" t="s">
        <v>2533</v>
      </c>
      <c r="Y433">
        <v>7</v>
      </c>
      <c r="Z433">
        <v>0</v>
      </c>
      <c r="AA433">
        <f>IF('Στατιστικά'!$C$6,1,IFERROR(INDEX('Στατιστικά'!$C$10:$C$83,MATCH(G433,'Στατιστικά'!$B$10:$B$83,0))*1,0))</f>
        <v>1</v>
      </c>
    </row>
    <row r="434" spans="1:27">
      <c r="A434" s="2">
        <v>46221</v>
      </c>
      <c r="B434" t="s">
        <v>42</v>
      </c>
      <c r="C434" t="s">
        <v>1</v>
      </c>
      <c r="D434" t="s">
        <v>1</v>
      </c>
      <c r="E434" t="s">
        <v>2640</v>
      </c>
      <c r="F434" t="s">
        <v>33</v>
      </c>
      <c r="G434" t="s">
        <v>4</v>
      </c>
      <c r="H434" t="s">
        <v>798</v>
      </c>
      <c r="I434">
        <v>20</v>
      </c>
      <c r="J434">
        <v>5</v>
      </c>
      <c r="K434">
        <v>0</v>
      </c>
      <c r="L434">
        <v>1</v>
      </c>
      <c r="M434" t="s">
        <v>2641</v>
      </c>
      <c r="N434" t="s">
        <v>1</v>
      </c>
      <c r="O434" t="s">
        <v>1</v>
      </c>
      <c r="P434" t="s">
        <v>4811</v>
      </c>
      <c r="Q434">
        <v>2</v>
      </c>
      <c r="R434" t="s">
        <v>17</v>
      </c>
      <c r="S434" t="s">
        <v>8</v>
      </c>
      <c r="T434" t="s">
        <v>2642</v>
      </c>
      <c r="U434" s="3" t="s">
        <v>1</v>
      </c>
      <c r="V434" s="3" t="s">
        <v>2643</v>
      </c>
      <c r="W434" s="3" t="s">
        <v>4812</v>
      </c>
      <c r="X434" t="s">
        <v>2645</v>
      </c>
      <c r="Y434">
        <v>7</v>
      </c>
      <c r="Z434">
        <v>0</v>
      </c>
      <c r="AA434">
        <f>IF('Στατιστικά'!$C$6,1,IFERROR(INDEX('Στατιστικά'!$C$10:$C$83,MATCH(G434,'Στατιστικά'!$B$10:$B$83,0))*1,0))</f>
        <v>1</v>
      </c>
    </row>
    <row r="435" spans="1:27">
      <c r="A435" s="2">
        <v>46221</v>
      </c>
      <c r="B435" t="s">
        <v>417</v>
      </c>
      <c r="C435" t="s">
        <v>1</v>
      </c>
      <c r="D435" t="s">
        <v>1</v>
      </c>
      <c r="E435" t="s">
        <v>2646</v>
      </c>
      <c r="F435" t="s">
        <v>1057</v>
      </c>
      <c r="G435" t="s">
        <v>1624</v>
      </c>
      <c r="H435" t="s">
        <v>2647</v>
      </c>
      <c r="I435">
        <v>25</v>
      </c>
      <c r="J435">
        <v>7</v>
      </c>
      <c r="K435">
        <v>0</v>
      </c>
      <c r="L435">
        <v>1</v>
      </c>
      <c r="M435" t="s">
        <v>2648</v>
      </c>
      <c r="N435" t="s">
        <v>2649</v>
      </c>
      <c r="O435" t="s">
        <v>1</v>
      </c>
      <c r="P435" t="s">
        <v>4813</v>
      </c>
      <c r="Q435">
        <v>2</v>
      </c>
      <c r="R435" t="s">
        <v>17</v>
      </c>
      <c r="S435" t="s">
        <v>80</v>
      </c>
      <c r="T435" t="s">
        <v>178</v>
      </c>
      <c r="U435" s="3" t="s">
        <v>1</v>
      </c>
      <c r="V435" s="3" t="s">
        <v>2650</v>
      </c>
      <c r="W435" s="3" t="s">
        <v>4814</v>
      </c>
      <c r="X435" t="s">
        <v>2441</v>
      </c>
      <c r="Y435">
        <v>7</v>
      </c>
      <c r="Z435">
        <v>0</v>
      </c>
      <c r="AA435">
        <f>IF('Στατιστικά'!$C$6,1,IFERROR(INDEX('Στατιστικά'!$C$10:$C$83,MATCH(G435,'Στατιστικά'!$B$10:$B$83,0))*1,0))</f>
        <v>1</v>
      </c>
    </row>
    <row r="436" spans="1:27">
      <c r="A436" s="2">
        <v>46221</v>
      </c>
      <c r="B436" t="s">
        <v>417</v>
      </c>
      <c r="C436" t="s">
        <v>1</v>
      </c>
      <c r="D436" t="s">
        <v>1</v>
      </c>
      <c r="E436" t="s">
        <v>2652</v>
      </c>
      <c r="F436" t="s">
        <v>160</v>
      </c>
      <c r="G436" t="s">
        <v>1624</v>
      </c>
      <c r="H436" t="s">
        <v>2647</v>
      </c>
      <c r="I436">
        <v>25</v>
      </c>
      <c r="J436">
        <v>7</v>
      </c>
      <c r="L436">
        <v>1</v>
      </c>
      <c r="M436" t="s">
        <v>2653</v>
      </c>
      <c r="N436" t="s">
        <v>2654</v>
      </c>
      <c r="O436" t="s">
        <v>2655</v>
      </c>
      <c r="P436" t="s">
        <v>4815</v>
      </c>
      <c r="Q436">
        <v>3</v>
      </c>
      <c r="R436" t="s">
        <v>79</v>
      </c>
      <c r="S436" t="s">
        <v>58</v>
      </c>
      <c r="T436" t="s">
        <v>98</v>
      </c>
      <c r="U436" s="3" t="s">
        <v>1</v>
      </c>
      <c r="V436" s="3" t="s">
        <v>2656</v>
      </c>
      <c r="W436" s="3" t="s">
        <v>4816</v>
      </c>
      <c r="X436" t="s">
        <v>2658</v>
      </c>
      <c r="Y436">
        <v>7</v>
      </c>
      <c r="Z436">
        <v>0</v>
      </c>
      <c r="AA436">
        <f>IF('Στατιστικά'!$C$6,1,IFERROR(INDEX('Στατιστικά'!$C$10:$C$83,MATCH(G436,'Στατιστικά'!$B$10:$B$83,0))*1,0))</f>
        <v>1</v>
      </c>
    </row>
    <row r="437" spans="1:27">
      <c r="A437" s="2">
        <v>46221</v>
      </c>
      <c r="B437" t="s">
        <v>417</v>
      </c>
      <c r="C437" t="s">
        <v>1</v>
      </c>
      <c r="D437" t="s">
        <v>1</v>
      </c>
      <c r="E437" t="s">
        <v>2659</v>
      </c>
      <c r="F437" t="s">
        <v>1152</v>
      </c>
      <c r="G437" t="s">
        <v>1624</v>
      </c>
      <c r="H437" t="s">
        <v>2647</v>
      </c>
      <c r="I437">
        <v>25</v>
      </c>
      <c r="J437">
        <v>7</v>
      </c>
      <c r="K437">
        <v>0</v>
      </c>
      <c r="L437">
        <v>1</v>
      </c>
      <c r="M437" t="s">
        <v>2660</v>
      </c>
      <c r="N437" t="s">
        <v>2661</v>
      </c>
      <c r="O437" t="s">
        <v>1</v>
      </c>
      <c r="Q437">
        <v>2</v>
      </c>
      <c r="R437" t="s">
        <v>17</v>
      </c>
      <c r="S437" t="s">
        <v>1</v>
      </c>
      <c r="T437" t="s">
        <v>1</v>
      </c>
      <c r="U437" s="3" t="s">
        <v>1</v>
      </c>
      <c r="V437" s="3" t="s">
        <v>2662</v>
      </c>
      <c r="W437" s="3" t="s">
        <v>4586</v>
      </c>
      <c r="X437" t="s">
        <v>2645</v>
      </c>
      <c r="Y437">
        <v>7</v>
      </c>
      <c r="Z437">
        <v>0</v>
      </c>
      <c r="AA437">
        <f>IF('Στατιστικά'!$C$6,1,IFERROR(INDEX('Στατιστικά'!$C$10:$C$83,MATCH(G437,'Στατιστικά'!$B$10:$B$83,0))*1,0))</f>
        <v>1</v>
      </c>
    </row>
    <row r="438" spans="1:27">
      <c r="A438" s="2">
        <v>46221</v>
      </c>
      <c r="B438" t="s">
        <v>118</v>
      </c>
      <c r="C438" t="s">
        <v>1</v>
      </c>
      <c r="D438" t="s">
        <v>1</v>
      </c>
      <c r="E438" t="s">
        <v>2664</v>
      </c>
      <c r="F438" t="s">
        <v>450</v>
      </c>
      <c r="G438" t="s">
        <v>94</v>
      </c>
      <c r="H438" t="s">
        <v>2626</v>
      </c>
      <c r="I438">
        <v>35</v>
      </c>
      <c r="J438">
        <v>12</v>
      </c>
      <c r="K438">
        <v>4</v>
      </c>
      <c r="L438">
        <v>2</v>
      </c>
      <c r="M438" t="s">
        <v>2665</v>
      </c>
      <c r="N438" t="s">
        <v>2666</v>
      </c>
      <c r="O438" t="s">
        <v>1</v>
      </c>
      <c r="P438">
        <v>5</v>
      </c>
      <c r="Q438">
        <v>3</v>
      </c>
      <c r="R438" t="s">
        <v>79</v>
      </c>
      <c r="S438" t="s">
        <v>80</v>
      </c>
      <c r="T438" t="s">
        <v>2667</v>
      </c>
      <c r="U438" s="3" t="s">
        <v>2668</v>
      </c>
      <c r="V438" s="3" t="s">
        <v>2669</v>
      </c>
      <c r="W438" s="3" t="s">
        <v>2670</v>
      </c>
      <c r="X438" t="s">
        <v>2387</v>
      </c>
      <c r="Y438">
        <v>7</v>
      </c>
      <c r="Z438">
        <v>5</v>
      </c>
      <c r="AA438">
        <f>IF('Στατιστικά'!$C$6,1,IFERROR(INDEX('Στατιστικά'!$C$10:$C$83,MATCH(G438,'Στατιστικά'!$B$10:$B$83,0))*1,0))</f>
        <v>1</v>
      </c>
    </row>
    <row r="439" spans="1:27">
      <c r="A439" s="2">
        <v>46221</v>
      </c>
      <c r="B439" t="s">
        <v>118</v>
      </c>
      <c r="C439" t="s">
        <v>1</v>
      </c>
      <c r="D439" t="s">
        <v>1</v>
      </c>
      <c r="E439" t="s">
        <v>2671</v>
      </c>
      <c r="F439" t="s">
        <v>450</v>
      </c>
      <c r="G439" t="s">
        <v>174</v>
      </c>
      <c r="H439" t="s">
        <v>2626</v>
      </c>
      <c r="I439">
        <v>35</v>
      </c>
      <c r="J439">
        <v>12</v>
      </c>
      <c r="K439">
        <v>4</v>
      </c>
      <c r="L439">
        <v>2</v>
      </c>
      <c r="M439" t="s">
        <v>2672</v>
      </c>
      <c r="N439" t="s">
        <v>2628</v>
      </c>
      <c r="O439" t="s">
        <v>1</v>
      </c>
      <c r="Q439">
        <v>3</v>
      </c>
      <c r="R439" t="s">
        <v>79</v>
      </c>
      <c r="S439" t="s">
        <v>80</v>
      </c>
      <c r="T439" t="s">
        <v>1</v>
      </c>
      <c r="U439" s="3" t="s">
        <v>2673</v>
      </c>
      <c r="V439" s="3" t="s">
        <v>2674</v>
      </c>
      <c r="W439" s="3" t="s">
        <v>4587</v>
      </c>
      <c r="X439" t="s">
        <v>2446</v>
      </c>
      <c r="Y439">
        <v>7</v>
      </c>
      <c r="Z439">
        <v>0</v>
      </c>
      <c r="AA439">
        <f>IF('Στατιστικά'!$C$6,1,IFERROR(INDEX('Στατιστικά'!$C$10:$C$83,MATCH(G439,'Στατιστικά'!$B$10:$B$83,0))*1,0))</f>
        <v>1</v>
      </c>
    </row>
    <row r="440" spans="1:27">
      <c r="A440" s="2">
        <v>46221</v>
      </c>
      <c r="B440" t="s">
        <v>182</v>
      </c>
      <c r="C440" t="s">
        <v>2676</v>
      </c>
      <c r="D440" t="s">
        <v>1</v>
      </c>
      <c r="E440" t="s">
        <v>2677</v>
      </c>
      <c r="F440" t="s">
        <v>806</v>
      </c>
      <c r="G440" t="s">
        <v>639</v>
      </c>
      <c r="H440" t="s">
        <v>2678</v>
      </c>
      <c r="I440">
        <v>45</v>
      </c>
      <c r="J440">
        <v>15</v>
      </c>
      <c r="K440">
        <v>0</v>
      </c>
      <c r="L440">
        <v>2</v>
      </c>
      <c r="M440" t="s">
        <v>2679</v>
      </c>
      <c r="N440" t="s">
        <v>1</v>
      </c>
      <c r="O440" t="s">
        <v>1</v>
      </c>
      <c r="Q440">
        <v>3</v>
      </c>
      <c r="R440" t="s">
        <v>79</v>
      </c>
      <c r="S440" t="s">
        <v>80</v>
      </c>
      <c r="T440" t="s">
        <v>2680</v>
      </c>
      <c r="U440" s="3" t="s">
        <v>2681</v>
      </c>
      <c r="V440" s="3" t="s">
        <v>2682</v>
      </c>
      <c r="W440" s="3" t="s">
        <v>2683</v>
      </c>
      <c r="X440" t="s">
        <v>2441</v>
      </c>
      <c r="Y440">
        <v>7</v>
      </c>
      <c r="Z440">
        <v>0</v>
      </c>
      <c r="AA440">
        <f>IF('Στατιστικά'!$C$6,1,IFERROR(INDEX('Στατιστικά'!$C$10:$C$83,MATCH(G440,'Στατιστικά'!$B$10:$B$83,0))*1,0))</f>
        <v>1</v>
      </c>
    </row>
    <row r="441" spans="1:27">
      <c r="A441" s="2">
        <v>46221</v>
      </c>
      <c r="B441" t="s">
        <v>128</v>
      </c>
      <c r="C441" t="s">
        <v>1</v>
      </c>
      <c r="D441" t="s">
        <v>1</v>
      </c>
      <c r="E441" t="s">
        <v>2684</v>
      </c>
      <c r="F441" t="s">
        <v>806</v>
      </c>
      <c r="G441" t="s">
        <v>75</v>
      </c>
      <c r="H441" t="s">
        <v>1852</v>
      </c>
      <c r="I441">
        <v>60</v>
      </c>
      <c r="J441">
        <v>18</v>
      </c>
      <c r="K441">
        <v>0</v>
      </c>
      <c r="L441">
        <v>2</v>
      </c>
      <c r="M441" t="s">
        <v>807</v>
      </c>
      <c r="N441" t="s">
        <v>1853</v>
      </c>
      <c r="O441" t="s">
        <v>2685</v>
      </c>
      <c r="P441">
        <v>1.5</v>
      </c>
      <c r="Q441">
        <v>4</v>
      </c>
      <c r="R441" t="s">
        <v>137</v>
      </c>
      <c r="S441" t="s">
        <v>80</v>
      </c>
      <c r="T441" t="s">
        <v>1</v>
      </c>
      <c r="U441" s="3" t="s">
        <v>2686</v>
      </c>
      <c r="V441" s="3" t="s">
        <v>2687</v>
      </c>
      <c r="W441" s="3" t="s">
        <v>2688</v>
      </c>
      <c r="X441" t="s">
        <v>2446</v>
      </c>
      <c r="Y441">
        <v>7</v>
      </c>
      <c r="Z441">
        <v>1.5</v>
      </c>
      <c r="AA441">
        <f>IF('Στατιστικά'!$C$6,1,IFERROR(INDEX('Στατιστικά'!$C$10:$C$83,MATCH(G441,'Στατιστικά'!$B$10:$B$83,0))*1,0))</f>
        <v>1</v>
      </c>
    </row>
    <row r="442" spans="1:27">
      <c r="A442" s="2">
        <v>46221</v>
      </c>
      <c r="B442" t="s">
        <v>1</v>
      </c>
      <c r="C442" t="s">
        <v>1</v>
      </c>
      <c r="D442" t="s">
        <v>1</v>
      </c>
      <c r="E442" t="s">
        <v>2689</v>
      </c>
      <c r="F442" t="s">
        <v>806</v>
      </c>
      <c r="G442" t="s">
        <v>639</v>
      </c>
      <c r="H442" t="s">
        <v>2678</v>
      </c>
      <c r="I442">
        <v>45</v>
      </c>
      <c r="J442">
        <v>15</v>
      </c>
      <c r="K442">
        <v>0</v>
      </c>
      <c r="L442">
        <v>2</v>
      </c>
      <c r="M442" t="s">
        <v>2690</v>
      </c>
      <c r="N442" t="s">
        <v>1</v>
      </c>
      <c r="O442" t="s">
        <v>1</v>
      </c>
      <c r="Q442">
        <v>3</v>
      </c>
      <c r="R442" t="s">
        <v>79</v>
      </c>
      <c r="S442" t="s">
        <v>80</v>
      </c>
      <c r="T442" t="s">
        <v>1</v>
      </c>
      <c r="U442" s="3" t="s">
        <v>2691</v>
      </c>
      <c r="V442" s="3" t="s">
        <v>2692</v>
      </c>
      <c r="W442" s="3" t="s">
        <v>2693</v>
      </c>
      <c r="X442" t="s">
        <v>2387</v>
      </c>
      <c r="Y442">
        <v>7</v>
      </c>
      <c r="Z442">
        <v>0</v>
      </c>
      <c r="AA442">
        <f>IF('Στατιστικά'!$C$6,1,IFERROR(INDEX('Στατιστικά'!$C$10:$C$83,MATCH(G442,'Στατιστικά'!$B$10:$B$83,0))*1,0))</f>
        <v>1</v>
      </c>
    </row>
    <row r="443" spans="1:27">
      <c r="A443" s="2">
        <v>46220</v>
      </c>
      <c r="B443" t="s">
        <v>591</v>
      </c>
      <c r="C443" t="s">
        <v>1</v>
      </c>
      <c r="D443" t="s">
        <v>1</v>
      </c>
      <c r="E443" t="s">
        <v>2694</v>
      </c>
      <c r="F443" t="s">
        <v>332</v>
      </c>
      <c r="G443" t="s">
        <v>412</v>
      </c>
      <c r="H443" t="s">
        <v>2695</v>
      </c>
      <c r="I443">
        <v>43</v>
      </c>
      <c r="J443">
        <v>10</v>
      </c>
      <c r="K443">
        <v>2</v>
      </c>
      <c r="L443">
        <v>1</v>
      </c>
      <c r="M443" t="s">
        <v>1548</v>
      </c>
      <c r="N443" t="s">
        <v>2696</v>
      </c>
      <c r="O443" t="s">
        <v>1</v>
      </c>
      <c r="Q443">
        <v>3</v>
      </c>
      <c r="R443" t="s">
        <v>79</v>
      </c>
      <c r="S443" t="s">
        <v>107</v>
      </c>
      <c r="T443" t="s">
        <v>1</v>
      </c>
      <c r="U443" s="3" t="s">
        <v>1</v>
      </c>
      <c r="V443" s="3" t="s">
        <v>2697</v>
      </c>
      <c r="W443" s="3" t="s">
        <v>2698</v>
      </c>
      <c r="X443" t="s">
        <v>2241</v>
      </c>
      <c r="Y443">
        <v>7</v>
      </c>
      <c r="Z443">
        <v>0</v>
      </c>
      <c r="AA443">
        <f>IF('Στατιστικά'!$C$6,1,IFERROR(INDEX('Στατιστικά'!$C$10:$C$83,MATCH(G443,'Στατιστικά'!$B$10:$B$83,0))*1,0))</f>
        <v>1</v>
      </c>
    </row>
    <row r="444" spans="1:27">
      <c r="A444" s="2">
        <v>46220</v>
      </c>
      <c r="B444" t="s">
        <v>591</v>
      </c>
      <c r="C444" t="s">
        <v>1</v>
      </c>
      <c r="D444" t="s">
        <v>1</v>
      </c>
      <c r="E444" t="s">
        <v>2699</v>
      </c>
      <c r="F444" t="s">
        <v>217</v>
      </c>
      <c r="G444" t="s">
        <v>412</v>
      </c>
      <c r="H444" t="s">
        <v>413</v>
      </c>
      <c r="I444">
        <v>43</v>
      </c>
      <c r="J444">
        <v>10</v>
      </c>
      <c r="K444">
        <v>2</v>
      </c>
      <c r="L444">
        <v>1</v>
      </c>
      <c r="M444" t="s">
        <v>2700</v>
      </c>
      <c r="N444" t="s">
        <v>1</v>
      </c>
      <c r="O444" t="s">
        <v>1</v>
      </c>
      <c r="Q444">
        <v>4</v>
      </c>
      <c r="R444" t="s">
        <v>137</v>
      </c>
      <c r="S444" t="s">
        <v>107</v>
      </c>
      <c r="T444" t="s">
        <v>1</v>
      </c>
      <c r="U444" s="3" t="s">
        <v>1</v>
      </c>
      <c r="V444" s="3" t="s">
        <v>2701</v>
      </c>
      <c r="W444" s="3" t="s">
        <v>4588</v>
      </c>
      <c r="X444" t="s">
        <v>2241</v>
      </c>
      <c r="Y444">
        <v>7</v>
      </c>
      <c r="Z444">
        <v>0</v>
      </c>
      <c r="AA444">
        <f>IF('Στατιστικά'!$C$6,1,IFERROR(INDEX('Στατιστικά'!$C$10:$C$83,MATCH(G444,'Στατιστικά'!$B$10:$B$83,0))*1,0))</f>
        <v>1</v>
      </c>
    </row>
    <row r="445" spans="1:27">
      <c r="A445" s="2">
        <v>46220</v>
      </c>
      <c r="B445" t="s">
        <v>591</v>
      </c>
      <c r="C445" t="s">
        <v>1</v>
      </c>
      <c r="D445" t="s">
        <v>1</v>
      </c>
      <c r="E445" t="s">
        <v>2703</v>
      </c>
      <c r="F445" t="s">
        <v>217</v>
      </c>
      <c r="G445" t="s">
        <v>412</v>
      </c>
      <c r="H445" t="s">
        <v>413</v>
      </c>
      <c r="I445">
        <v>43</v>
      </c>
      <c r="J445">
        <v>10</v>
      </c>
      <c r="K445">
        <v>2</v>
      </c>
      <c r="L445">
        <v>1</v>
      </c>
      <c r="M445" t="s">
        <v>2704</v>
      </c>
      <c r="N445" t="s">
        <v>2705</v>
      </c>
      <c r="O445" t="s">
        <v>1</v>
      </c>
      <c r="Q445">
        <v>3</v>
      </c>
      <c r="R445" t="s">
        <v>79</v>
      </c>
      <c r="S445" t="s">
        <v>107</v>
      </c>
      <c r="T445" t="s">
        <v>1</v>
      </c>
      <c r="U445" s="3" t="s">
        <v>1</v>
      </c>
      <c r="V445" s="3" t="s">
        <v>2706</v>
      </c>
      <c r="W445" s="3" t="s">
        <v>4589</v>
      </c>
      <c r="X445" t="s">
        <v>2241</v>
      </c>
      <c r="Y445">
        <v>7</v>
      </c>
      <c r="Z445">
        <v>0</v>
      </c>
      <c r="AA445">
        <f>IF('Στατιστικά'!$C$6,1,IFERROR(INDEX('Στατιστικά'!$C$10:$C$83,MATCH(G445,'Στατιστικά'!$B$10:$B$83,0))*1,0))</f>
        <v>1</v>
      </c>
    </row>
    <row r="446" spans="1:27">
      <c r="A446" s="2">
        <v>46220</v>
      </c>
      <c r="B446" t="s">
        <v>373</v>
      </c>
      <c r="C446" t="s">
        <v>1</v>
      </c>
      <c r="D446" t="s">
        <v>1</v>
      </c>
      <c r="E446" t="s">
        <v>2708</v>
      </c>
      <c r="F446" t="s">
        <v>217</v>
      </c>
      <c r="G446" t="s">
        <v>205</v>
      </c>
      <c r="H446" t="s">
        <v>1758</v>
      </c>
      <c r="I446">
        <v>55</v>
      </c>
      <c r="J446">
        <v>11</v>
      </c>
      <c r="K446">
        <v>3</v>
      </c>
      <c r="L446">
        <v>1</v>
      </c>
      <c r="M446" t="s">
        <v>2709</v>
      </c>
      <c r="N446" t="s">
        <v>2710</v>
      </c>
      <c r="O446" t="s">
        <v>1</v>
      </c>
      <c r="Q446">
        <v>4</v>
      </c>
      <c r="R446" t="s">
        <v>137</v>
      </c>
      <c r="S446" t="s">
        <v>80</v>
      </c>
      <c r="T446" t="s">
        <v>2711</v>
      </c>
      <c r="U446" s="3" t="s">
        <v>2712</v>
      </c>
      <c r="V446" s="3" t="s">
        <v>2713</v>
      </c>
      <c r="W446" s="3" t="s">
        <v>2714</v>
      </c>
      <c r="X446" t="s">
        <v>2446</v>
      </c>
      <c r="Y446">
        <v>7</v>
      </c>
      <c r="Z446">
        <v>0</v>
      </c>
      <c r="AA446">
        <f>IF('Στατιστικά'!$C$6,1,IFERROR(INDEX('Στατιστικά'!$C$10:$C$83,MATCH(G446,'Στατιστικά'!$B$10:$B$83,0))*1,0))</f>
        <v>1</v>
      </c>
    </row>
    <row r="447" spans="1:27">
      <c r="A447" s="2">
        <v>46220</v>
      </c>
      <c r="B447" t="s">
        <v>373</v>
      </c>
      <c r="C447" t="s">
        <v>2715</v>
      </c>
      <c r="D447" t="s">
        <v>1</v>
      </c>
      <c r="E447" t="s">
        <v>2716</v>
      </c>
      <c r="F447" t="s">
        <v>332</v>
      </c>
      <c r="G447" t="s">
        <v>205</v>
      </c>
      <c r="H447" t="s">
        <v>2717</v>
      </c>
      <c r="I447">
        <v>55</v>
      </c>
      <c r="J447">
        <v>11</v>
      </c>
      <c r="K447">
        <v>3</v>
      </c>
      <c r="L447">
        <v>1</v>
      </c>
      <c r="M447" t="s">
        <v>360</v>
      </c>
      <c r="N447" t="s">
        <v>2718</v>
      </c>
      <c r="O447" t="s">
        <v>1</v>
      </c>
      <c r="Q447">
        <v>4</v>
      </c>
      <c r="R447" t="s">
        <v>137</v>
      </c>
      <c r="S447" t="s">
        <v>80</v>
      </c>
      <c r="T447" t="s">
        <v>2719</v>
      </c>
      <c r="U447" s="3" t="s">
        <v>2720</v>
      </c>
      <c r="V447" s="3" t="s">
        <v>2721</v>
      </c>
      <c r="W447" s="3" t="s">
        <v>4590</v>
      </c>
      <c r="X447" t="s">
        <v>2446</v>
      </c>
      <c r="Y447">
        <v>7</v>
      </c>
      <c r="Z447">
        <v>0</v>
      </c>
      <c r="AA447">
        <f>IF('Στατιστικά'!$C$6,1,IFERROR(INDEX('Στατιστικά'!$C$10:$C$83,MATCH(G447,'Στατιστικά'!$B$10:$B$83,0))*1,0))</f>
        <v>1</v>
      </c>
    </row>
    <row r="448" spans="1:27">
      <c r="A448" s="2">
        <v>46220</v>
      </c>
      <c r="B448" t="s">
        <v>926</v>
      </c>
      <c r="C448" t="s">
        <v>1</v>
      </c>
      <c r="D448" t="s">
        <v>1</v>
      </c>
      <c r="E448" t="s">
        <v>2723</v>
      </c>
      <c r="F448" t="s">
        <v>44</v>
      </c>
      <c r="G448" t="s">
        <v>45</v>
      </c>
      <c r="H448" t="s">
        <v>1</v>
      </c>
      <c r="I448">
        <v>30</v>
      </c>
      <c r="J448">
        <v>7</v>
      </c>
      <c r="K448">
        <v>1</v>
      </c>
      <c r="L448">
        <v>1</v>
      </c>
      <c r="M448" t="s">
        <v>2660</v>
      </c>
      <c r="N448" t="s">
        <v>1</v>
      </c>
      <c r="O448" t="s">
        <v>1</v>
      </c>
      <c r="Q448">
        <v>3</v>
      </c>
      <c r="R448" t="s">
        <v>79</v>
      </c>
      <c r="S448" t="s">
        <v>891</v>
      </c>
      <c r="T448" t="s">
        <v>1</v>
      </c>
      <c r="U448" s="3" t="s">
        <v>1</v>
      </c>
      <c r="V448" s="3" t="s">
        <v>2724</v>
      </c>
      <c r="W448" s="3" t="s">
        <v>2725</v>
      </c>
      <c r="X448" t="s">
        <v>2446</v>
      </c>
      <c r="Y448">
        <v>7</v>
      </c>
      <c r="Z448">
        <v>0</v>
      </c>
      <c r="AA448">
        <f>IF('Στατιστικά'!$C$6,1,IFERROR(INDEX('Στατιστικά'!$C$10:$C$83,MATCH(G448,'Στατιστικά'!$B$10:$B$83,0))*1,0))</f>
        <v>1</v>
      </c>
    </row>
    <row r="449" spans="1:27">
      <c r="A449" s="2">
        <v>46220</v>
      </c>
      <c r="B449" t="s">
        <v>926</v>
      </c>
      <c r="C449" t="s">
        <v>1</v>
      </c>
      <c r="D449" t="s">
        <v>1</v>
      </c>
      <c r="E449" t="s">
        <v>2726</v>
      </c>
      <c r="F449" t="s">
        <v>44</v>
      </c>
      <c r="G449" t="s">
        <v>45</v>
      </c>
      <c r="H449" t="s">
        <v>2727</v>
      </c>
      <c r="I449">
        <v>40</v>
      </c>
      <c r="J449">
        <v>9</v>
      </c>
      <c r="K449">
        <v>2</v>
      </c>
      <c r="L449">
        <v>2</v>
      </c>
      <c r="M449" t="s">
        <v>958</v>
      </c>
      <c r="N449" t="s">
        <v>1</v>
      </c>
      <c r="O449" t="s">
        <v>1</v>
      </c>
      <c r="R449" t="s">
        <v>1</v>
      </c>
      <c r="S449" t="s">
        <v>80</v>
      </c>
      <c r="T449" t="s">
        <v>2728</v>
      </c>
      <c r="U449" s="3" t="s">
        <v>1</v>
      </c>
      <c r="V449" s="3" t="s">
        <v>2729</v>
      </c>
      <c r="W449" s="3" t="s">
        <v>2730</v>
      </c>
      <c r="X449" t="s">
        <v>2387</v>
      </c>
      <c r="Y449">
        <v>7</v>
      </c>
      <c r="Z449">
        <v>0</v>
      </c>
      <c r="AA449">
        <f>IF('Στατιστικά'!$C$6,1,IFERROR(INDEX('Στατιστικά'!$C$10:$C$83,MATCH(G449,'Στατιστικά'!$B$10:$B$83,0))*1,0))</f>
        <v>1</v>
      </c>
    </row>
    <row r="450" spans="1:27">
      <c r="A450" s="2">
        <v>46220</v>
      </c>
      <c r="B450" t="s">
        <v>811</v>
      </c>
      <c r="C450" t="s">
        <v>286</v>
      </c>
      <c r="D450" t="s">
        <v>1</v>
      </c>
      <c r="E450" t="s">
        <v>2731</v>
      </c>
      <c r="F450" t="s">
        <v>450</v>
      </c>
      <c r="G450" t="s">
        <v>94</v>
      </c>
      <c r="H450" t="s">
        <v>2732</v>
      </c>
      <c r="I450">
        <v>35</v>
      </c>
      <c r="J450">
        <v>8</v>
      </c>
      <c r="K450">
        <v>4</v>
      </c>
      <c r="L450">
        <v>1</v>
      </c>
      <c r="M450" t="s">
        <v>2191</v>
      </c>
      <c r="N450" t="s">
        <v>2733</v>
      </c>
      <c r="O450" t="s">
        <v>850</v>
      </c>
      <c r="Q450">
        <v>3</v>
      </c>
      <c r="R450" t="s">
        <v>79</v>
      </c>
      <c r="S450" t="s">
        <v>58</v>
      </c>
      <c r="T450" t="s">
        <v>98</v>
      </c>
      <c r="U450" s="3" t="s">
        <v>1</v>
      </c>
      <c r="V450" s="3" t="s">
        <v>2734</v>
      </c>
      <c r="W450" s="3" t="s">
        <v>2735</v>
      </c>
      <c r="X450" t="s">
        <v>2241</v>
      </c>
      <c r="Y450">
        <v>7</v>
      </c>
      <c r="Z450">
        <v>0</v>
      </c>
      <c r="AA450">
        <f>IF('Στατιστικά'!$C$6,1,IFERROR(INDEX('Στατιστικά'!$C$10:$C$83,MATCH(G450,'Στατιστικά'!$B$10:$B$83,0))*1,0))</f>
        <v>1</v>
      </c>
    </row>
    <row r="451" spans="1:27">
      <c r="A451" s="2">
        <v>46219</v>
      </c>
      <c r="B451" t="s">
        <v>1471</v>
      </c>
      <c r="C451" t="s">
        <v>2736</v>
      </c>
      <c r="D451" t="s">
        <v>1</v>
      </c>
      <c r="E451" t="s">
        <v>2737</v>
      </c>
      <c r="F451" t="s">
        <v>38</v>
      </c>
      <c r="G451" t="s">
        <v>15</v>
      </c>
      <c r="H451" t="s">
        <v>475</v>
      </c>
      <c r="I451">
        <v>47</v>
      </c>
      <c r="J451">
        <v>19</v>
      </c>
      <c r="L451">
        <v>2</v>
      </c>
      <c r="M451" t="s">
        <v>1</v>
      </c>
      <c r="N451" t="s">
        <v>1</v>
      </c>
      <c r="O451" t="s">
        <v>1</v>
      </c>
      <c r="R451" t="s">
        <v>1</v>
      </c>
      <c r="S451" t="s">
        <v>80</v>
      </c>
      <c r="T451" t="s">
        <v>2738</v>
      </c>
      <c r="U451" s="3" t="s">
        <v>904</v>
      </c>
      <c r="V451" s="3" t="s">
        <v>2739</v>
      </c>
      <c r="W451" s="3" t="s">
        <v>1</v>
      </c>
      <c r="X451" t="s">
        <v>2645</v>
      </c>
      <c r="Y451">
        <v>7</v>
      </c>
      <c r="Z451">
        <v>0</v>
      </c>
      <c r="AA451">
        <f>IF('Στατιστικά'!$C$6,1,IFERROR(INDEX('Στατιστικά'!$C$10:$C$83,MATCH(G451,'Στατιστικά'!$B$10:$B$83,0))*1,0))</f>
        <v>1</v>
      </c>
    </row>
    <row r="452" spans="1:27">
      <c r="A452" s="2">
        <v>46219</v>
      </c>
      <c r="B452" t="s">
        <v>591</v>
      </c>
      <c r="C452" t="s">
        <v>1</v>
      </c>
      <c r="D452" t="s">
        <v>1</v>
      </c>
      <c r="E452" t="s">
        <v>2740</v>
      </c>
      <c r="F452" t="s">
        <v>1057</v>
      </c>
      <c r="G452" t="s">
        <v>1624</v>
      </c>
      <c r="H452" t="s">
        <v>1803</v>
      </c>
      <c r="I452">
        <v>44</v>
      </c>
      <c r="J452">
        <v>9</v>
      </c>
      <c r="K452">
        <v>4</v>
      </c>
      <c r="L452">
        <v>1</v>
      </c>
      <c r="M452" t="s">
        <v>2741</v>
      </c>
      <c r="N452" t="s">
        <v>2742</v>
      </c>
      <c r="O452" t="s">
        <v>1</v>
      </c>
      <c r="Q452">
        <v>2</v>
      </c>
      <c r="R452" t="s">
        <v>17</v>
      </c>
      <c r="S452" t="s">
        <v>107</v>
      </c>
      <c r="T452" t="s">
        <v>2743</v>
      </c>
      <c r="U452" s="3" t="s">
        <v>1</v>
      </c>
      <c r="V452" s="3" t="s">
        <v>2744</v>
      </c>
      <c r="W452" s="3" t="s">
        <v>2745</v>
      </c>
      <c r="X452" t="s">
        <v>2387</v>
      </c>
      <c r="Y452">
        <v>7</v>
      </c>
      <c r="Z452">
        <v>0</v>
      </c>
      <c r="AA452">
        <f>IF('Στατιστικά'!$C$6,1,IFERROR(INDEX('Στατιστικά'!$C$10:$C$83,MATCH(G452,'Στατιστικά'!$B$10:$B$83,0))*1,0))</f>
        <v>1</v>
      </c>
    </row>
    <row r="453" spans="1:27">
      <c r="A453" s="2">
        <v>46219</v>
      </c>
      <c r="B453" t="s">
        <v>591</v>
      </c>
      <c r="C453" t="s">
        <v>1</v>
      </c>
      <c r="D453" t="s">
        <v>1</v>
      </c>
      <c r="E453" t="s">
        <v>2746</v>
      </c>
      <c r="F453" t="s">
        <v>353</v>
      </c>
      <c r="G453" t="s">
        <v>1624</v>
      </c>
      <c r="H453" t="s">
        <v>1803</v>
      </c>
      <c r="I453">
        <v>24</v>
      </c>
      <c r="J453">
        <v>7</v>
      </c>
      <c r="K453">
        <v>3</v>
      </c>
      <c r="L453">
        <v>1</v>
      </c>
      <c r="M453" t="s">
        <v>2741</v>
      </c>
      <c r="N453" t="s">
        <v>2742</v>
      </c>
      <c r="O453" t="s">
        <v>1</v>
      </c>
      <c r="P453" t="s">
        <v>4817</v>
      </c>
      <c r="Q453">
        <v>2</v>
      </c>
      <c r="R453" t="s">
        <v>17</v>
      </c>
      <c r="S453" t="s">
        <v>107</v>
      </c>
      <c r="T453" t="s">
        <v>2747</v>
      </c>
      <c r="U453" s="3" t="s">
        <v>1</v>
      </c>
      <c r="V453" s="3" t="s">
        <v>2748</v>
      </c>
      <c r="W453" s="3" t="s">
        <v>4818</v>
      </c>
      <c r="X453" t="s">
        <v>2387</v>
      </c>
      <c r="Y453">
        <v>7</v>
      </c>
      <c r="Z453">
        <v>0</v>
      </c>
      <c r="AA453">
        <f>IF('Στατιστικά'!$C$6,1,IFERROR(INDEX('Στατιστικά'!$C$10:$C$83,MATCH(G453,'Στατιστικά'!$B$10:$B$83,0))*1,0))</f>
        <v>1</v>
      </c>
    </row>
    <row r="454" spans="1:27">
      <c r="A454" s="2">
        <v>46219</v>
      </c>
      <c r="B454" t="s">
        <v>926</v>
      </c>
      <c r="C454" t="s">
        <v>42</v>
      </c>
      <c r="D454" t="s">
        <v>1</v>
      </c>
      <c r="E454" t="s">
        <v>2750</v>
      </c>
      <c r="F454" t="s">
        <v>64</v>
      </c>
      <c r="G454" t="s">
        <v>753</v>
      </c>
      <c r="H454" t="s">
        <v>921</v>
      </c>
      <c r="I454">
        <v>27</v>
      </c>
      <c r="J454">
        <v>9</v>
      </c>
      <c r="M454" t="s">
        <v>621</v>
      </c>
      <c r="N454" t="s">
        <v>1</v>
      </c>
      <c r="O454" t="s">
        <v>1</v>
      </c>
      <c r="P454">
        <v>12</v>
      </c>
      <c r="Q454">
        <v>2</v>
      </c>
      <c r="R454" t="s">
        <v>17</v>
      </c>
      <c r="S454" t="s">
        <v>80</v>
      </c>
      <c r="T454" t="s">
        <v>2751</v>
      </c>
      <c r="U454" s="3" t="s">
        <v>1</v>
      </c>
      <c r="V454" s="3" t="s">
        <v>2752</v>
      </c>
      <c r="W454" s="3" t="s">
        <v>2753</v>
      </c>
      <c r="X454" t="s">
        <v>2387</v>
      </c>
      <c r="Y454">
        <v>7</v>
      </c>
      <c r="Z454">
        <v>12</v>
      </c>
      <c r="AA454">
        <f>IF('Στατιστικά'!$C$6,1,IFERROR(INDEX('Στατιστικά'!$C$10:$C$83,MATCH(G454,'Στατιστικά'!$B$10:$B$83,0))*1,0))</f>
        <v>1</v>
      </c>
    </row>
    <row r="455" spans="1:27">
      <c r="A455" s="2">
        <v>46219</v>
      </c>
      <c r="B455" t="s">
        <v>926</v>
      </c>
      <c r="C455" t="s">
        <v>1</v>
      </c>
      <c r="D455" t="s">
        <v>1</v>
      </c>
      <c r="E455" t="s">
        <v>2754</v>
      </c>
      <c r="F455" t="s">
        <v>53</v>
      </c>
      <c r="G455" t="s">
        <v>753</v>
      </c>
      <c r="H455" t="s">
        <v>2755</v>
      </c>
      <c r="I455">
        <v>27</v>
      </c>
      <c r="J455">
        <v>9</v>
      </c>
      <c r="M455" t="s">
        <v>2756</v>
      </c>
      <c r="N455" t="s">
        <v>2757</v>
      </c>
      <c r="O455" t="s">
        <v>1</v>
      </c>
      <c r="Q455">
        <v>2</v>
      </c>
      <c r="R455" t="s">
        <v>17</v>
      </c>
      <c r="S455" t="s">
        <v>80</v>
      </c>
      <c r="T455" t="s">
        <v>1</v>
      </c>
      <c r="U455" s="3" t="s">
        <v>1</v>
      </c>
      <c r="V455" s="3" t="s">
        <v>2758</v>
      </c>
      <c r="W455" s="3" t="s">
        <v>4591</v>
      </c>
      <c r="X455" t="s">
        <v>2446</v>
      </c>
      <c r="Y455">
        <v>7</v>
      </c>
      <c r="Z455">
        <v>0</v>
      </c>
      <c r="AA455">
        <f>IF('Στατιστικά'!$C$6,1,IFERROR(INDEX('Στατιστικά'!$C$10:$C$83,MATCH(G455,'Στατιστικά'!$B$10:$B$83,0))*1,0))</f>
        <v>1</v>
      </c>
    </row>
    <row r="456" spans="1:27">
      <c r="A456" s="2">
        <v>46219</v>
      </c>
      <c r="B456" t="s">
        <v>561</v>
      </c>
      <c r="C456" t="s">
        <v>926</v>
      </c>
      <c r="D456" t="s">
        <v>1</v>
      </c>
      <c r="E456" t="s">
        <v>2760</v>
      </c>
      <c r="F456" t="s">
        <v>1003</v>
      </c>
      <c r="G456" t="s">
        <v>142</v>
      </c>
      <c r="H456" t="s">
        <v>2761</v>
      </c>
      <c r="I456">
        <v>55</v>
      </c>
      <c r="J456">
        <v>17</v>
      </c>
      <c r="K456">
        <v>4</v>
      </c>
      <c r="L456">
        <v>2</v>
      </c>
      <c r="M456" t="s">
        <v>1011</v>
      </c>
      <c r="N456" t="s">
        <v>2762</v>
      </c>
      <c r="O456" t="s">
        <v>1</v>
      </c>
      <c r="P456">
        <v>0.8</v>
      </c>
      <c r="Q456">
        <v>3</v>
      </c>
      <c r="R456" t="s">
        <v>79</v>
      </c>
      <c r="S456" t="s">
        <v>107</v>
      </c>
      <c r="T456" t="s">
        <v>2763</v>
      </c>
      <c r="U456" s="3" t="s">
        <v>2764</v>
      </c>
      <c r="V456" s="3" t="s">
        <v>2765</v>
      </c>
      <c r="W456" s="3" t="s">
        <v>2766</v>
      </c>
      <c r="X456" t="s">
        <v>2446</v>
      </c>
      <c r="Y456">
        <v>7</v>
      </c>
      <c r="Z456">
        <v>0.8</v>
      </c>
      <c r="AA456">
        <f>IF('Στατιστικά'!$C$6,1,IFERROR(INDEX('Στατιστικά'!$C$10:$C$83,MATCH(G456,'Στατιστικά'!$B$10:$B$83,0))*1,0))</f>
        <v>1</v>
      </c>
    </row>
    <row r="457" spans="1:27">
      <c r="A457" s="2">
        <v>46219</v>
      </c>
      <c r="B457" t="s">
        <v>561</v>
      </c>
      <c r="C457" t="s">
        <v>926</v>
      </c>
      <c r="D457" t="s">
        <v>2767</v>
      </c>
      <c r="E457" t="s">
        <v>2768</v>
      </c>
      <c r="F457" t="s">
        <v>141</v>
      </c>
      <c r="G457" t="s">
        <v>142</v>
      </c>
      <c r="H457" t="s">
        <v>2769</v>
      </c>
      <c r="I457">
        <v>55</v>
      </c>
      <c r="J457">
        <v>17</v>
      </c>
      <c r="K457">
        <v>4</v>
      </c>
      <c r="L457">
        <v>2</v>
      </c>
      <c r="M457" t="s">
        <v>176</v>
      </c>
      <c r="N457" t="s">
        <v>2770</v>
      </c>
      <c r="O457" t="s">
        <v>1</v>
      </c>
      <c r="P457">
        <v>0.8</v>
      </c>
      <c r="Q457">
        <v>3</v>
      </c>
      <c r="R457" t="s">
        <v>79</v>
      </c>
      <c r="S457" t="s">
        <v>58</v>
      </c>
      <c r="T457" t="s">
        <v>2771</v>
      </c>
      <c r="U457" s="3" t="s">
        <v>2772</v>
      </c>
      <c r="V457" s="3" t="s">
        <v>2773</v>
      </c>
      <c r="W457" s="3" t="s">
        <v>4592</v>
      </c>
      <c r="X457" t="s">
        <v>2658</v>
      </c>
      <c r="Y457">
        <v>7</v>
      </c>
      <c r="Z457">
        <v>0</v>
      </c>
      <c r="AA457">
        <f>IF('Στατιστικά'!$C$6,1,IFERROR(INDEX('Στατιστικά'!$C$10:$C$83,MATCH(G457,'Στατιστικά'!$B$10:$B$83,0))*1,0))</f>
        <v>1</v>
      </c>
    </row>
    <row r="458" spans="1:27">
      <c r="A458" s="2">
        <v>46219</v>
      </c>
      <c r="B458" t="s">
        <v>607</v>
      </c>
      <c r="C458" t="s">
        <v>1</v>
      </c>
      <c r="D458" t="s">
        <v>1</v>
      </c>
      <c r="E458" t="s">
        <v>2775</v>
      </c>
      <c r="F458" t="s">
        <v>38</v>
      </c>
      <c r="G458" t="s">
        <v>15</v>
      </c>
      <c r="H458" t="s">
        <v>2292</v>
      </c>
      <c r="I458">
        <v>115</v>
      </c>
      <c r="J458">
        <v>35</v>
      </c>
      <c r="K458">
        <v>5</v>
      </c>
      <c r="L458">
        <v>2</v>
      </c>
      <c r="M458" t="s">
        <v>2776</v>
      </c>
      <c r="N458" t="s">
        <v>1</v>
      </c>
      <c r="O458" t="s">
        <v>1</v>
      </c>
      <c r="Q458">
        <v>3</v>
      </c>
      <c r="R458" t="s">
        <v>79</v>
      </c>
      <c r="S458" t="s">
        <v>80</v>
      </c>
      <c r="T458" t="s">
        <v>178</v>
      </c>
      <c r="U458" s="3" t="s">
        <v>1</v>
      </c>
      <c r="V458" s="3" t="s">
        <v>2777</v>
      </c>
      <c r="W458" s="3" t="s">
        <v>2778</v>
      </c>
      <c r="X458" t="s">
        <v>2446</v>
      </c>
      <c r="Y458">
        <v>7</v>
      </c>
      <c r="Z458">
        <v>0</v>
      </c>
      <c r="AA458">
        <f>IF('Στατιστικά'!$C$6,1,IFERROR(INDEX('Στατιστικά'!$C$10:$C$83,MATCH(G458,'Στατιστικά'!$B$10:$B$83,0))*1,0))</f>
        <v>1</v>
      </c>
    </row>
    <row r="459" spans="1:27">
      <c r="A459" s="2">
        <v>46219</v>
      </c>
      <c r="B459" t="s">
        <v>607</v>
      </c>
      <c r="C459" t="s">
        <v>1794</v>
      </c>
      <c r="D459" t="s">
        <v>1</v>
      </c>
      <c r="E459" t="s">
        <v>2779</v>
      </c>
      <c r="F459" t="s">
        <v>38</v>
      </c>
      <c r="G459" t="s">
        <v>15</v>
      </c>
      <c r="H459" t="s">
        <v>539</v>
      </c>
      <c r="I459">
        <v>115</v>
      </c>
      <c r="J459">
        <v>35</v>
      </c>
      <c r="K459">
        <v>5</v>
      </c>
      <c r="L459">
        <v>2</v>
      </c>
      <c r="M459" t="s">
        <v>2780</v>
      </c>
      <c r="N459" t="s">
        <v>2781</v>
      </c>
      <c r="O459" t="s">
        <v>1</v>
      </c>
      <c r="Q459">
        <v>3</v>
      </c>
      <c r="R459" t="s">
        <v>79</v>
      </c>
      <c r="S459" t="s">
        <v>80</v>
      </c>
      <c r="T459" t="s">
        <v>98</v>
      </c>
      <c r="U459" s="3" t="s">
        <v>1</v>
      </c>
      <c r="V459" s="3" t="s">
        <v>2782</v>
      </c>
      <c r="W459" s="3" t="s">
        <v>4593</v>
      </c>
      <c r="X459" t="s">
        <v>2658</v>
      </c>
      <c r="Y459">
        <v>7</v>
      </c>
      <c r="Z459">
        <v>0</v>
      </c>
      <c r="AA459">
        <f>IF('Στατιστικά'!$C$6,1,IFERROR(INDEX('Στατιστικά'!$C$10:$C$83,MATCH(G459,'Στατιστικά'!$B$10:$B$83,0))*1,0))</f>
        <v>1</v>
      </c>
    </row>
    <row r="460" spans="1:27">
      <c r="A460" s="2">
        <v>46219</v>
      </c>
      <c r="B460" t="s">
        <v>607</v>
      </c>
      <c r="C460" t="s">
        <v>1794</v>
      </c>
      <c r="D460" t="s">
        <v>1</v>
      </c>
      <c r="E460" t="s">
        <v>2784</v>
      </c>
      <c r="F460" t="s">
        <v>38</v>
      </c>
      <c r="G460" t="s">
        <v>15</v>
      </c>
      <c r="H460" t="s">
        <v>539</v>
      </c>
      <c r="I460">
        <v>115</v>
      </c>
      <c r="J460">
        <v>35</v>
      </c>
      <c r="K460">
        <v>5</v>
      </c>
      <c r="L460">
        <v>2</v>
      </c>
      <c r="M460" t="s">
        <v>2785</v>
      </c>
      <c r="N460" t="s">
        <v>296</v>
      </c>
      <c r="O460" t="s">
        <v>1</v>
      </c>
      <c r="Q460">
        <v>3</v>
      </c>
      <c r="R460" t="s">
        <v>79</v>
      </c>
      <c r="S460" t="s">
        <v>80</v>
      </c>
      <c r="T460" t="s">
        <v>2786</v>
      </c>
      <c r="U460" s="3" t="s">
        <v>2787</v>
      </c>
      <c r="V460" s="3" t="s">
        <v>2788</v>
      </c>
      <c r="W460" s="3" t="s">
        <v>4594</v>
      </c>
      <c r="X460" t="s">
        <v>2658</v>
      </c>
      <c r="Y460">
        <v>7</v>
      </c>
      <c r="Z460">
        <v>0</v>
      </c>
      <c r="AA460">
        <f>IF('Στατιστικά'!$C$6,1,IFERROR(INDEX('Στατιστικά'!$C$10:$C$83,MATCH(G460,'Στατιστικά'!$B$10:$B$83,0))*1,0))</f>
        <v>1</v>
      </c>
    </row>
    <row r="461" spans="1:27">
      <c r="A461" s="2">
        <v>46219</v>
      </c>
      <c r="B461" t="s">
        <v>72</v>
      </c>
      <c r="C461" t="s">
        <v>1</v>
      </c>
      <c r="D461" t="s">
        <v>1</v>
      </c>
      <c r="E461" t="s">
        <v>2790</v>
      </c>
      <c r="F461" t="s">
        <v>324</v>
      </c>
      <c r="G461" t="s">
        <v>730</v>
      </c>
      <c r="H461" t="s">
        <v>1</v>
      </c>
      <c r="I461">
        <v>20</v>
      </c>
      <c r="J461">
        <v>9</v>
      </c>
      <c r="K461">
        <v>0</v>
      </c>
      <c r="L461">
        <v>1</v>
      </c>
      <c r="M461" t="s">
        <v>1</v>
      </c>
      <c r="N461" t="s">
        <v>1</v>
      </c>
      <c r="O461" t="s">
        <v>1</v>
      </c>
      <c r="P461" t="s">
        <v>4819</v>
      </c>
      <c r="Q461">
        <v>4</v>
      </c>
      <c r="R461" t="s">
        <v>137</v>
      </c>
      <c r="S461" t="s">
        <v>80</v>
      </c>
      <c r="T461" t="s">
        <v>327</v>
      </c>
      <c r="U461" s="3" t="s">
        <v>1</v>
      </c>
      <c r="V461" s="3" t="s">
        <v>2791</v>
      </c>
      <c r="W461" s="3" t="s">
        <v>4820</v>
      </c>
      <c r="X461" t="s">
        <v>2446</v>
      </c>
      <c r="Y461">
        <v>7</v>
      </c>
      <c r="Z461">
        <v>0</v>
      </c>
      <c r="AA461">
        <f>IF('Στατιστικά'!$C$6,1,IFERROR(INDEX('Στατιστικά'!$C$10:$C$83,MATCH(G461,'Στατιστικά'!$B$10:$B$83,0))*1,0))</f>
        <v>1</v>
      </c>
    </row>
    <row r="462" spans="1:27">
      <c r="A462" s="2">
        <v>46219</v>
      </c>
      <c r="B462" t="s">
        <v>2793</v>
      </c>
      <c r="C462" t="s">
        <v>1</v>
      </c>
      <c r="D462" t="s">
        <v>1</v>
      </c>
      <c r="E462" t="s">
        <v>2794</v>
      </c>
      <c r="F462" t="s">
        <v>324</v>
      </c>
      <c r="G462" t="s">
        <v>325</v>
      </c>
      <c r="H462" t="s">
        <v>2795</v>
      </c>
      <c r="M462" t="s">
        <v>2796</v>
      </c>
      <c r="N462" t="s">
        <v>1</v>
      </c>
      <c r="O462" t="s">
        <v>239</v>
      </c>
      <c r="Q462">
        <v>4</v>
      </c>
      <c r="R462" t="s">
        <v>137</v>
      </c>
      <c r="S462" t="s">
        <v>107</v>
      </c>
      <c r="T462" t="s">
        <v>1</v>
      </c>
      <c r="U462" s="3" t="s">
        <v>2797</v>
      </c>
      <c r="V462" s="3" t="s">
        <v>2798</v>
      </c>
      <c r="W462" s="3" t="s">
        <v>2799</v>
      </c>
      <c r="X462" t="s">
        <v>2446</v>
      </c>
      <c r="Y462">
        <v>7</v>
      </c>
      <c r="Z462">
        <v>0</v>
      </c>
      <c r="AA462">
        <f>IF('Στατιστικά'!$C$6,1,IFERROR(INDEX('Στατιστικά'!$C$10:$C$83,MATCH(G462,'Στατιστικά'!$B$10:$B$83,0))*1,0))</f>
        <v>1</v>
      </c>
    </row>
    <row r="463" spans="1:27">
      <c r="A463" s="2">
        <v>46219</v>
      </c>
      <c r="B463" t="s">
        <v>1</v>
      </c>
      <c r="C463" t="s">
        <v>1</v>
      </c>
      <c r="D463" t="s">
        <v>1</v>
      </c>
      <c r="E463" t="s">
        <v>2800</v>
      </c>
      <c r="F463" t="s">
        <v>324</v>
      </c>
      <c r="G463" t="s">
        <v>730</v>
      </c>
      <c r="H463" t="s">
        <v>2801</v>
      </c>
      <c r="M463" t="s">
        <v>1</v>
      </c>
      <c r="N463" t="s">
        <v>1</v>
      </c>
      <c r="O463" t="s">
        <v>1</v>
      </c>
      <c r="P463">
        <v>4100</v>
      </c>
      <c r="R463" t="s">
        <v>1</v>
      </c>
      <c r="S463" t="s">
        <v>80</v>
      </c>
      <c r="T463" t="s">
        <v>178</v>
      </c>
      <c r="U463" s="3" t="s">
        <v>904</v>
      </c>
      <c r="V463" s="3" t="s">
        <v>2802</v>
      </c>
      <c r="W463" s="3" t="s">
        <v>2803</v>
      </c>
      <c r="X463" t="s">
        <v>2387</v>
      </c>
      <c r="Y463">
        <v>7</v>
      </c>
      <c r="Z463">
        <v>4100</v>
      </c>
      <c r="AA463">
        <f>IF('Στατιστικά'!$C$6,1,IFERROR(INDEX('Στατιστικά'!$C$10:$C$83,MATCH(G463,'Στατιστικά'!$B$10:$B$83,0))*1,0))</f>
        <v>1</v>
      </c>
    </row>
    <row r="464" spans="1:27">
      <c r="A464" s="2">
        <v>46218</v>
      </c>
      <c r="B464" t="s">
        <v>62</v>
      </c>
      <c r="C464" t="s">
        <v>1</v>
      </c>
      <c r="D464" t="s">
        <v>1</v>
      </c>
      <c r="E464" t="s">
        <v>2804</v>
      </c>
      <c r="F464" t="s">
        <v>64</v>
      </c>
      <c r="G464" t="s">
        <v>130</v>
      </c>
      <c r="H464" t="s">
        <v>2805</v>
      </c>
      <c r="I464">
        <v>31</v>
      </c>
      <c r="J464">
        <v>12</v>
      </c>
      <c r="K464">
        <v>5</v>
      </c>
      <c r="M464" t="s">
        <v>989</v>
      </c>
      <c r="N464" t="s">
        <v>1</v>
      </c>
      <c r="O464" t="s">
        <v>1</v>
      </c>
      <c r="Q464">
        <v>3</v>
      </c>
      <c r="R464" t="s">
        <v>79</v>
      </c>
      <c r="S464" t="s">
        <v>80</v>
      </c>
      <c r="T464" t="s">
        <v>1</v>
      </c>
      <c r="U464" s="3" t="s">
        <v>2806</v>
      </c>
      <c r="V464" s="3" t="s">
        <v>2807</v>
      </c>
      <c r="W464" s="3" t="s">
        <v>2808</v>
      </c>
      <c r="X464" t="s">
        <v>2446</v>
      </c>
      <c r="Y464">
        <v>7</v>
      </c>
      <c r="Z464">
        <v>0</v>
      </c>
      <c r="AA464">
        <f>IF('Στατιστικά'!$C$6,1,IFERROR(INDEX('Στατιστικά'!$C$10:$C$83,MATCH(G464,'Στατιστικά'!$B$10:$B$83,0))*1,0))</f>
        <v>1</v>
      </c>
    </row>
    <row r="465" spans="1:27">
      <c r="A465" s="2">
        <v>46218</v>
      </c>
      <c r="B465" t="s">
        <v>251</v>
      </c>
      <c r="C465" t="s">
        <v>1</v>
      </c>
      <c r="D465" t="s">
        <v>1</v>
      </c>
      <c r="E465" t="s">
        <v>2809</v>
      </c>
      <c r="F465" t="s">
        <v>64</v>
      </c>
      <c r="G465" t="s">
        <v>130</v>
      </c>
      <c r="H465" t="s">
        <v>2810</v>
      </c>
      <c r="I465">
        <v>75</v>
      </c>
      <c r="J465">
        <v>25</v>
      </c>
      <c r="K465">
        <v>5</v>
      </c>
      <c r="L465">
        <v>2</v>
      </c>
      <c r="M465" t="s">
        <v>2811</v>
      </c>
      <c r="N465" t="s">
        <v>2812</v>
      </c>
      <c r="O465" t="s">
        <v>1</v>
      </c>
      <c r="Q465">
        <v>3</v>
      </c>
      <c r="R465" t="s">
        <v>79</v>
      </c>
      <c r="S465" t="s">
        <v>80</v>
      </c>
      <c r="T465" t="s">
        <v>1</v>
      </c>
      <c r="U465" s="3" t="s">
        <v>2813</v>
      </c>
      <c r="V465" s="3" t="s">
        <v>2814</v>
      </c>
      <c r="W465" s="3" t="s">
        <v>2815</v>
      </c>
      <c r="X465" t="s">
        <v>2816</v>
      </c>
      <c r="Y465">
        <v>7</v>
      </c>
      <c r="Z465">
        <v>0</v>
      </c>
      <c r="AA465">
        <f>IF('Στατιστικά'!$C$6,1,IFERROR(INDEX('Στατιστικά'!$C$10:$C$83,MATCH(G465,'Στατιστικά'!$B$10:$B$83,0))*1,0))</f>
        <v>1</v>
      </c>
    </row>
    <row r="466" spans="1:27">
      <c r="A466" s="2">
        <v>46218</v>
      </c>
      <c r="B466" t="s">
        <v>251</v>
      </c>
      <c r="C466" t="s">
        <v>1</v>
      </c>
      <c r="D466" t="s">
        <v>1</v>
      </c>
      <c r="E466" t="s">
        <v>2817</v>
      </c>
      <c r="F466" t="s">
        <v>141</v>
      </c>
      <c r="G466" t="s">
        <v>1004</v>
      </c>
      <c r="H466" t="s">
        <v>2818</v>
      </c>
      <c r="I466">
        <v>19</v>
      </c>
      <c r="J466">
        <v>5</v>
      </c>
      <c r="K466">
        <v>4</v>
      </c>
      <c r="L466">
        <v>1</v>
      </c>
      <c r="M466" t="s">
        <v>2819</v>
      </c>
      <c r="N466" t="s">
        <v>2820</v>
      </c>
      <c r="O466" t="s">
        <v>239</v>
      </c>
      <c r="Q466">
        <v>3</v>
      </c>
      <c r="R466" t="s">
        <v>79</v>
      </c>
      <c r="S466" t="s">
        <v>58</v>
      </c>
      <c r="T466" t="s">
        <v>2821</v>
      </c>
      <c r="U466" s="3" t="s">
        <v>1</v>
      </c>
      <c r="V466" s="3" t="s">
        <v>2822</v>
      </c>
      <c r="W466" s="3" t="s">
        <v>2823</v>
      </c>
      <c r="X466" t="s">
        <v>2658</v>
      </c>
      <c r="Y466">
        <v>7</v>
      </c>
      <c r="Z466">
        <v>0</v>
      </c>
      <c r="AA466">
        <f>IF('Στατιστικά'!$C$6,1,IFERROR(INDEX('Στατιστικά'!$C$10:$C$83,MATCH(G466,'Στατιστικά'!$B$10:$B$83,0))*1,0))</f>
        <v>1</v>
      </c>
    </row>
    <row r="467" spans="1:27">
      <c r="A467" s="2">
        <v>46218</v>
      </c>
      <c r="B467" t="s">
        <v>118</v>
      </c>
      <c r="C467" t="s">
        <v>479</v>
      </c>
      <c r="D467" t="s">
        <v>1</v>
      </c>
      <c r="E467" t="s">
        <v>2824</v>
      </c>
      <c r="F467" t="s">
        <v>74</v>
      </c>
      <c r="G467" t="s">
        <v>136</v>
      </c>
      <c r="H467" t="s">
        <v>2825</v>
      </c>
      <c r="I467">
        <v>120</v>
      </c>
      <c r="J467">
        <v>24</v>
      </c>
      <c r="K467">
        <v>4</v>
      </c>
      <c r="L467">
        <v>7</v>
      </c>
      <c r="M467" t="s">
        <v>2826</v>
      </c>
      <c r="N467" t="s">
        <v>2827</v>
      </c>
      <c r="O467" t="s">
        <v>2828</v>
      </c>
      <c r="Q467">
        <v>4</v>
      </c>
      <c r="R467" t="s">
        <v>137</v>
      </c>
      <c r="S467" t="s">
        <v>80</v>
      </c>
      <c r="T467" t="s">
        <v>2829</v>
      </c>
      <c r="U467" s="3" t="s">
        <v>2830</v>
      </c>
      <c r="V467" s="3" t="s">
        <v>2831</v>
      </c>
      <c r="W467" s="3" t="s">
        <v>2832</v>
      </c>
      <c r="X467" t="s">
        <v>2441</v>
      </c>
      <c r="Y467">
        <v>7</v>
      </c>
      <c r="Z467">
        <v>0</v>
      </c>
      <c r="AA467">
        <f>IF('Στατιστικά'!$C$6,1,IFERROR(INDEX('Στατιστικά'!$C$10:$C$83,MATCH(G467,'Στατιστικά'!$B$10:$B$83,0))*1,0))</f>
        <v>1</v>
      </c>
    </row>
    <row r="468" spans="1:27">
      <c r="A468" s="2">
        <v>46218</v>
      </c>
      <c r="B468" t="s">
        <v>13</v>
      </c>
      <c r="C468" t="s">
        <v>1</v>
      </c>
      <c r="D468" t="s">
        <v>1</v>
      </c>
      <c r="E468" t="s">
        <v>2833</v>
      </c>
      <c r="F468" t="s">
        <v>64</v>
      </c>
      <c r="G468" t="s">
        <v>440</v>
      </c>
      <c r="H468" t="s">
        <v>2834</v>
      </c>
      <c r="I468">
        <v>32</v>
      </c>
      <c r="J468">
        <v>9</v>
      </c>
      <c r="K468">
        <v>0</v>
      </c>
      <c r="L468">
        <v>1</v>
      </c>
      <c r="M468" t="s">
        <v>2835</v>
      </c>
      <c r="N468" t="s">
        <v>2836</v>
      </c>
      <c r="O468" t="s">
        <v>239</v>
      </c>
      <c r="Q468">
        <v>3</v>
      </c>
      <c r="R468" t="s">
        <v>79</v>
      </c>
      <c r="S468" t="s">
        <v>80</v>
      </c>
      <c r="T468" t="s">
        <v>98</v>
      </c>
      <c r="U468" s="3" t="s">
        <v>1</v>
      </c>
      <c r="V468" s="3" t="s">
        <v>2837</v>
      </c>
      <c r="W468" s="3" t="s">
        <v>2838</v>
      </c>
      <c r="X468" t="s">
        <v>2658</v>
      </c>
      <c r="Y468">
        <v>7</v>
      </c>
      <c r="Z468">
        <v>0</v>
      </c>
      <c r="AA468">
        <f>IF('Στατιστικά'!$C$6,1,IFERROR(INDEX('Στατιστικά'!$C$10:$C$83,MATCH(G468,'Στατιστικά'!$B$10:$B$83,0))*1,0))</f>
        <v>1</v>
      </c>
    </row>
    <row r="469" spans="1:27">
      <c r="A469" s="2">
        <v>46218</v>
      </c>
      <c r="B469" t="s">
        <v>1</v>
      </c>
      <c r="C469" t="s">
        <v>1</v>
      </c>
      <c r="D469" t="s">
        <v>2839</v>
      </c>
      <c r="E469" t="s">
        <v>2840</v>
      </c>
      <c r="F469" t="s">
        <v>64</v>
      </c>
      <c r="G469" t="s">
        <v>130</v>
      </c>
      <c r="H469" t="s">
        <v>2364</v>
      </c>
      <c r="I469">
        <v>29</v>
      </c>
      <c r="J469">
        <v>10</v>
      </c>
      <c r="M469" t="s">
        <v>2841</v>
      </c>
      <c r="N469" t="s">
        <v>1</v>
      </c>
      <c r="O469" t="s">
        <v>1</v>
      </c>
      <c r="P469">
        <v>0.3</v>
      </c>
      <c r="Q469">
        <v>2</v>
      </c>
      <c r="R469" t="s">
        <v>17</v>
      </c>
      <c r="S469" t="s">
        <v>58</v>
      </c>
      <c r="T469" t="s">
        <v>2842</v>
      </c>
      <c r="U469" s="3" t="s">
        <v>1</v>
      </c>
      <c r="V469" s="3" t="s">
        <v>2843</v>
      </c>
      <c r="W469" s="3" t="s">
        <v>2844</v>
      </c>
      <c r="X469" t="s">
        <v>2441</v>
      </c>
      <c r="Y469">
        <v>7</v>
      </c>
      <c r="Z469">
        <v>0.3</v>
      </c>
      <c r="AA469">
        <f>IF('Στατιστικά'!$C$6,1,IFERROR(INDEX('Στατιστικά'!$C$10:$C$83,MATCH(G469,'Στατιστικά'!$B$10:$B$83,0))*1,0))</f>
        <v>1</v>
      </c>
    </row>
    <row r="470" spans="1:27">
      <c r="A470" s="2">
        <v>46217</v>
      </c>
      <c r="B470" t="s">
        <v>62</v>
      </c>
      <c r="C470" t="s">
        <v>1</v>
      </c>
      <c r="D470" t="s">
        <v>1</v>
      </c>
      <c r="E470" t="s">
        <v>2845</v>
      </c>
      <c r="F470" t="s">
        <v>64</v>
      </c>
      <c r="G470" t="s">
        <v>130</v>
      </c>
      <c r="H470" t="s">
        <v>375</v>
      </c>
      <c r="I470">
        <v>32</v>
      </c>
      <c r="J470">
        <v>9</v>
      </c>
      <c r="K470">
        <v>0</v>
      </c>
      <c r="L470">
        <v>1</v>
      </c>
      <c r="M470" t="s">
        <v>2846</v>
      </c>
      <c r="N470" t="s">
        <v>2847</v>
      </c>
      <c r="O470" t="s">
        <v>239</v>
      </c>
      <c r="Q470">
        <v>3</v>
      </c>
      <c r="R470" t="s">
        <v>79</v>
      </c>
      <c r="S470" t="s">
        <v>58</v>
      </c>
      <c r="T470" t="s">
        <v>2848</v>
      </c>
      <c r="U470" s="3" t="s">
        <v>2849</v>
      </c>
      <c r="V470" s="3" t="s">
        <v>2850</v>
      </c>
      <c r="W470" s="3" t="s">
        <v>2851</v>
      </c>
      <c r="X470" t="s">
        <v>2441</v>
      </c>
      <c r="Y470">
        <v>7</v>
      </c>
      <c r="Z470">
        <v>0</v>
      </c>
      <c r="AA470">
        <f>IF('Στατιστικά'!$C$6,1,IFERROR(INDEX('Στατιστικά'!$C$10:$C$83,MATCH(G470,'Στατιστικά'!$B$10:$B$83,0))*1,0))</f>
        <v>1</v>
      </c>
    </row>
    <row r="471" spans="1:27">
      <c r="A471" s="2">
        <v>46217</v>
      </c>
      <c r="B471" t="s">
        <v>182</v>
      </c>
      <c r="C471" t="s">
        <v>1</v>
      </c>
      <c r="D471" t="s">
        <v>1</v>
      </c>
      <c r="E471" t="s">
        <v>2852</v>
      </c>
      <c r="F471" t="s">
        <v>44</v>
      </c>
      <c r="G471" t="s">
        <v>94</v>
      </c>
      <c r="H471" t="s">
        <v>2626</v>
      </c>
      <c r="I471">
        <v>80</v>
      </c>
      <c r="J471">
        <v>24</v>
      </c>
      <c r="K471">
        <v>6</v>
      </c>
      <c r="L471">
        <v>3</v>
      </c>
      <c r="M471" t="s">
        <v>2853</v>
      </c>
      <c r="N471" t="s">
        <v>2854</v>
      </c>
      <c r="O471" t="s">
        <v>1</v>
      </c>
      <c r="R471" t="s">
        <v>1</v>
      </c>
      <c r="S471" t="s">
        <v>80</v>
      </c>
      <c r="T471" t="s">
        <v>2855</v>
      </c>
      <c r="U471" s="3" t="s">
        <v>904</v>
      </c>
      <c r="V471" s="3" t="s">
        <v>2856</v>
      </c>
      <c r="W471" s="3" t="s">
        <v>2857</v>
      </c>
      <c r="X471" t="s">
        <v>2441</v>
      </c>
      <c r="Y471">
        <v>7</v>
      </c>
      <c r="Z471">
        <v>0</v>
      </c>
      <c r="AA471">
        <f>IF('Στατιστικά'!$C$6,1,IFERROR(INDEX('Στατιστικά'!$C$10:$C$83,MATCH(G471,'Στατιστικά'!$B$10:$B$83,0))*1,0))</f>
        <v>1</v>
      </c>
    </row>
    <row r="472" spans="1:27">
      <c r="A472" s="2">
        <v>46217</v>
      </c>
      <c r="B472" t="s">
        <v>182</v>
      </c>
      <c r="C472" t="s">
        <v>2858</v>
      </c>
      <c r="D472" t="s">
        <v>1</v>
      </c>
      <c r="E472" t="s">
        <v>2859</v>
      </c>
      <c r="F472" t="s">
        <v>64</v>
      </c>
      <c r="G472" t="s">
        <v>130</v>
      </c>
      <c r="H472" t="s">
        <v>2860</v>
      </c>
      <c r="I472">
        <v>30</v>
      </c>
      <c r="J472">
        <v>10</v>
      </c>
      <c r="K472">
        <v>0</v>
      </c>
      <c r="L472">
        <v>2</v>
      </c>
      <c r="M472" t="s">
        <v>1</v>
      </c>
      <c r="N472" t="s">
        <v>2861</v>
      </c>
      <c r="O472" t="s">
        <v>1</v>
      </c>
      <c r="Q472">
        <v>3</v>
      </c>
      <c r="R472" t="s">
        <v>79</v>
      </c>
      <c r="S472" t="s">
        <v>58</v>
      </c>
      <c r="T472" t="s">
        <v>2862</v>
      </c>
      <c r="U472" s="3" t="s">
        <v>2863</v>
      </c>
      <c r="V472" s="3" t="s">
        <v>2864</v>
      </c>
      <c r="W472" s="3" t="s">
        <v>2865</v>
      </c>
      <c r="X472" t="s">
        <v>2441</v>
      </c>
      <c r="Y472">
        <v>7</v>
      </c>
      <c r="Z472">
        <v>0</v>
      </c>
      <c r="AA472">
        <f>IF('Στατιστικά'!$C$6,1,IFERROR(INDEX('Στατιστικά'!$C$10:$C$83,MATCH(G472,'Στατιστικά'!$B$10:$B$83,0))*1,0))</f>
        <v>1</v>
      </c>
    </row>
    <row r="473" spans="1:27">
      <c r="A473" s="2">
        <v>46217</v>
      </c>
      <c r="B473" t="s">
        <v>182</v>
      </c>
      <c r="C473" t="s">
        <v>118</v>
      </c>
      <c r="D473" t="s">
        <v>1</v>
      </c>
      <c r="E473" t="s">
        <v>2866</v>
      </c>
      <c r="F473" t="s">
        <v>64</v>
      </c>
      <c r="G473" t="s">
        <v>130</v>
      </c>
      <c r="H473" t="s">
        <v>2364</v>
      </c>
      <c r="I473">
        <v>30</v>
      </c>
      <c r="J473">
        <v>10</v>
      </c>
      <c r="K473">
        <v>0</v>
      </c>
      <c r="L473">
        <v>2</v>
      </c>
      <c r="M473" t="s">
        <v>2846</v>
      </c>
      <c r="N473" t="s">
        <v>2847</v>
      </c>
      <c r="O473" t="s">
        <v>1</v>
      </c>
      <c r="Q473">
        <v>3</v>
      </c>
      <c r="R473" t="s">
        <v>79</v>
      </c>
      <c r="S473" t="s">
        <v>891</v>
      </c>
      <c r="T473" t="s">
        <v>2867</v>
      </c>
      <c r="U473" s="3" t="s">
        <v>2868</v>
      </c>
      <c r="V473" s="3" t="s">
        <v>2869</v>
      </c>
      <c r="W473" s="3" t="s">
        <v>4595</v>
      </c>
      <c r="X473" t="s">
        <v>2658</v>
      </c>
      <c r="Y473">
        <v>7</v>
      </c>
      <c r="Z473">
        <v>0</v>
      </c>
      <c r="AA473">
        <f>IF('Στατιστικά'!$C$6,1,IFERROR(INDEX('Στατιστικά'!$C$10:$C$83,MATCH(G473,'Στατιστικά'!$B$10:$B$83,0))*1,0))</f>
        <v>1</v>
      </c>
    </row>
    <row r="474" spans="1:27">
      <c r="A474" s="2">
        <v>46217</v>
      </c>
      <c r="B474" t="s">
        <v>182</v>
      </c>
      <c r="C474" t="s">
        <v>2871</v>
      </c>
      <c r="D474" t="s">
        <v>1</v>
      </c>
      <c r="E474" t="s">
        <v>2872</v>
      </c>
      <c r="F474" t="s">
        <v>44</v>
      </c>
      <c r="G474" t="s">
        <v>174</v>
      </c>
      <c r="H474" t="s">
        <v>302</v>
      </c>
      <c r="I474">
        <v>80</v>
      </c>
      <c r="J474">
        <v>24</v>
      </c>
      <c r="K474">
        <v>6</v>
      </c>
      <c r="L474">
        <v>3</v>
      </c>
      <c r="M474" t="s">
        <v>2873</v>
      </c>
      <c r="N474" t="s">
        <v>2874</v>
      </c>
      <c r="O474" t="s">
        <v>2875</v>
      </c>
      <c r="Q474">
        <v>3</v>
      </c>
      <c r="R474" t="s">
        <v>79</v>
      </c>
      <c r="S474" t="s">
        <v>80</v>
      </c>
      <c r="T474" t="s">
        <v>2876</v>
      </c>
      <c r="U474" s="3" t="s">
        <v>2877</v>
      </c>
      <c r="V474" s="3" t="s">
        <v>2878</v>
      </c>
      <c r="W474" s="3" t="s">
        <v>2879</v>
      </c>
      <c r="X474" t="s">
        <v>2441</v>
      </c>
      <c r="Y474">
        <v>7</v>
      </c>
      <c r="Z474">
        <v>0</v>
      </c>
      <c r="AA474">
        <f>IF('Στατιστικά'!$C$6,1,IFERROR(INDEX('Στατιστικά'!$C$10:$C$83,MATCH(G474,'Στατιστικά'!$B$10:$B$83,0))*1,0))</f>
        <v>1</v>
      </c>
    </row>
    <row r="475" spans="1:27">
      <c r="A475" s="2">
        <v>46217</v>
      </c>
      <c r="B475" t="s">
        <v>182</v>
      </c>
      <c r="C475" t="s">
        <v>1</v>
      </c>
      <c r="D475" t="s">
        <v>1</v>
      </c>
      <c r="E475" t="s">
        <v>2880</v>
      </c>
      <c r="F475" t="s">
        <v>44</v>
      </c>
      <c r="G475" t="s">
        <v>174</v>
      </c>
      <c r="H475" t="s">
        <v>2626</v>
      </c>
      <c r="I475">
        <v>80</v>
      </c>
      <c r="J475">
        <v>20</v>
      </c>
      <c r="K475">
        <v>6</v>
      </c>
      <c r="L475">
        <v>3</v>
      </c>
      <c r="M475" t="s">
        <v>2191</v>
      </c>
      <c r="N475" t="s">
        <v>2881</v>
      </c>
      <c r="O475" t="s">
        <v>1</v>
      </c>
      <c r="Q475">
        <v>3</v>
      </c>
      <c r="R475" t="s">
        <v>79</v>
      </c>
      <c r="S475" t="s">
        <v>80</v>
      </c>
      <c r="T475" t="s">
        <v>1</v>
      </c>
      <c r="U475" s="3" t="s">
        <v>2882</v>
      </c>
      <c r="V475" s="3" t="s">
        <v>2883</v>
      </c>
      <c r="W475" s="3" t="s">
        <v>4596</v>
      </c>
      <c r="X475" t="s">
        <v>2885</v>
      </c>
      <c r="Y475">
        <v>7</v>
      </c>
      <c r="Z475">
        <v>0</v>
      </c>
      <c r="AA475">
        <f>IF('Στατιστικά'!$C$6,1,IFERROR(INDEX('Στατιστικά'!$C$10:$C$83,MATCH(G475,'Στατιστικά'!$B$10:$B$83,0))*1,0))</f>
        <v>1</v>
      </c>
    </row>
    <row r="476" spans="1:27">
      <c r="A476" s="2">
        <v>46217</v>
      </c>
      <c r="B476" t="s">
        <v>728</v>
      </c>
      <c r="C476" t="s">
        <v>182</v>
      </c>
      <c r="D476" t="s">
        <v>1</v>
      </c>
      <c r="E476" t="s">
        <v>2886</v>
      </c>
      <c r="F476" t="s">
        <v>64</v>
      </c>
      <c r="G476" t="s">
        <v>116</v>
      </c>
      <c r="H476" t="s">
        <v>1</v>
      </c>
      <c r="I476">
        <v>20</v>
      </c>
      <c r="J476">
        <v>5</v>
      </c>
      <c r="K476">
        <v>0</v>
      </c>
      <c r="L476">
        <v>0</v>
      </c>
      <c r="M476" t="s">
        <v>2887</v>
      </c>
      <c r="N476" t="s">
        <v>2888</v>
      </c>
      <c r="O476" t="s">
        <v>1</v>
      </c>
      <c r="P476" t="s">
        <v>4821</v>
      </c>
      <c r="R476" t="s">
        <v>1</v>
      </c>
      <c r="S476" t="s">
        <v>80</v>
      </c>
      <c r="T476" t="s">
        <v>1369</v>
      </c>
      <c r="U476" s="3" t="s">
        <v>1</v>
      </c>
      <c r="V476" s="3" t="s">
        <v>2889</v>
      </c>
      <c r="W476" s="3" t="s">
        <v>4822</v>
      </c>
      <c r="X476" t="s">
        <v>2441</v>
      </c>
      <c r="Y476">
        <v>7</v>
      </c>
      <c r="Z476">
        <v>0</v>
      </c>
      <c r="AA476">
        <f>IF('Στατιστικά'!$C$6,1,IFERROR(INDEX('Στατιστικά'!$C$10:$C$83,MATCH(G476,'Στατιστικά'!$B$10:$B$83,0))*1,0))</f>
        <v>1</v>
      </c>
    </row>
    <row r="477" spans="1:27">
      <c r="A477" s="2">
        <v>46216</v>
      </c>
      <c r="B477" t="s">
        <v>926</v>
      </c>
      <c r="C477" t="s">
        <v>1</v>
      </c>
      <c r="D477" t="s">
        <v>1</v>
      </c>
      <c r="E477" t="s">
        <v>2891</v>
      </c>
      <c r="F477" t="s">
        <v>64</v>
      </c>
      <c r="G477" t="s">
        <v>130</v>
      </c>
      <c r="H477" t="s">
        <v>2892</v>
      </c>
      <c r="I477">
        <v>25</v>
      </c>
      <c r="J477">
        <v>7</v>
      </c>
      <c r="K477">
        <v>2</v>
      </c>
      <c r="L477">
        <v>0</v>
      </c>
      <c r="M477" t="s">
        <v>922</v>
      </c>
      <c r="N477" t="s">
        <v>2893</v>
      </c>
      <c r="O477" t="s">
        <v>1</v>
      </c>
      <c r="P477" t="s">
        <v>4823</v>
      </c>
      <c r="Q477">
        <v>4</v>
      </c>
      <c r="R477" t="s">
        <v>137</v>
      </c>
      <c r="S477" t="s">
        <v>58</v>
      </c>
      <c r="T477" t="s">
        <v>2894</v>
      </c>
      <c r="U477" s="3" t="s">
        <v>1</v>
      </c>
      <c r="V477" s="3" t="s">
        <v>2895</v>
      </c>
      <c r="W477" s="3" t="s">
        <v>4824</v>
      </c>
      <c r="X477" t="s">
        <v>2645</v>
      </c>
      <c r="Y477">
        <v>7</v>
      </c>
      <c r="Z477">
        <v>0</v>
      </c>
      <c r="AA477">
        <f>IF('Στατιστικά'!$C$6,1,IFERROR(INDEX('Στατιστικά'!$C$10:$C$83,MATCH(G477,'Στατιστικά'!$B$10:$B$83,0))*1,0))</f>
        <v>1</v>
      </c>
    </row>
    <row r="478" spans="1:27">
      <c r="A478" s="2">
        <v>46216</v>
      </c>
      <c r="B478" t="s">
        <v>926</v>
      </c>
      <c r="C478" t="s">
        <v>1</v>
      </c>
      <c r="D478" t="s">
        <v>1</v>
      </c>
      <c r="E478" t="s">
        <v>2897</v>
      </c>
      <c r="F478" t="s">
        <v>44</v>
      </c>
      <c r="G478" t="s">
        <v>45</v>
      </c>
      <c r="H478" t="s">
        <v>813</v>
      </c>
      <c r="I478">
        <v>40</v>
      </c>
      <c r="J478">
        <v>9</v>
      </c>
      <c r="K478">
        <v>2</v>
      </c>
      <c r="L478">
        <v>2</v>
      </c>
      <c r="M478" t="s">
        <v>2898</v>
      </c>
      <c r="N478" t="s">
        <v>2899</v>
      </c>
      <c r="O478" t="s">
        <v>1</v>
      </c>
      <c r="Q478">
        <v>3</v>
      </c>
      <c r="R478" t="s">
        <v>79</v>
      </c>
      <c r="S478" t="s">
        <v>80</v>
      </c>
      <c r="T478" t="s">
        <v>1</v>
      </c>
      <c r="U478" s="3" t="s">
        <v>1</v>
      </c>
      <c r="V478" s="3" t="s">
        <v>2900</v>
      </c>
      <c r="W478" s="3" t="s">
        <v>2901</v>
      </c>
      <c r="X478" t="s">
        <v>2902</v>
      </c>
      <c r="Y478">
        <v>7</v>
      </c>
      <c r="Z478">
        <v>0</v>
      </c>
      <c r="AA478">
        <f>IF('Στατιστικά'!$C$6,1,IFERROR(INDEX('Στατιστικά'!$C$10:$C$83,MATCH(G478,'Στατιστικά'!$B$10:$B$83,0))*1,0))</f>
        <v>1</v>
      </c>
    </row>
    <row r="479" spans="1:27">
      <c r="A479" s="2">
        <v>46216</v>
      </c>
      <c r="B479" t="s">
        <v>926</v>
      </c>
      <c r="C479" t="s">
        <v>1</v>
      </c>
      <c r="D479" t="s">
        <v>1</v>
      </c>
      <c r="E479" t="s">
        <v>2903</v>
      </c>
      <c r="F479" t="s">
        <v>44</v>
      </c>
      <c r="G479" t="s">
        <v>45</v>
      </c>
      <c r="H479" t="s">
        <v>2904</v>
      </c>
      <c r="I479">
        <v>40</v>
      </c>
      <c r="J479">
        <v>9</v>
      </c>
      <c r="K479">
        <v>2</v>
      </c>
      <c r="L479">
        <v>2</v>
      </c>
      <c r="M479" t="s">
        <v>2905</v>
      </c>
      <c r="N479" t="s">
        <v>863</v>
      </c>
      <c r="O479" t="s">
        <v>1</v>
      </c>
      <c r="Q479">
        <v>3</v>
      </c>
      <c r="R479" t="s">
        <v>79</v>
      </c>
      <c r="S479" t="s">
        <v>80</v>
      </c>
      <c r="T479" t="s">
        <v>2906</v>
      </c>
      <c r="U479" s="3" t="s">
        <v>1</v>
      </c>
      <c r="V479" s="3" t="s">
        <v>2907</v>
      </c>
      <c r="W479" s="3" t="s">
        <v>4597</v>
      </c>
      <c r="X479" t="s">
        <v>2658</v>
      </c>
      <c r="Y479">
        <v>7</v>
      </c>
      <c r="Z479">
        <v>0</v>
      </c>
      <c r="AA479">
        <f>IF('Στατιστικά'!$C$6,1,IFERROR(INDEX('Στατιστικά'!$C$10:$C$83,MATCH(G479,'Στατιστικά'!$B$10:$B$83,0))*1,0))</f>
        <v>1</v>
      </c>
    </row>
    <row r="480" spans="1:27">
      <c r="A480" s="2">
        <v>46216</v>
      </c>
      <c r="B480" t="s">
        <v>251</v>
      </c>
      <c r="C480" t="s">
        <v>811</v>
      </c>
      <c r="D480" t="s">
        <v>1</v>
      </c>
      <c r="E480" t="s">
        <v>2909</v>
      </c>
      <c r="F480" t="s">
        <v>324</v>
      </c>
      <c r="G480" t="s">
        <v>325</v>
      </c>
      <c r="H480" t="s">
        <v>1964</v>
      </c>
      <c r="I480">
        <v>22</v>
      </c>
      <c r="J480">
        <v>6</v>
      </c>
      <c r="K480">
        <v>2</v>
      </c>
      <c r="L480">
        <v>1</v>
      </c>
      <c r="M480" t="s">
        <v>2910</v>
      </c>
      <c r="N480" t="s">
        <v>2911</v>
      </c>
      <c r="O480" t="s">
        <v>2912</v>
      </c>
      <c r="P480" t="s">
        <v>4825</v>
      </c>
      <c r="Q480">
        <v>3</v>
      </c>
      <c r="R480" t="s">
        <v>79</v>
      </c>
      <c r="S480" t="s">
        <v>891</v>
      </c>
      <c r="T480" t="s">
        <v>2913</v>
      </c>
      <c r="U480" s="3" t="s">
        <v>2914</v>
      </c>
      <c r="V480" s="3" t="s">
        <v>2915</v>
      </c>
      <c r="W480" s="3" t="s">
        <v>4826</v>
      </c>
      <c r="X480" t="s">
        <v>2902</v>
      </c>
      <c r="Y480">
        <v>7</v>
      </c>
      <c r="Z480">
        <v>0</v>
      </c>
      <c r="AA480">
        <f>IF('Στατιστικά'!$C$6,1,IFERROR(INDEX('Στατιστικά'!$C$10:$C$83,MATCH(G480,'Στατιστικά'!$B$10:$B$83,0))*1,0))</f>
        <v>1</v>
      </c>
    </row>
    <row r="481" spans="1:27">
      <c r="A481" s="2">
        <v>46216</v>
      </c>
      <c r="B481" t="s">
        <v>300</v>
      </c>
      <c r="C481" t="s">
        <v>668</v>
      </c>
      <c r="D481" t="s">
        <v>1</v>
      </c>
      <c r="E481" t="s">
        <v>2917</v>
      </c>
      <c r="F481" t="s">
        <v>64</v>
      </c>
      <c r="G481" t="s">
        <v>130</v>
      </c>
      <c r="H481" t="s">
        <v>2918</v>
      </c>
      <c r="I481">
        <v>25</v>
      </c>
      <c r="J481">
        <v>7</v>
      </c>
      <c r="K481">
        <v>0</v>
      </c>
      <c r="L481">
        <v>2</v>
      </c>
      <c r="M481" t="s">
        <v>2919</v>
      </c>
      <c r="N481" t="s">
        <v>377</v>
      </c>
      <c r="O481" t="s">
        <v>1</v>
      </c>
      <c r="P481" t="s">
        <v>4827</v>
      </c>
      <c r="Q481">
        <v>4</v>
      </c>
      <c r="R481" t="s">
        <v>137</v>
      </c>
      <c r="S481" t="s">
        <v>80</v>
      </c>
      <c r="T481" t="s">
        <v>2906</v>
      </c>
      <c r="U481" s="3" t="s">
        <v>1</v>
      </c>
      <c r="V481" s="3" t="s">
        <v>2920</v>
      </c>
      <c r="W481" s="3" t="s">
        <v>4828</v>
      </c>
      <c r="X481" t="s">
        <v>2885</v>
      </c>
      <c r="Y481">
        <v>7</v>
      </c>
      <c r="Z481">
        <v>0</v>
      </c>
      <c r="AA481">
        <f>IF('Στατιστικά'!$C$6,1,IFERROR(INDEX('Στατιστικά'!$C$10:$C$83,MATCH(G481,'Στατιστικά'!$B$10:$B$83,0))*1,0))</f>
        <v>1</v>
      </c>
    </row>
    <row r="482" spans="1:27">
      <c r="A482" s="2">
        <v>46216</v>
      </c>
      <c r="B482" t="s">
        <v>182</v>
      </c>
      <c r="C482" t="s">
        <v>2922</v>
      </c>
      <c r="D482" t="s">
        <v>1</v>
      </c>
      <c r="E482" t="s">
        <v>2923</v>
      </c>
      <c r="F482" t="s">
        <v>141</v>
      </c>
      <c r="G482" t="s">
        <v>1232</v>
      </c>
      <c r="H482" t="s">
        <v>2924</v>
      </c>
      <c r="I482">
        <v>38</v>
      </c>
      <c r="J482">
        <v>8</v>
      </c>
      <c r="K482">
        <v>4</v>
      </c>
      <c r="L482">
        <v>1</v>
      </c>
      <c r="M482" t="s">
        <v>2925</v>
      </c>
      <c r="N482" t="s">
        <v>1</v>
      </c>
      <c r="O482" t="s">
        <v>1</v>
      </c>
      <c r="Q482">
        <v>3</v>
      </c>
      <c r="R482" t="s">
        <v>79</v>
      </c>
      <c r="S482" t="s">
        <v>80</v>
      </c>
      <c r="T482" t="s">
        <v>2926</v>
      </c>
      <c r="U482" s="3" t="s">
        <v>1</v>
      </c>
      <c r="V482" s="3" t="s">
        <v>2927</v>
      </c>
      <c r="W482" s="3" t="s">
        <v>2928</v>
      </c>
      <c r="X482" t="s">
        <v>2645</v>
      </c>
      <c r="Y482">
        <v>7</v>
      </c>
      <c r="Z482">
        <v>0</v>
      </c>
      <c r="AA482">
        <f>IF('Στατιστικά'!$C$6,1,IFERROR(INDEX('Στατιστικά'!$C$10:$C$83,MATCH(G482,'Στατιστικά'!$B$10:$B$83,0))*1,0))</f>
        <v>1</v>
      </c>
    </row>
    <row r="483" spans="1:27">
      <c r="A483" s="2">
        <v>46215</v>
      </c>
      <c r="B483" t="s">
        <v>42</v>
      </c>
      <c r="C483" t="s">
        <v>1</v>
      </c>
      <c r="D483" t="s">
        <v>1</v>
      </c>
      <c r="E483" t="s">
        <v>2929</v>
      </c>
      <c r="F483" t="s">
        <v>160</v>
      </c>
      <c r="G483" t="s">
        <v>161</v>
      </c>
      <c r="H483" t="s">
        <v>2151</v>
      </c>
      <c r="I483">
        <v>23</v>
      </c>
      <c r="J483">
        <v>6</v>
      </c>
      <c r="K483">
        <v>3</v>
      </c>
      <c r="L483">
        <v>1</v>
      </c>
      <c r="M483" t="s">
        <v>989</v>
      </c>
      <c r="N483" t="s">
        <v>1</v>
      </c>
      <c r="O483" t="s">
        <v>1</v>
      </c>
      <c r="P483">
        <v>1.5</v>
      </c>
      <c r="Q483">
        <v>2</v>
      </c>
      <c r="R483" t="s">
        <v>17</v>
      </c>
      <c r="S483" t="s">
        <v>80</v>
      </c>
      <c r="T483" t="s">
        <v>98</v>
      </c>
      <c r="U483" s="3" t="s">
        <v>1</v>
      </c>
      <c r="V483" s="3" t="s">
        <v>2930</v>
      </c>
      <c r="W483" s="3" t="s">
        <v>2931</v>
      </c>
      <c r="X483" t="s">
        <v>2658</v>
      </c>
      <c r="Y483">
        <v>7</v>
      </c>
      <c r="Z483">
        <v>1.5</v>
      </c>
      <c r="AA483">
        <f>IF('Στατιστικά'!$C$6,1,IFERROR(INDEX('Στατιστικά'!$C$10:$C$83,MATCH(G483,'Στατιστικά'!$B$10:$B$83,0))*1,0))</f>
        <v>1</v>
      </c>
    </row>
    <row r="484" spans="1:27">
      <c r="A484" s="2">
        <v>46215</v>
      </c>
      <c r="B484" t="s">
        <v>62</v>
      </c>
      <c r="C484" t="s">
        <v>1</v>
      </c>
      <c r="D484" t="s">
        <v>1</v>
      </c>
      <c r="E484" t="s">
        <v>2932</v>
      </c>
      <c r="F484" t="s">
        <v>64</v>
      </c>
      <c r="G484" t="s">
        <v>130</v>
      </c>
      <c r="H484" t="s">
        <v>2933</v>
      </c>
      <c r="I484">
        <v>35</v>
      </c>
      <c r="J484">
        <v>10</v>
      </c>
      <c r="L484">
        <v>2</v>
      </c>
      <c r="M484" t="s">
        <v>2934</v>
      </c>
      <c r="N484" t="s">
        <v>1</v>
      </c>
      <c r="O484" t="s">
        <v>1</v>
      </c>
      <c r="R484" t="s">
        <v>1</v>
      </c>
      <c r="S484" t="s">
        <v>80</v>
      </c>
      <c r="T484" t="s">
        <v>2751</v>
      </c>
      <c r="U484" s="3" t="s">
        <v>239</v>
      </c>
      <c r="V484" s="3" t="s">
        <v>2935</v>
      </c>
      <c r="W484" s="3" t="s">
        <v>2936</v>
      </c>
      <c r="X484" t="s">
        <v>2658</v>
      </c>
      <c r="Y484">
        <v>7</v>
      </c>
      <c r="Z484">
        <v>0</v>
      </c>
      <c r="AA484">
        <f>IF('Στατιστικά'!$C$6,1,IFERROR(INDEX('Στατιστικά'!$C$10:$C$83,MATCH(G484,'Στατιστικά'!$B$10:$B$83,0))*1,0))</f>
        <v>1</v>
      </c>
    </row>
    <row r="485" spans="1:27">
      <c r="A485" s="2">
        <v>46215</v>
      </c>
      <c r="B485" t="s">
        <v>62</v>
      </c>
      <c r="C485" t="s">
        <v>591</v>
      </c>
      <c r="D485" t="s">
        <v>1</v>
      </c>
      <c r="E485" t="s">
        <v>2937</v>
      </c>
      <c r="F485" t="s">
        <v>64</v>
      </c>
      <c r="G485" t="s">
        <v>130</v>
      </c>
      <c r="H485" t="s">
        <v>2938</v>
      </c>
      <c r="I485">
        <v>35</v>
      </c>
      <c r="J485">
        <v>10</v>
      </c>
      <c r="K485">
        <v>0</v>
      </c>
      <c r="L485">
        <v>2</v>
      </c>
      <c r="M485" t="s">
        <v>2939</v>
      </c>
      <c r="N485" t="s">
        <v>2232</v>
      </c>
      <c r="O485" t="s">
        <v>1</v>
      </c>
      <c r="Q485">
        <v>2</v>
      </c>
      <c r="R485" t="s">
        <v>17</v>
      </c>
      <c r="S485" t="s">
        <v>80</v>
      </c>
      <c r="T485" t="s">
        <v>98</v>
      </c>
      <c r="U485" s="3" t="s">
        <v>2940</v>
      </c>
      <c r="V485" s="3" t="s">
        <v>2941</v>
      </c>
      <c r="W485" s="3" t="s">
        <v>4598</v>
      </c>
      <c r="X485" t="s">
        <v>2943</v>
      </c>
      <c r="Y485">
        <v>7</v>
      </c>
      <c r="Z485">
        <v>0</v>
      </c>
      <c r="AA485">
        <f>IF('Στατιστικά'!$C$6,1,IFERROR(INDEX('Στατιστικά'!$C$10:$C$83,MATCH(G485,'Στατιστικά'!$B$10:$B$83,0))*1,0))</f>
        <v>1</v>
      </c>
    </row>
    <row r="486" spans="1:27">
      <c r="A486" s="2">
        <v>46215</v>
      </c>
      <c r="B486" t="s">
        <v>62</v>
      </c>
      <c r="C486" t="s">
        <v>1</v>
      </c>
      <c r="D486" t="s">
        <v>1</v>
      </c>
      <c r="E486" t="s">
        <v>2944</v>
      </c>
      <c r="F486" t="s">
        <v>217</v>
      </c>
      <c r="G486" t="s">
        <v>218</v>
      </c>
      <c r="H486" t="s">
        <v>2945</v>
      </c>
      <c r="I486">
        <v>25</v>
      </c>
      <c r="J486">
        <v>10</v>
      </c>
      <c r="K486">
        <v>2</v>
      </c>
      <c r="L486">
        <v>1</v>
      </c>
      <c r="M486" t="s">
        <v>1</v>
      </c>
      <c r="N486" t="s">
        <v>1</v>
      </c>
      <c r="O486" t="s">
        <v>1</v>
      </c>
      <c r="P486" t="s">
        <v>4829</v>
      </c>
      <c r="Q486">
        <v>2</v>
      </c>
      <c r="R486" t="s">
        <v>17</v>
      </c>
      <c r="S486" t="s">
        <v>58</v>
      </c>
      <c r="T486" t="s">
        <v>1</v>
      </c>
      <c r="U486" s="3" t="s">
        <v>1</v>
      </c>
      <c r="V486" s="3" t="s">
        <v>2946</v>
      </c>
      <c r="W486" s="3" t="s">
        <v>4830</v>
      </c>
      <c r="X486" t="s">
        <v>2943</v>
      </c>
      <c r="Y486">
        <v>7</v>
      </c>
      <c r="Z486">
        <v>0</v>
      </c>
      <c r="AA486">
        <f>IF('Στατιστικά'!$C$6,1,IFERROR(INDEX('Στατιστικά'!$C$10:$C$83,MATCH(G486,'Στατιστικά'!$B$10:$B$83,0))*1,0))</f>
        <v>1</v>
      </c>
    </row>
    <row r="487" spans="1:27">
      <c r="A487" s="2">
        <v>46215</v>
      </c>
      <c r="B487" t="s">
        <v>251</v>
      </c>
      <c r="C487" t="s">
        <v>931</v>
      </c>
      <c r="D487" t="s">
        <v>1</v>
      </c>
      <c r="E487" t="s">
        <v>2948</v>
      </c>
      <c r="F487" t="s">
        <v>38</v>
      </c>
      <c r="G487" t="s">
        <v>15</v>
      </c>
      <c r="H487" t="s">
        <v>2949</v>
      </c>
      <c r="I487">
        <v>35</v>
      </c>
      <c r="J487">
        <v>11</v>
      </c>
      <c r="K487">
        <v>2</v>
      </c>
      <c r="L487">
        <v>2</v>
      </c>
      <c r="M487" t="s">
        <v>2950</v>
      </c>
      <c r="N487" t="s">
        <v>2464</v>
      </c>
      <c r="O487" t="s">
        <v>1</v>
      </c>
      <c r="Q487">
        <v>3</v>
      </c>
      <c r="R487" t="s">
        <v>79</v>
      </c>
      <c r="S487" t="s">
        <v>891</v>
      </c>
      <c r="T487" t="s">
        <v>2951</v>
      </c>
      <c r="U487" s="3" t="s">
        <v>2952</v>
      </c>
      <c r="V487" s="3" t="s">
        <v>2953</v>
      </c>
      <c r="W487" s="3" t="s">
        <v>2954</v>
      </c>
      <c r="X487" t="s">
        <v>2645</v>
      </c>
      <c r="Y487">
        <v>7</v>
      </c>
      <c r="Z487">
        <v>0</v>
      </c>
      <c r="AA487">
        <f>IF('Στατιστικά'!$C$6,1,IFERROR(INDEX('Στατιστικά'!$C$10:$C$83,MATCH(G487,'Στατιστικά'!$B$10:$B$83,0))*1,0))</f>
        <v>1</v>
      </c>
    </row>
    <row r="488" spans="1:27">
      <c r="A488" s="2">
        <v>46215</v>
      </c>
      <c r="B488" t="s">
        <v>2955</v>
      </c>
      <c r="C488" t="s">
        <v>1</v>
      </c>
      <c r="D488" t="s">
        <v>1</v>
      </c>
      <c r="E488" t="s">
        <v>2956</v>
      </c>
      <c r="F488" t="s">
        <v>324</v>
      </c>
      <c r="G488" t="s">
        <v>325</v>
      </c>
      <c r="H488" t="s">
        <v>2085</v>
      </c>
      <c r="I488">
        <v>18</v>
      </c>
      <c r="J488">
        <v>8</v>
      </c>
      <c r="K488">
        <v>2</v>
      </c>
      <c r="L488">
        <v>1</v>
      </c>
      <c r="M488" t="s">
        <v>2957</v>
      </c>
      <c r="N488" t="s">
        <v>1</v>
      </c>
      <c r="O488" t="s">
        <v>1</v>
      </c>
      <c r="Q488">
        <v>3</v>
      </c>
      <c r="R488" t="s">
        <v>79</v>
      </c>
      <c r="S488" t="s">
        <v>80</v>
      </c>
      <c r="T488" t="s">
        <v>98</v>
      </c>
      <c r="U488" s="3" t="s">
        <v>1</v>
      </c>
      <c r="V488" s="3" t="s">
        <v>2958</v>
      </c>
      <c r="W488" s="3" t="s">
        <v>4599</v>
      </c>
      <c r="X488" t="s">
        <v>2658</v>
      </c>
      <c r="Y488">
        <v>7</v>
      </c>
      <c r="Z488">
        <v>0</v>
      </c>
      <c r="AA488">
        <f>IF('Στατιστικά'!$C$6,1,IFERROR(INDEX('Στατιστικά'!$C$10:$C$83,MATCH(G488,'Στατιστικά'!$B$10:$B$83,0))*1,0))</f>
        <v>1</v>
      </c>
    </row>
    <row r="489" spans="1:27">
      <c r="A489" s="2">
        <v>46215</v>
      </c>
      <c r="B489" t="s">
        <v>72</v>
      </c>
      <c r="C489" t="s">
        <v>51</v>
      </c>
      <c r="D489" t="s">
        <v>1</v>
      </c>
      <c r="E489" t="s">
        <v>2960</v>
      </c>
      <c r="F489" t="s">
        <v>44</v>
      </c>
      <c r="G489" t="s">
        <v>94</v>
      </c>
      <c r="H489" t="s">
        <v>2626</v>
      </c>
      <c r="I489">
        <v>24</v>
      </c>
      <c r="J489">
        <v>6</v>
      </c>
      <c r="K489">
        <v>0</v>
      </c>
      <c r="L489">
        <v>1</v>
      </c>
      <c r="M489" t="s">
        <v>2961</v>
      </c>
      <c r="N489" t="s">
        <v>1</v>
      </c>
      <c r="O489" t="s">
        <v>1</v>
      </c>
      <c r="P489" t="s">
        <v>4831</v>
      </c>
      <c r="Q489">
        <v>3</v>
      </c>
      <c r="R489" t="s">
        <v>79</v>
      </c>
      <c r="S489" t="s">
        <v>107</v>
      </c>
      <c r="T489" t="s">
        <v>98</v>
      </c>
      <c r="U489" s="3" t="s">
        <v>1</v>
      </c>
      <c r="V489" s="3" t="s">
        <v>2962</v>
      </c>
      <c r="W489" s="3" t="s">
        <v>4832</v>
      </c>
      <c r="X489" t="s">
        <v>2964</v>
      </c>
      <c r="Y489">
        <v>7</v>
      </c>
      <c r="Z489">
        <v>0</v>
      </c>
      <c r="AA489">
        <f>IF('Στατιστικά'!$C$6,1,IFERROR(INDEX('Στατιστικά'!$C$10:$C$83,MATCH(G489,'Στατιστικά'!$B$10:$B$83,0))*1,0))</f>
        <v>1</v>
      </c>
    </row>
    <row r="490" spans="1:27">
      <c r="A490" s="2">
        <v>46215</v>
      </c>
      <c r="B490" t="s">
        <v>410</v>
      </c>
      <c r="C490" t="s">
        <v>1</v>
      </c>
      <c r="D490" t="s">
        <v>1</v>
      </c>
      <c r="E490" t="s">
        <v>2965</v>
      </c>
      <c r="F490" t="s">
        <v>3</v>
      </c>
      <c r="G490" t="s">
        <v>4</v>
      </c>
      <c r="H490" t="s">
        <v>2486</v>
      </c>
      <c r="I490">
        <v>27</v>
      </c>
      <c r="J490">
        <v>6</v>
      </c>
      <c r="K490">
        <v>0</v>
      </c>
      <c r="L490">
        <v>1</v>
      </c>
      <c r="M490" t="s">
        <v>2966</v>
      </c>
      <c r="N490" t="s">
        <v>1</v>
      </c>
      <c r="O490" t="s">
        <v>1</v>
      </c>
      <c r="Q490">
        <v>2</v>
      </c>
      <c r="R490" t="s">
        <v>17</v>
      </c>
      <c r="S490" t="s">
        <v>58</v>
      </c>
      <c r="T490" t="s">
        <v>1</v>
      </c>
      <c r="U490" s="3" t="s">
        <v>1</v>
      </c>
      <c r="V490" s="3" t="s">
        <v>2967</v>
      </c>
      <c r="W490" s="3" t="s">
        <v>2968</v>
      </c>
      <c r="X490" t="s">
        <v>2943</v>
      </c>
      <c r="Y490">
        <v>7</v>
      </c>
      <c r="Z490">
        <v>0</v>
      </c>
      <c r="AA490">
        <f>IF('Στατιστικά'!$C$6,1,IFERROR(INDEX('Στατιστικά'!$C$10:$C$83,MATCH(G490,'Στατιστικά'!$B$10:$B$83,0))*1,0))</f>
        <v>1</v>
      </c>
    </row>
    <row r="491" spans="1:27">
      <c r="A491" s="2">
        <v>46215</v>
      </c>
      <c r="B491" t="s">
        <v>881</v>
      </c>
      <c r="C491" t="s">
        <v>1</v>
      </c>
      <c r="D491" t="s">
        <v>1</v>
      </c>
      <c r="E491" t="s">
        <v>2969</v>
      </c>
      <c r="F491" t="s">
        <v>38</v>
      </c>
      <c r="G491" t="s">
        <v>15</v>
      </c>
      <c r="H491" t="s">
        <v>475</v>
      </c>
      <c r="I491">
        <v>35</v>
      </c>
      <c r="J491">
        <v>10</v>
      </c>
      <c r="K491">
        <v>0</v>
      </c>
      <c r="L491">
        <v>0</v>
      </c>
      <c r="M491" t="s">
        <v>1682</v>
      </c>
      <c r="N491" t="s">
        <v>1</v>
      </c>
      <c r="O491" t="s">
        <v>1</v>
      </c>
      <c r="Q491">
        <v>3</v>
      </c>
      <c r="R491" t="s">
        <v>79</v>
      </c>
      <c r="S491" t="s">
        <v>80</v>
      </c>
      <c r="T491" t="s">
        <v>98</v>
      </c>
      <c r="U491" s="3" t="s">
        <v>1</v>
      </c>
      <c r="V491" s="3" t="s">
        <v>2970</v>
      </c>
      <c r="W491" s="3" t="s">
        <v>2971</v>
      </c>
      <c r="X491" t="s">
        <v>2658</v>
      </c>
      <c r="Y491">
        <v>7</v>
      </c>
      <c r="Z491">
        <v>0</v>
      </c>
      <c r="AA491">
        <f>IF('Στατιστικά'!$C$6,1,IFERROR(INDEX('Στατιστικά'!$C$10:$C$83,MATCH(G491,'Στατιστικά'!$B$10:$B$83,0))*1,0))</f>
        <v>1</v>
      </c>
    </row>
    <row r="492" spans="1:27">
      <c r="A492" s="2">
        <v>46215</v>
      </c>
      <c r="B492" t="s">
        <v>881</v>
      </c>
      <c r="C492" t="s">
        <v>1</v>
      </c>
      <c r="D492" t="s">
        <v>1</v>
      </c>
      <c r="E492" t="s">
        <v>2972</v>
      </c>
      <c r="F492" t="s">
        <v>217</v>
      </c>
      <c r="G492" t="s">
        <v>218</v>
      </c>
      <c r="H492" t="s">
        <v>333</v>
      </c>
      <c r="M492" t="s">
        <v>1</v>
      </c>
      <c r="N492" t="s">
        <v>1</v>
      </c>
      <c r="O492" t="s">
        <v>1</v>
      </c>
      <c r="Q492">
        <v>3</v>
      </c>
      <c r="R492" t="s">
        <v>79</v>
      </c>
      <c r="S492" t="s">
        <v>107</v>
      </c>
      <c r="T492" t="s">
        <v>1</v>
      </c>
      <c r="U492" s="3" t="s">
        <v>1</v>
      </c>
      <c r="V492" s="3" t="s">
        <v>2973</v>
      </c>
      <c r="W492" s="3" t="s">
        <v>2974</v>
      </c>
      <c r="X492" t="s">
        <v>2964</v>
      </c>
      <c r="Y492">
        <v>7</v>
      </c>
      <c r="Z492">
        <v>0</v>
      </c>
      <c r="AA492">
        <f>IF('Στατιστικά'!$C$6,1,IFERROR(INDEX('Στατιστικά'!$C$10:$C$83,MATCH(G492,'Στατιστικά'!$B$10:$B$83,0))*1,0))</f>
        <v>1</v>
      </c>
    </row>
    <row r="493" spans="1:27">
      <c r="A493" s="2">
        <v>46215</v>
      </c>
      <c r="B493" t="s">
        <v>1</v>
      </c>
      <c r="C493" t="s">
        <v>2975</v>
      </c>
      <c r="D493" t="s">
        <v>1</v>
      </c>
      <c r="E493" t="s">
        <v>2976</v>
      </c>
      <c r="F493" t="s">
        <v>3</v>
      </c>
      <c r="G493" t="s">
        <v>4</v>
      </c>
      <c r="H493" t="s">
        <v>2486</v>
      </c>
      <c r="I493">
        <v>49</v>
      </c>
      <c r="J493">
        <v>10</v>
      </c>
      <c r="K493">
        <v>0</v>
      </c>
      <c r="L493">
        <v>3</v>
      </c>
      <c r="M493" t="s">
        <v>2977</v>
      </c>
      <c r="N493" t="s">
        <v>1</v>
      </c>
      <c r="O493" t="s">
        <v>1</v>
      </c>
      <c r="Q493">
        <v>2</v>
      </c>
      <c r="R493" t="s">
        <v>17</v>
      </c>
      <c r="S493" t="s">
        <v>80</v>
      </c>
      <c r="T493" t="s">
        <v>2642</v>
      </c>
      <c r="U493" s="3" t="s">
        <v>1</v>
      </c>
      <c r="V493" s="3" t="s">
        <v>2978</v>
      </c>
      <c r="W493" s="3" t="s">
        <v>2979</v>
      </c>
      <c r="X493" t="s">
        <v>2645</v>
      </c>
      <c r="Y493">
        <v>7</v>
      </c>
      <c r="Z493">
        <v>0</v>
      </c>
      <c r="AA493">
        <f>IF('Στατιστικά'!$C$6,1,IFERROR(INDEX('Στατιστικά'!$C$10:$C$83,MATCH(G493,'Στατιστικά'!$B$10:$B$83,0))*1,0))</f>
        <v>1</v>
      </c>
    </row>
    <row r="494" spans="1:27">
      <c r="A494" s="2">
        <v>46214</v>
      </c>
      <c r="B494" t="s">
        <v>62</v>
      </c>
      <c r="C494" t="s">
        <v>1</v>
      </c>
      <c r="D494" t="s">
        <v>1</v>
      </c>
      <c r="E494" t="s">
        <v>2980</v>
      </c>
      <c r="F494" t="s">
        <v>3</v>
      </c>
      <c r="G494" t="s">
        <v>601</v>
      </c>
      <c r="H494" t="s">
        <v>2981</v>
      </c>
      <c r="I494">
        <v>53</v>
      </c>
      <c r="J494">
        <v>20</v>
      </c>
      <c r="K494">
        <v>4</v>
      </c>
      <c r="L494">
        <v>2</v>
      </c>
      <c r="M494" t="s">
        <v>2982</v>
      </c>
      <c r="N494" t="s">
        <v>2983</v>
      </c>
      <c r="O494" t="s">
        <v>1</v>
      </c>
      <c r="Q494">
        <v>2</v>
      </c>
      <c r="R494" t="s">
        <v>17</v>
      </c>
      <c r="S494" t="s">
        <v>80</v>
      </c>
      <c r="T494" t="s">
        <v>1</v>
      </c>
      <c r="U494" s="3" t="s">
        <v>2984</v>
      </c>
      <c r="V494" s="3" t="s">
        <v>2985</v>
      </c>
      <c r="W494" s="3" t="s">
        <v>2986</v>
      </c>
      <c r="X494" t="s">
        <v>2943</v>
      </c>
      <c r="Y494">
        <v>7</v>
      </c>
      <c r="Z494">
        <v>0</v>
      </c>
      <c r="AA494">
        <f>IF('Στατιστικά'!$C$6,1,IFERROR(INDEX('Στατιστικά'!$C$10:$C$83,MATCH(G494,'Στατιστικά'!$B$10:$B$83,0))*1,0))</f>
        <v>1</v>
      </c>
    </row>
    <row r="495" spans="1:27">
      <c r="A495" s="2">
        <v>46214</v>
      </c>
      <c r="B495" t="s">
        <v>373</v>
      </c>
      <c r="C495" t="s">
        <v>1</v>
      </c>
      <c r="D495" t="s">
        <v>1</v>
      </c>
      <c r="E495" t="s">
        <v>475</v>
      </c>
      <c r="F495" t="s">
        <v>38</v>
      </c>
      <c r="G495" t="s">
        <v>15</v>
      </c>
      <c r="H495" t="s">
        <v>475</v>
      </c>
      <c r="I495">
        <v>35</v>
      </c>
      <c r="J495">
        <v>10</v>
      </c>
      <c r="K495">
        <v>0</v>
      </c>
      <c r="L495">
        <v>2</v>
      </c>
      <c r="M495" t="s">
        <v>1682</v>
      </c>
      <c r="N495" t="s">
        <v>2987</v>
      </c>
      <c r="O495" t="s">
        <v>1</v>
      </c>
      <c r="Q495">
        <v>2</v>
      </c>
      <c r="R495" t="s">
        <v>17</v>
      </c>
      <c r="S495" t="s">
        <v>80</v>
      </c>
      <c r="T495" t="s">
        <v>98</v>
      </c>
      <c r="U495" s="3" t="s">
        <v>1</v>
      </c>
      <c r="V495" s="3" t="s">
        <v>2988</v>
      </c>
      <c r="W495" s="3" t="s">
        <v>2989</v>
      </c>
      <c r="X495" t="s">
        <v>2645</v>
      </c>
      <c r="Y495">
        <v>7</v>
      </c>
      <c r="Z495">
        <v>0</v>
      </c>
      <c r="AA495">
        <f>IF('Στατιστικά'!$C$6,1,IFERROR(INDEX('Στατιστικά'!$C$10:$C$83,MATCH(G495,'Στατιστικά'!$B$10:$B$83,0))*1,0))</f>
        <v>1</v>
      </c>
    </row>
    <row r="496" spans="1:27">
      <c r="A496" s="2">
        <v>46214</v>
      </c>
      <c r="B496" t="s">
        <v>2990</v>
      </c>
      <c r="C496" t="s">
        <v>1</v>
      </c>
      <c r="D496" t="s">
        <v>1</v>
      </c>
      <c r="E496" t="s">
        <v>2991</v>
      </c>
      <c r="F496" t="s">
        <v>64</v>
      </c>
      <c r="G496" t="s">
        <v>130</v>
      </c>
      <c r="H496" t="s">
        <v>2892</v>
      </c>
      <c r="I496">
        <v>65</v>
      </c>
      <c r="J496">
        <v>20</v>
      </c>
      <c r="K496">
        <v>2</v>
      </c>
      <c r="L496">
        <v>2</v>
      </c>
      <c r="M496" t="s">
        <v>56</v>
      </c>
      <c r="N496" t="s">
        <v>2992</v>
      </c>
      <c r="O496" t="s">
        <v>1</v>
      </c>
      <c r="P496">
        <v>12</v>
      </c>
      <c r="Q496">
        <v>2</v>
      </c>
      <c r="R496" t="s">
        <v>17</v>
      </c>
      <c r="S496" t="s">
        <v>80</v>
      </c>
      <c r="T496" t="s">
        <v>1430</v>
      </c>
      <c r="U496" s="3" t="s">
        <v>1</v>
      </c>
      <c r="V496" s="3" t="s">
        <v>2993</v>
      </c>
      <c r="W496" s="3" t="s">
        <v>2994</v>
      </c>
      <c r="X496" t="s">
        <v>2645</v>
      </c>
      <c r="Y496">
        <v>7</v>
      </c>
      <c r="Z496">
        <v>12</v>
      </c>
      <c r="AA496">
        <f>IF('Στατιστικά'!$C$6,1,IFERROR(INDEX('Στατιστικά'!$C$10:$C$83,MATCH(G496,'Στατιστικά'!$B$10:$B$83,0))*1,0))</f>
        <v>1</v>
      </c>
    </row>
    <row r="497" spans="1:27">
      <c r="A497" s="2">
        <v>46214</v>
      </c>
      <c r="B497" t="s">
        <v>300</v>
      </c>
      <c r="C497" t="s">
        <v>1</v>
      </c>
      <c r="D497" t="s">
        <v>1</v>
      </c>
      <c r="E497" t="s">
        <v>2995</v>
      </c>
      <c r="F497" t="s">
        <v>44</v>
      </c>
      <c r="G497" t="s">
        <v>45</v>
      </c>
      <c r="H497" t="s">
        <v>1264</v>
      </c>
      <c r="I497">
        <v>17</v>
      </c>
      <c r="J497">
        <v>5</v>
      </c>
      <c r="M497" t="s">
        <v>2950</v>
      </c>
      <c r="N497" t="s">
        <v>2996</v>
      </c>
      <c r="O497" t="s">
        <v>1</v>
      </c>
      <c r="P497" t="s">
        <v>4833</v>
      </c>
      <c r="Q497">
        <v>2</v>
      </c>
      <c r="R497" t="s">
        <v>17</v>
      </c>
      <c r="S497" t="s">
        <v>1</v>
      </c>
      <c r="T497" t="s">
        <v>1</v>
      </c>
      <c r="U497" s="3" t="s">
        <v>1</v>
      </c>
      <c r="V497" s="3" t="s">
        <v>2997</v>
      </c>
      <c r="W497" s="3" t="s">
        <v>4834</v>
      </c>
      <c r="X497" t="s">
        <v>2999</v>
      </c>
      <c r="Y497">
        <v>7</v>
      </c>
      <c r="Z497">
        <v>0</v>
      </c>
      <c r="AA497">
        <f>IF('Στατιστικά'!$C$6,1,IFERROR(INDEX('Στατιστικά'!$C$10:$C$83,MATCH(G497,'Στατιστικά'!$B$10:$B$83,0))*1,0))</f>
        <v>1</v>
      </c>
    </row>
    <row r="498" spans="1:27">
      <c r="A498" s="2">
        <v>46214</v>
      </c>
      <c r="B498" t="s">
        <v>51</v>
      </c>
      <c r="C498" t="s">
        <v>1</v>
      </c>
      <c r="D498" t="s">
        <v>1</v>
      </c>
      <c r="E498" t="s">
        <v>3000</v>
      </c>
      <c r="F498" t="s">
        <v>64</v>
      </c>
      <c r="G498" t="s">
        <v>130</v>
      </c>
      <c r="H498" t="s">
        <v>2892</v>
      </c>
      <c r="I498">
        <v>65</v>
      </c>
      <c r="J498">
        <v>20</v>
      </c>
      <c r="K498">
        <v>2</v>
      </c>
      <c r="L498">
        <v>2</v>
      </c>
      <c r="M498" t="s">
        <v>56</v>
      </c>
      <c r="N498" t="s">
        <v>2992</v>
      </c>
      <c r="O498" t="s">
        <v>1</v>
      </c>
      <c r="P498">
        <v>12</v>
      </c>
      <c r="Q498">
        <v>2</v>
      </c>
      <c r="R498" t="s">
        <v>17</v>
      </c>
      <c r="S498" t="s">
        <v>80</v>
      </c>
      <c r="T498" t="s">
        <v>3001</v>
      </c>
      <c r="U498" s="3" t="s">
        <v>3002</v>
      </c>
      <c r="V498" s="3" t="s">
        <v>3003</v>
      </c>
      <c r="W498" s="3" t="s">
        <v>4600</v>
      </c>
      <c r="X498" t="s">
        <v>2885</v>
      </c>
      <c r="Y498">
        <v>7</v>
      </c>
      <c r="Z498">
        <v>0</v>
      </c>
      <c r="AA498">
        <f>IF('Στατιστικά'!$C$6,1,IFERROR(INDEX('Στατιστικά'!$C$10:$C$83,MATCH(G498,'Στατιστικά'!$B$10:$B$83,0))*1,0))</f>
        <v>1</v>
      </c>
    </row>
    <row r="499" spans="1:27">
      <c r="A499" s="2">
        <v>46214</v>
      </c>
      <c r="B499" t="s">
        <v>182</v>
      </c>
      <c r="C499" t="s">
        <v>3005</v>
      </c>
      <c r="D499" t="s">
        <v>1</v>
      </c>
      <c r="E499" t="s">
        <v>3006</v>
      </c>
      <c r="F499" t="s">
        <v>3</v>
      </c>
      <c r="G499" t="s">
        <v>601</v>
      </c>
      <c r="H499" t="s">
        <v>2981</v>
      </c>
      <c r="I499">
        <v>48</v>
      </c>
      <c r="J499">
        <v>20</v>
      </c>
      <c r="K499">
        <v>4</v>
      </c>
      <c r="L499">
        <v>2</v>
      </c>
      <c r="M499" t="s">
        <v>3007</v>
      </c>
      <c r="N499" t="s">
        <v>3008</v>
      </c>
      <c r="O499" t="s">
        <v>1</v>
      </c>
      <c r="Q499">
        <v>2</v>
      </c>
      <c r="R499" t="s">
        <v>17</v>
      </c>
      <c r="S499" t="s">
        <v>80</v>
      </c>
      <c r="T499" t="s">
        <v>3009</v>
      </c>
      <c r="U499" s="3" t="s">
        <v>3010</v>
      </c>
      <c r="V499" s="3" t="s">
        <v>3011</v>
      </c>
      <c r="W499" s="3" t="s">
        <v>3012</v>
      </c>
      <c r="X499" t="s">
        <v>2943</v>
      </c>
      <c r="Y499">
        <v>7</v>
      </c>
      <c r="Z499">
        <v>0</v>
      </c>
      <c r="AA499">
        <f>IF('Στατιστικά'!$C$6,1,IFERROR(INDEX('Στατιστικά'!$C$10:$C$83,MATCH(G499,'Στατιστικά'!$B$10:$B$83,0))*1,0))</f>
        <v>1</v>
      </c>
    </row>
    <row r="500" spans="1:27">
      <c r="A500" s="2">
        <v>46214</v>
      </c>
      <c r="B500" t="s">
        <v>182</v>
      </c>
      <c r="C500" t="s">
        <v>1</v>
      </c>
      <c r="D500" t="s">
        <v>1</v>
      </c>
      <c r="E500" t="s">
        <v>3013</v>
      </c>
      <c r="F500" t="s">
        <v>160</v>
      </c>
      <c r="G500" t="s">
        <v>161</v>
      </c>
      <c r="H500" t="s">
        <v>3014</v>
      </c>
      <c r="I500">
        <v>28</v>
      </c>
      <c r="J500">
        <v>9</v>
      </c>
      <c r="K500">
        <v>0</v>
      </c>
      <c r="L500">
        <v>1</v>
      </c>
      <c r="M500" t="s">
        <v>355</v>
      </c>
      <c r="N500" t="s">
        <v>2705</v>
      </c>
      <c r="O500" t="s">
        <v>1</v>
      </c>
      <c r="Q500">
        <v>2</v>
      </c>
      <c r="R500" t="s">
        <v>17</v>
      </c>
      <c r="S500" t="s">
        <v>58</v>
      </c>
      <c r="T500" t="s">
        <v>98</v>
      </c>
      <c r="U500" s="3" t="s">
        <v>1</v>
      </c>
      <c r="V500" s="3" t="s">
        <v>3015</v>
      </c>
      <c r="W500" s="3" t="s">
        <v>3016</v>
      </c>
      <c r="X500" t="s">
        <v>2645</v>
      </c>
      <c r="Y500">
        <v>7</v>
      </c>
      <c r="Z500">
        <v>0</v>
      </c>
      <c r="AA500">
        <f>IF('Στατιστικά'!$C$6,1,IFERROR(INDEX('Στατιστικά'!$C$10:$C$83,MATCH(G500,'Στατιστικά'!$B$10:$B$83,0))*1,0))</f>
        <v>1</v>
      </c>
    </row>
    <row r="501" spans="1:27">
      <c r="A501" s="2">
        <v>46214</v>
      </c>
      <c r="B501" t="s">
        <v>182</v>
      </c>
      <c r="C501" t="s">
        <v>1</v>
      </c>
      <c r="D501" t="s">
        <v>1</v>
      </c>
      <c r="E501" t="s">
        <v>3017</v>
      </c>
      <c r="F501" t="s">
        <v>160</v>
      </c>
      <c r="G501" t="s">
        <v>161</v>
      </c>
      <c r="H501" t="s">
        <v>3018</v>
      </c>
      <c r="I501">
        <v>28</v>
      </c>
      <c r="J501">
        <v>9</v>
      </c>
      <c r="K501">
        <v>0</v>
      </c>
      <c r="L501">
        <v>1</v>
      </c>
      <c r="M501" t="s">
        <v>989</v>
      </c>
      <c r="N501" t="s">
        <v>2192</v>
      </c>
      <c r="O501" t="s">
        <v>1</v>
      </c>
      <c r="Q501">
        <v>2</v>
      </c>
      <c r="R501" t="s">
        <v>17</v>
      </c>
      <c r="S501" t="s">
        <v>58</v>
      </c>
      <c r="T501" t="s">
        <v>2906</v>
      </c>
      <c r="U501" s="3" t="s">
        <v>1</v>
      </c>
      <c r="V501" s="3" t="s">
        <v>3019</v>
      </c>
      <c r="W501" s="3" t="s">
        <v>3020</v>
      </c>
      <c r="X501" t="s">
        <v>2645</v>
      </c>
      <c r="Y501">
        <v>7</v>
      </c>
      <c r="Z501">
        <v>0</v>
      </c>
      <c r="AA501">
        <f>IF('Στατιστικά'!$C$6,1,IFERROR(INDEX('Στατιστικά'!$C$10:$C$83,MATCH(G501,'Στατιστικά'!$B$10:$B$83,0))*1,0))</f>
        <v>1</v>
      </c>
    </row>
    <row r="502" spans="1:27">
      <c r="A502" s="2">
        <v>46213</v>
      </c>
      <c r="B502" t="s">
        <v>561</v>
      </c>
      <c r="C502" t="s">
        <v>1</v>
      </c>
      <c r="D502" t="s">
        <v>1</v>
      </c>
      <c r="E502" t="s">
        <v>3021</v>
      </c>
      <c r="F502" t="s">
        <v>64</v>
      </c>
      <c r="G502" t="s">
        <v>130</v>
      </c>
      <c r="H502" t="s">
        <v>375</v>
      </c>
      <c r="I502">
        <v>15</v>
      </c>
      <c r="J502">
        <v>6</v>
      </c>
      <c r="K502">
        <v>0</v>
      </c>
      <c r="L502">
        <v>1</v>
      </c>
      <c r="M502" t="s">
        <v>1</v>
      </c>
      <c r="N502" t="s">
        <v>3022</v>
      </c>
      <c r="O502" t="s">
        <v>1</v>
      </c>
      <c r="P502" t="s">
        <v>4835</v>
      </c>
      <c r="Q502">
        <v>3</v>
      </c>
      <c r="R502" t="s">
        <v>79</v>
      </c>
      <c r="S502" t="s">
        <v>80</v>
      </c>
      <c r="T502" t="s">
        <v>3023</v>
      </c>
      <c r="U502" s="3" t="s">
        <v>1</v>
      </c>
      <c r="V502" s="3" t="s">
        <v>3024</v>
      </c>
      <c r="W502" s="3" t="s">
        <v>4836</v>
      </c>
      <c r="X502" t="s">
        <v>2645</v>
      </c>
      <c r="Y502">
        <v>7</v>
      </c>
      <c r="Z502">
        <v>0</v>
      </c>
      <c r="AA502">
        <f>IF('Στατιστικά'!$C$6,1,IFERROR(INDEX('Στατιστικά'!$C$10:$C$83,MATCH(G502,'Στατιστικά'!$B$10:$B$83,0))*1,0))</f>
        <v>1</v>
      </c>
    </row>
    <row r="503" spans="1:27">
      <c r="A503" s="2">
        <v>46213</v>
      </c>
      <c r="B503" t="s">
        <v>243</v>
      </c>
      <c r="C503" t="s">
        <v>1</v>
      </c>
      <c r="D503" t="s">
        <v>1</v>
      </c>
      <c r="E503" t="s">
        <v>3026</v>
      </c>
      <c r="F503" t="s">
        <v>324</v>
      </c>
      <c r="G503" t="s">
        <v>325</v>
      </c>
      <c r="H503" t="s">
        <v>2085</v>
      </c>
      <c r="I503">
        <v>21</v>
      </c>
      <c r="J503">
        <v>4</v>
      </c>
      <c r="K503">
        <v>1</v>
      </c>
      <c r="L503">
        <v>1</v>
      </c>
      <c r="M503" t="s">
        <v>3027</v>
      </c>
      <c r="N503" t="s">
        <v>419</v>
      </c>
      <c r="O503" t="s">
        <v>1</v>
      </c>
      <c r="P503" t="s">
        <v>4837</v>
      </c>
      <c r="Q503">
        <v>2</v>
      </c>
      <c r="R503" t="s">
        <v>17</v>
      </c>
      <c r="S503" t="s">
        <v>58</v>
      </c>
      <c r="T503" t="s">
        <v>3028</v>
      </c>
      <c r="U503" s="3" t="s">
        <v>1</v>
      </c>
      <c r="V503" s="3" t="s">
        <v>3029</v>
      </c>
      <c r="W503" s="3" t="s">
        <v>4838</v>
      </c>
      <c r="X503" t="s">
        <v>2645</v>
      </c>
      <c r="Y503">
        <v>7</v>
      </c>
      <c r="Z503">
        <v>0</v>
      </c>
      <c r="AA503">
        <f>IF('Στατιστικά'!$C$6,1,IFERROR(INDEX('Στατιστικά'!$C$10:$C$83,MATCH(G503,'Στατιστικά'!$B$10:$B$83,0))*1,0))</f>
        <v>1</v>
      </c>
    </row>
    <row r="504" spans="1:27">
      <c r="A504" s="2">
        <v>46213</v>
      </c>
      <c r="B504" t="s">
        <v>251</v>
      </c>
      <c r="C504" t="s">
        <v>1</v>
      </c>
      <c r="D504" t="s">
        <v>1</v>
      </c>
      <c r="E504" t="s">
        <v>3031</v>
      </c>
      <c r="F504" t="s">
        <v>217</v>
      </c>
      <c r="G504" t="s">
        <v>412</v>
      </c>
      <c r="H504" t="s">
        <v>3032</v>
      </c>
      <c r="I504">
        <v>19</v>
      </c>
      <c r="J504">
        <v>4</v>
      </c>
      <c r="K504">
        <v>4</v>
      </c>
      <c r="L504">
        <v>0</v>
      </c>
      <c r="M504" t="s">
        <v>764</v>
      </c>
      <c r="N504" t="s">
        <v>3033</v>
      </c>
      <c r="O504" t="s">
        <v>1</v>
      </c>
      <c r="P504" t="s">
        <v>4839</v>
      </c>
      <c r="Q504">
        <v>2</v>
      </c>
      <c r="R504" t="s">
        <v>17</v>
      </c>
      <c r="S504" t="s">
        <v>80</v>
      </c>
      <c r="T504" t="s">
        <v>3034</v>
      </c>
      <c r="U504" s="3" t="s">
        <v>1</v>
      </c>
      <c r="V504" s="3" t="s">
        <v>3035</v>
      </c>
      <c r="W504" s="3" t="s">
        <v>4840</v>
      </c>
      <c r="X504" t="s">
        <v>2964</v>
      </c>
      <c r="Y504">
        <v>7</v>
      </c>
      <c r="Z504">
        <v>0</v>
      </c>
      <c r="AA504">
        <f>IF('Στατιστικά'!$C$6,1,IFERROR(INDEX('Στατιστικά'!$C$10:$C$83,MATCH(G504,'Στατιστικά'!$B$10:$B$83,0))*1,0))</f>
        <v>1</v>
      </c>
    </row>
    <row r="505" spans="1:27">
      <c r="A505" s="2">
        <v>46213</v>
      </c>
      <c r="B505" t="s">
        <v>300</v>
      </c>
      <c r="C505" t="s">
        <v>3037</v>
      </c>
      <c r="D505" t="s">
        <v>1</v>
      </c>
      <c r="E505" t="s">
        <v>3038</v>
      </c>
      <c r="F505" t="s">
        <v>64</v>
      </c>
      <c r="G505" t="s">
        <v>130</v>
      </c>
      <c r="H505" t="s">
        <v>3039</v>
      </c>
      <c r="I505">
        <v>25</v>
      </c>
      <c r="J505">
        <v>10</v>
      </c>
      <c r="K505">
        <v>2</v>
      </c>
      <c r="L505">
        <v>1</v>
      </c>
      <c r="M505" t="s">
        <v>1</v>
      </c>
      <c r="N505" t="s">
        <v>1</v>
      </c>
      <c r="O505" t="s">
        <v>1</v>
      </c>
      <c r="P505" t="s">
        <v>4841</v>
      </c>
      <c r="Q505">
        <v>3</v>
      </c>
      <c r="R505" t="s">
        <v>79</v>
      </c>
      <c r="S505" t="s">
        <v>80</v>
      </c>
      <c r="T505" t="s">
        <v>3040</v>
      </c>
      <c r="U505" s="3" t="s">
        <v>1</v>
      </c>
      <c r="V505" s="3" t="s">
        <v>3041</v>
      </c>
      <c r="W505" s="3" t="s">
        <v>4842</v>
      </c>
      <c r="X505" t="s">
        <v>2964</v>
      </c>
      <c r="Y505">
        <v>7</v>
      </c>
      <c r="Z505">
        <v>0</v>
      </c>
      <c r="AA505">
        <f>IF('Στατιστικά'!$C$6,1,IFERROR(INDEX('Στατιστικά'!$C$10:$C$83,MATCH(G505,'Στατιστικά'!$B$10:$B$83,0))*1,0))</f>
        <v>1</v>
      </c>
    </row>
    <row r="506" spans="1:27">
      <c r="A506" s="2">
        <v>46213</v>
      </c>
      <c r="B506" t="s">
        <v>72</v>
      </c>
      <c r="C506" t="s">
        <v>251</v>
      </c>
      <c r="D506" t="s">
        <v>1</v>
      </c>
      <c r="E506" t="s">
        <v>3043</v>
      </c>
      <c r="F506" t="s">
        <v>324</v>
      </c>
      <c r="G506" t="s">
        <v>325</v>
      </c>
      <c r="H506" t="s">
        <v>325</v>
      </c>
      <c r="I506">
        <v>24</v>
      </c>
      <c r="J506">
        <v>8</v>
      </c>
      <c r="K506">
        <v>2</v>
      </c>
      <c r="L506">
        <v>1</v>
      </c>
      <c r="M506" t="s">
        <v>3044</v>
      </c>
      <c r="N506" t="s">
        <v>3045</v>
      </c>
      <c r="O506" t="s">
        <v>106</v>
      </c>
      <c r="P506">
        <v>0.3</v>
      </c>
      <c r="Q506">
        <v>3</v>
      </c>
      <c r="R506" t="s">
        <v>79</v>
      </c>
      <c r="S506" t="s">
        <v>80</v>
      </c>
      <c r="T506" t="s">
        <v>3046</v>
      </c>
      <c r="U506" s="3" t="s">
        <v>1</v>
      </c>
      <c r="V506" s="3" t="s">
        <v>3047</v>
      </c>
      <c r="W506" s="3" t="s">
        <v>3048</v>
      </c>
      <c r="X506" t="s">
        <v>2999</v>
      </c>
      <c r="Y506">
        <v>7</v>
      </c>
      <c r="Z506">
        <v>0.3</v>
      </c>
      <c r="AA506">
        <f>IF('Στατιστικά'!$C$6,1,IFERROR(INDEX('Στατιστικά'!$C$10:$C$83,MATCH(G506,'Στατιστικά'!$B$10:$B$83,0))*1,0))</f>
        <v>1</v>
      </c>
    </row>
    <row r="507" spans="1:27">
      <c r="A507" s="2">
        <v>46213</v>
      </c>
      <c r="B507" t="s">
        <v>72</v>
      </c>
      <c r="C507" t="s">
        <v>1767</v>
      </c>
      <c r="D507" t="s">
        <v>1</v>
      </c>
      <c r="E507" t="s">
        <v>3049</v>
      </c>
      <c r="F507" t="s">
        <v>64</v>
      </c>
      <c r="G507" t="s">
        <v>54</v>
      </c>
      <c r="H507" t="s">
        <v>54</v>
      </c>
      <c r="I507">
        <v>75</v>
      </c>
      <c r="J507">
        <v>20</v>
      </c>
      <c r="K507">
        <v>2</v>
      </c>
      <c r="L507">
        <v>2</v>
      </c>
      <c r="M507" t="s">
        <v>3050</v>
      </c>
      <c r="N507" t="s">
        <v>3051</v>
      </c>
      <c r="O507" t="s">
        <v>1</v>
      </c>
      <c r="Q507">
        <v>2</v>
      </c>
      <c r="R507" t="s">
        <v>17</v>
      </c>
      <c r="S507" t="s">
        <v>80</v>
      </c>
      <c r="T507" t="s">
        <v>3052</v>
      </c>
      <c r="U507" s="3" t="s">
        <v>1</v>
      </c>
      <c r="V507" s="3" t="s">
        <v>3053</v>
      </c>
      <c r="W507" s="3" t="s">
        <v>3054</v>
      </c>
      <c r="X507" t="s">
        <v>2645</v>
      </c>
      <c r="Y507">
        <v>7</v>
      </c>
      <c r="Z507">
        <v>0</v>
      </c>
      <c r="AA507">
        <f>IF('Στατιστικά'!$C$6,1,IFERROR(INDEX('Στατιστικά'!$C$10:$C$83,MATCH(G507,'Στατιστικά'!$B$10:$B$83,0))*1,0))</f>
        <v>1</v>
      </c>
    </row>
    <row r="508" spans="1:27">
      <c r="A508" s="2">
        <v>46213</v>
      </c>
      <c r="B508" t="s">
        <v>3055</v>
      </c>
      <c r="C508" t="s">
        <v>1</v>
      </c>
      <c r="D508" t="s">
        <v>1</v>
      </c>
      <c r="E508" t="s">
        <v>3056</v>
      </c>
      <c r="F508" t="s">
        <v>3</v>
      </c>
      <c r="G508" t="s">
        <v>601</v>
      </c>
      <c r="H508" t="s">
        <v>3057</v>
      </c>
      <c r="M508" t="s">
        <v>1</v>
      </c>
      <c r="N508" t="s">
        <v>1</v>
      </c>
      <c r="O508" t="s">
        <v>1</v>
      </c>
      <c r="Q508">
        <v>2</v>
      </c>
      <c r="R508" t="s">
        <v>17</v>
      </c>
      <c r="S508" t="s">
        <v>1</v>
      </c>
      <c r="T508" t="s">
        <v>3058</v>
      </c>
      <c r="U508" s="3" t="s">
        <v>1</v>
      </c>
      <c r="V508" s="3" t="s">
        <v>3059</v>
      </c>
      <c r="W508" s="3" t="s">
        <v>3060</v>
      </c>
      <c r="X508" t="s">
        <v>2964</v>
      </c>
      <c r="Y508">
        <v>7</v>
      </c>
      <c r="Z508">
        <v>0</v>
      </c>
      <c r="AA508">
        <f>IF('Στατιστικά'!$C$6,1,IFERROR(INDEX('Στατιστικά'!$C$10:$C$83,MATCH(G508,'Στατιστικά'!$B$10:$B$83,0))*1,0))</f>
        <v>1</v>
      </c>
    </row>
    <row r="509" spans="1:27">
      <c r="A509" s="2">
        <v>46213</v>
      </c>
      <c r="B509" t="s">
        <v>410</v>
      </c>
      <c r="C509" t="s">
        <v>1</v>
      </c>
      <c r="D509" t="s">
        <v>1</v>
      </c>
      <c r="E509" t="s">
        <v>3061</v>
      </c>
      <c r="F509" t="s">
        <v>324</v>
      </c>
      <c r="G509" t="s">
        <v>325</v>
      </c>
      <c r="H509" t="s">
        <v>2085</v>
      </c>
      <c r="I509">
        <v>24</v>
      </c>
      <c r="J509">
        <v>8</v>
      </c>
      <c r="K509">
        <v>2</v>
      </c>
      <c r="L509">
        <v>1</v>
      </c>
      <c r="M509" t="s">
        <v>3027</v>
      </c>
      <c r="N509" t="s">
        <v>3062</v>
      </c>
      <c r="O509" t="s">
        <v>1</v>
      </c>
      <c r="Q509">
        <v>2</v>
      </c>
      <c r="R509" t="s">
        <v>17</v>
      </c>
      <c r="S509" t="s">
        <v>80</v>
      </c>
      <c r="T509" t="s">
        <v>3063</v>
      </c>
      <c r="U509" s="3" t="s">
        <v>1</v>
      </c>
      <c r="V509" s="3" t="s">
        <v>3064</v>
      </c>
      <c r="W509" s="3" t="s">
        <v>4601</v>
      </c>
      <c r="X509" t="s">
        <v>2645</v>
      </c>
      <c r="Y509">
        <v>7</v>
      </c>
      <c r="Z509">
        <v>0</v>
      </c>
      <c r="AA509">
        <f>IF('Στατιστικά'!$C$6,1,IFERROR(INDEX('Στατιστικά'!$C$10:$C$83,MATCH(G509,'Στατιστικά'!$B$10:$B$83,0))*1,0))</f>
        <v>1</v>
      </c>
    </row>
    <row r="510" spans="1:27">
      <c r="A510" s="2">
        <v>46213</v>
      </c>
      <c r="B510" t="s">
        <v>196</v>
      </c>
      <c r="C510" t="s">
        <v>118</v>
      </c>
      <c r="D510" t="s">
        <v>1</v>
      </c>
      <c r="E510" t="s">
        <v>3066</v>
      </c>
      <c r="F510" t="s">
        <v>74</v>
      </c>
      <c r="G510" t="s">
        <v>136</v>
      </c>
      <c r="H510" t="s">
        <v>2176</v>
      </c>
      <c r="I510">
        <v>42</v>
      </c>
      <c r="J510">
        <v>13</v>
      </c>
      <c r="K510">
        <v>0</v>
      </c>
      <c r="L510">
        <v>1</v>
      </c>
      <c r="M510" t="s">
        <v>688</v>
      </c>
      <c r="N510" t="s">
        <v>1</v>
      </c>
      <c r="O510" t="s">
        <v>1</v>
      </c>
      <c r="Q510">
        <v>2</v>
      </c>
      <c r="R510" t="s">
        <v>17</v>
      </c>
      <c r="S510" t="s">
        <v>107</v>
      </c>
      <c r="T510" t="s">
        <v>98</v>
      </c>
      <c r="U510" s="3" t="s">
        <v>1</v>
      </c>
      <c r="V510" s="3" t="s">
        <v>3067</v>
      </c>
      <c r="W510" s="3" t="s">
        <v>3068</v>
      </c>
      <c r="X510" t="s">
        <v>2645</v>
      </c>
      <c r="Y510">
        <v>7</v>
      </c>
      <c r="Z510">
        <v>0</v>
      </c>
      <c r="AA510">
        <f>IF('Στατιστικά'!$C$6,1,IFERROR(INDEX('Στατιστικά'!$C$10:$C$83,MATCH(G510,'Στατιστικά'!$B$10:$B$83,0))*1,0))</f>
        <v>1</v>
      </c>
    </row>
    <row r="511" spans="1:27">
      <c r="A511" s="2">
        <v>46212</v>
      </c>
      <c r="B511" t="s">
        <v>300</v>
      </c>
      <c r="C511" t="s">
        <v>1</v>
      </c>
      <c r="D511" t="s">
        <v>1</v>
      </c>
      <c r="E511" t="s">
        <v>3069</v>
      </c>
      <c r="F511" t="s">
        <v>64</v>
      </c>
      <c r="G511" t="s">
        <v>130</v>
      </c>
      <c r="H511" t="s">
        <v>1832</v>
      </c>
      <c r="I511">
        <v>23</v>
      </c>
      <c r="J511">
        <v>9</v>
      </c>
      <c r="K511">
        <v>0</v>
      </c>
      <c r="L511">
        <v>2</v>
      </c>
      <c r="M511" t="s">
        <v>1</v>
      </c>
      <c r="N511" t="s">
        <v>3070</v>
      </c>
      <c r="O511" t="s">
        <v>1</v>
      </c>
      <c r="P511" t="s">
        <v>4843</v>
      </c>
      <c r="Q511">
        <v>3</v>
      </c>
      <c r="R511" t="s">
        <v>79</v>
      </c>
      <c r="S511" t="s">
        <v>107</v>
      </c>
      <c r="T511" t="s">
        <v>2751</v>
      </c>
      <c r="U511" s="3" t="s">
        <v>3071</v>
      </c>
      <c r="V511" s="3" t="s">
        <v>3072</v>
      </c>
      <c r="W511" s="3" t="s">
        <v>4844</v>
      </c>
      <c r="X511" t="s">
        <v>2645</v>
      </c>
      <c r="Y511">
        <v>7</v>
      </c>
      <c r="Z511">
        <v>0</v>
      </c>
      <c r="AA511">
        <f>IF('Στατιστικά'!$C$6,1,IFERROR(INDEX('Στατιστικά'!$C$10:$C$83,MATCH(G511,'Στατιστικά'!$B$10:$B$83,0))*1,0))</f>
        <v>1</v>
      </c>
    </row>
    <row r="512" spans="1:27">
      <c r="A512" s="2">
        <v>46212</v>
      </c>
      <c r="B512" t="s">
        <v>422</v>
      </c>
      <c r="C512" t="s">
        <v>1</v>
      </c>
      <c r="D512" t="s">
        <v>1</v>
      </c>
      <c r="E512" t="s">
        <v>3074</v>
      </c>
      <c r="F512" t="s">
        <v>64</v>
      </c>
      <c r="G512" t="s">
        <v>753</v>
      </c>
      <c r="H512" t="s">
        <v>1</v>
      </c>
      <c r="I512">
        <v>58</v>
      </c>
      <c r="J512">
        <v>15</v>
      </c>
      <c r="K512">
        <v>0</v>
      </c>
      <c r="L512">
        <v>1</v>
      </c>
      <c r="M512" t="s">
        <v>3075</v>
      </c>
      <c r="N512" t="s">
        <v>1</v>
      </c>
      <c r="O512" t="s">
        <v>1</v>
      </c>
      <c r="Q512">
        <v>3</v>
      </c>
      <c r="R512" t="s">
        <v>79</v>
      </c>
      <c r="S512" t="s">
        <v>80</v>
      </c>
      <c r="T512" t="s">
        <v>1</v>
      </c>
      <c r="U512" s="3" t="s">
        <v>1</v>
      </c>
      <c r="V512" s="3" t="s">
        <v>3076</v>
      </c>
      <c r="W512" s="3" t="s">
        <v>4602</v>
      </c>
      <c r="X512" t="s">
        <v>3078</v>
      </c>
      <c r="Y512">
        <v>7</v>
      </c>
      <c r="Z512">
        <v>0</v>
      </c>
      <c r="AA512">
        <f>IF('Στατιστικά'!$C$6,1,IFERROR(INDEX('Στατιστικά'!$C$10:$C$83,MATCH(G512,'Στατιστικά'!$B$10:$B$83,0))*1,0))</f>
        <v>1</v>
      </c>
    </row>
    <row r="513" spans="1:27">
      <c r="A513" s="2">
        <v>46212</v>
      </c>
      <c r="B513" t="s">
        <v>322</v>
      </c>
      <c r="C513" t="s">
        <v>1</v>
      </c>
      <c r="D513" t="s">
        <v>1</v>
      </c>
      <c r="E513" t="s">
        <v>3079</v>
      </c>
      <c r="F513" t="s">
        <v>44</v>
      </c>
      <c r="G513" t="s">
        <v>1025</v>
      </c>
      <c r="H513" t="s">
        <v>466</v>
      </c>
      <c r="M513" t="s">
        <v>1</v>
      </c>
      <c r="N513" t="s">
        <v>1</v>
      </c>
      <c r="O513" t="s">
        <v>1</v>
      </c>
      <c r="Q513">
        <v>3</v>
      </c>
      <c r="R513" t="s">
        <v>79</v>
      </c>
      <c r="S513" t="s">
        <v>58</v>
      </c>
      <c r="T513" t="s">
        <v>1</v>
      </c>
      <c r="U513" s="3" t="s">
        <v>1</v>
      </c>
      <c r="V513" s="3" t="s">
        <v>3080</v>
      </c>
      <c r="W513" s="3" t="s">
        <v>3081</v>
      </c>
      <c r="X513" t="s">
        <v>2645</v>
      </c>
      <c r="Y513">
        <v>7</v>
      </c>
      <c r="Z513">
        <v>0</v>
      </c>
      <c r="AA513">
        <f>IF('Στατιστικά'!$C$6,1,IFERROR(INDEX('Στατιστικά'!$C$10:$C$83,MATCH(G513,'Στατιστικά'!$B$10:$B$83,0))*1,0))</f>
        <v>1</v>
      </c>
    </row>
    <row r="514" spans="1:27">
      <c r="A514" s="2">
        <v>46212</v>
      </c>
      <c r="B514" t="s">
        <v>3082</v>
      </c>
      <c r="C514" t="s">
        <v>1</v>
      </c>
      <c r="D514" t="s">
        <v>1</v>
      </c>
      <c r="E514" t="s">
        <v>3083</v>
      </c>
      <c r="F514" t="s">
        <v>44</v>
      </c>
      <c r="G514" t="s">
        <v>94</v>
      </c>
      <c r="H514" t="s">
        <v>2190</v>
      </c>
      <c r="I514">
        <v>22</v>
      </c>
      <c r="J514">
        <v>4</v>
      </c>
      <c r="M514" t="s">
        <v>3084</v>
      </c>
      <c r="N514" t="s">
        <v>3085</v>
      </c>
      <c r="O514" t="s">
        <v>3086</v>
      </c>
      <c r="P514">
        <v>0.1</v>
      </c>
      <c r="Q514">
        <v>3</v>
      </c>
      <c r="R514" t="s">
        <v>79</v>
      </c>
      <c r="S514" t="s">
        <v>80</v>
      </c>
      <c r="T514" t="s">
        <v>749</v>
      </c>
      <c r="U514" s="3" t="s">
        <v>1</v>
      </c>
      <c r="V514" s="3" t="s">
        <v>3087</v>
      </c>
      <c r="W514" s="3" t="s">
        <v>3088</v>
      </c>
      <c r="X514" t="s">
        <v>2645</v>
      </c>
      <c r="Y514">
        <v>7</v>
      </c>
      <c r="Z514">
        <v>0.1</v>
      </c>
      <c r="AA514">
        <f>IF('Στατιστικά'!$C$6,1,IFERROR(INDEX('Στατιστικά'!$C$10:$C$83,MATCH(G514,'Στατιστικά'!$B$10:$B$83,0))*1,0))</f>
        <v>1</v>
      </c>
    </row>
    <row r="515" spans="1:27">
      <c r="A515" s="2">
        <v>46212</v>
      </c>
      <c r="B515" t="s">
        <v>1</v>
      </c>
      <c r="C515" t="s">
        <v>1</v>
      </c>
      <c r="D515" t="s">
        <v>1</v>
      </c>
      <c r="E515" t="s">
        <v>3089</v>
      </c>
      <c r="F515" t="s">
        <v>64</v>
      </c>
      <c r="G515" t="s">
        <v>130</v>
      </c>
      <c r="H515" t="s">
        <v>3090</v>
      </c>
      <c r="M515" t="s">
        <v>1</v>
      </c>
      <c r="N515" t="s">
        <v>1</v>
      </c>
      <c r="O515" t="s">
        <v>1</v>
      </c>
      <c r="R515" t="s">
        <v>1</v>
      </c>
      <c r="S515" t="s">
        <v>58</v>
      </c>
      <c r="T515" t="s">
        <v>3091</v>
      </c>
      <c r="U515" s="3" t="s">
        <v>1</v>
      </c>
      <c r="V515" s="3" t="s">
        <v>3092</v>
      </c>
      <c r="W515" s="3" t="s">
        <v>3093</v>
      </c>
      <c r="X515" t="s">
        <v>2885</v>
      </c>
      <c r="Y515">
        <v>7</v>
      </c>
      <c r="Z515">
        <v>0</v>
      </c>
      <c r="AA515">
        <f>IF('Στατιστικά'!$C$6,1,IFERROR(INDEX('Στατιστικά'!$C$10:$C$83,MATCH(G515,'Στατιστικά'!$B$10:$B$83,0))*1,0))</f>
        <v>1</v>
      </c>
    </row>
    <row r="516" spans="1:27">
      <c r="A516" s="2">
        <v>46212</v>
      </c>
      <c r="B516" t="s">
        <v>1</v>
      </c>
      <c r="C516" t="s">
        <v>1</v>
      </c>
      <c r="D516" t="s">
        <v>1</v>
      </c>
      <c r="E516" t="s">
        <v>3094</v>
      </c>
      <c r="F516" t="s">
        <v>44</v>
      </c>
      <c r="G516" t="s">
        <v>174</v>
      </c>
      <c r="H516" t="s">
        <v>3095</v>
      </c>
      <c r="I516">
        <v>22</v>
      </c>
      <c r="J516">
        <v>4</v>
      </c>
      <c r="M516" t="s">
        <v>3096</v>
      </c>
      <c r="N516" t="s">
        <v>1</v>
      </c>
      <c r="O516" t="s">
        <v>3097</v>
      </c>
      <c r="P516">
        <v>0.1</v>
      </c>
      <c r="Q516">
        <v>3</v>
      </c>
      <c r="R516" t="s">
        <v>79</v>
      </c>
      <c r="S516" t="s">
        <v>58</v>
      </c>
      <c r="T516" t="s">
        <v>3098</v>
      </c>
      <c r="U516" s="3" t="s">
        <v>1</v>
      </c>
      <c r="V516" s="3" t="s">
        <v>3099</v>
      </c>
      <c r="W516" s="3" t="s">
        <v>4603</v>
      </c>
      <c r="X516" t="s">
        <v>2885</v>
      </c>
      <c r="Y516">
        <v>7</v>
      </c>
      <c r="Z516">
        <v>0</v>
      </c>
      <c r="AA516">
        <f>IF('Στατιστικά'!$C$6,1,IFERROR(INDEX('Στατιστικά'!$C$10:$C$83,MATCH(G516,'Στατιστικά'!$B$10:$B$83,0))*1,0))</f>
        <v>1</v>
      </c>
    </row>
    <row r="517" spans="1:27">
      <c r="A517" s="2">
        <v>46212</v>
      </c>
      <c r="B517" t="s">
        <v>1</v>
      </c>
      <c r="C517" t="s">
        <v>1</v>
      </c>
      <c r="D517" t="s">
        <v>1</v>
      </c>
      <c r="E517" t="s">
        <v>173</v>
      </c>
      <c r="F517" t="s">
        <v>44</v>
      </c>
      <c r="G517" t="s">
        <v>94</v>
      </c>
      <c r="H517" t="s">
        <v>175</v>
      </c>
      <c r="I517">
        <v>22</v>
      </c>
      <c r="J517">
        <v>4</v>
      </c>
      <c r="M517" t="s">
        <v>3101</v>
      </c>
      <c r="N517" t="s">
        <v>1</v>
      </c>
      <c r="O517" t="s">
        <v>3101</v>
      </c>
      <c r="P517">
        <v>0.1</v>
      </c>
      <c r="Q517">
        <v>3</v>
      </c>
      <c r="R517" t="s">
        <v>79</v>
      </c>
      <c r="S517" t="s">
        <v>58</v>
      </c>
      <c r="T517" t="s">
        <v>745</v>
      </c>
      <c r="U517" s="3" t="s">
        <v>1</v>
      </c>
      <c r="V517" s="3" t="s">
        <v>3102</v>
      </c>
      <c r="W517" s="3" t="s">
        <v>4604</v>
      </c>
      <c r="X517" t="s">
        <v>2885</v>
      </c>
      <c r="Y517">
        <v>7</v>
      </c>
      <c r="Z517">
        <v>0</v>
      </c>
      <c r="AA517">
        <f>IF('Στατιστικά'!$C$6,1,IFERROR(INDEX('Στατιστικά'!$C$10:$C$83,MATCH(G517,'Στατιστικά'!$B$10:$B$83,0))*1,0))</f>
        <v>1</v>
      </c>
    </row>
    <row r="518" spans="1:27">
      <c r="A518" s="2">
        <v>46212</v>
      </c>
      <c r="B518" t="s">
        <v>1</v>
      </c>
      <c r="C518" t="s">
        <v>1</v>
      </c>
      <c r="D518" t="s">
        <v>1</v>
      </c>
      <c r="E518" t="s">
        <v>3104</v>
      </c>
      <c r="F518" t="s">
        <v>324</v>
      </c>
      <c r="G518" t="s">
        <v>325</v>
      </c>
      <c r="H518" t="s">
        <v>3105</v>
      </c>
      <c r="I518">
        <v>15</v>
      </c>
      <c r="J518">
        <v>4</v>
      </c>
      <c r="K518">
        <v>2</v>
      </c>
      <c r="L518">
        <v>2</v>
      </c>
      <c r="M518" t="s">
        <v>3106</v>
      </c>
      <c r="N518" t="s">
        <v>1</v>
      </c>
      <c r="O518" t="s">
        <v>1</v>
      </c>
      <c r="Q518">
        <v>2</v>
      </c>
      <c r="R518" t="s">
        <v>17</v>
      </c>
      <c r="S518" t="s">
        <v>107</v>
      </c>
      <c r="T518" t="s">
        <v>1</v>
      </c>
      <c r="U518" s="3" t="s">
        <v>1</v>
      </c>
      <c r="V518" s="3" t="s">
        <v>3107</v>
      </c>
      <c r="W518" s="3" t="s">
        <v>4605</v>
      </c>
      <c r="X518" t="s">
        <v>3078</v>
      </c>
      <c r="Y518">
        <v>7</v>
      </c>
      <c r="Z518">
        <v>0</v>
      </c>
      <c r="AA518">
        <f>IF('Στατιστικά'!$C$6,1,IFERROR(INDEX('Στατιστικά'!$C$10:$C$83,MATCH(G518,'Στατιστικά'!$B$10:$B$83,0))*1,0))</f>
        <v>1</v>
      </c>
    </row>
    <row r="519" spans="1:27">
      <c r="A519" s="2">
        <v>46211</v>
      </c>
      <c r="B519" t="s">
        <v>3109</v>
      </c>
      <c r="C519" t="s">
        <v>62</v>
      </c>
      <c r="D519" t="s">
        <v>1</v>
      </c>
      <c r="E519" t="s">
        <v>3110</v>
      </c>
      <c r="F519" t="s">
        <v>86</v>
      </c>
      <c r="G519" t="s">
        <v>2571</v>
      </c>
      <c r="H519" t="s">
        <v>3111</v>
      </c>
      <c r="I519">
        <v>90</v>
      </c>
      <c r="J519">
        <v>20</v>
      </c>
      <c r="K519">
        <v>5</v>
      </c>
      <c r="L519">
        <v>2</v>
      </c>
      <c r="M519" t="s">
        <v>3112</v>
      </c>
      <c r="N519" t="s">
        <v>3113</v>
      </c>
      <c r="O519" t="s">
        <v>1</v>
      </c>
      <c r="Q519">
        <v>3</v>
      </c>
      <c r="R519" t="s">
        <v>79</v>
      </c>
      <c r="S519" t="s">
        <v>80</v>
      </c>
      <c r="T519" t="s">
        <v>3114</v>
      </c>
      <c r="U519" s="3" t="s">
        <v>1</v>
      </c>
      <c r="V519" s="3" t="s">
        <v>3115</v>
      </c>
      <c r="W519" s="3" t="s">
        <v>3116</v>
      </c>
      <c r="X519" t="s">
        <v>2645</v>
      </c>
      <c r="Y519">
        <v>7</v>
      </c>
      <c r="Z519">
        <v>0</v>
      </c>
      <c r="AA519">
        <f>IF('Στατιστικά'!$C$6,1,IFERROR(INDEX('Στατιστικά'!$C$10:$C$83,MATCH(G519,'Στατιστικά'!$B$10:$B$83,0))*1,0))</f>
        <v>1</v>
      </c>
    </row>
    <row r="520" spans="1:27">
      <c r="A520" s="2">
        <v>46211</v>
      </c>
      <c r="B520" t="s">
        <v>3109</v>
      </c>
      <c r="C520" t="s">
        <v>62</v>
      </c>
      <c r="D520" t="s">
        <v>1</v>
      </c>
      <c r="E520" t="s">
        <v>3117</v>
      </c>
      <c r="F520" t="s">
        <v>86</v>
      </c>
      <c r="G520" t="s">
        <v>111</v>
      </c>
      <c r="H520" t="s">
        <v>3118</v>
      </c>
      <c r="I520">
        <v>90</v>
      </c>
      <c r="J520">
        <v>20</v>
      </c>
      <c r="K520">
        <v>5</v>
      </c>
      <c r="L520">
        <v>2</v>
      </c>
      <c r="M520" t="s">
        <v>3119</v>
      </c>
      <c r="N520" t="s">
        <v>3120</v>
      </c>
      <c r="O520" t="s">
        <v>1</v>
      </c>
      <c r="Q520">
        <v>3</v>
      </c>
      <c r="R520" t="s">
        <v>79</v>
      </c>
      <c r="S520" t="s">
        <v>80</v>
      </c>
      <c r="T520" t="s">
        <v>3121</v>
      </c>
      <c r="U520" s="3" t="s">
        <v>1</v>
      </c>
      <c r="V520" s="3" t="s">
        <v>3122</v>
      </c>
      <c r="W520" s="3" t="s">
        <v>3123</v>
      </c>
      <c r="X520" t="s">
        <v>2645</v>
      </c>
      <c r="Y520">
        <v>7</v>
      </c>
      <c r="Z520">
        <v>0</v>
      </c>
      <c r="AA520">
        <f>IF('Στατιστικά'!$C$6,1,IFERROR(INDEX('Στατιστικά'!$C$10:$C$83,MATCH(G520,'Στατιστικά'!$B$10:$B$83,0))*1,0))</f>
        <v>1</v>
      </c>
    </row>
    <row r="521" spans="1:27">
      <c r="A521" s="2">
        <v>46211</v>
      </c>
      <c r="B521" t="s">
        <v>422</v>
      </c>
      <c r="C521" t="s">
        <v>1</v>
      </c>
      <c r="D521" t="s">
        <v>1</v>
      </c>
      <c r="E521" t="s">
        <v>3124</v>
      </c>
      <c r="F521" t="s">
        <v>64</v>
      </c>
      <c r="G521" t="s">
        <v>753</v>
      </c>
      <c r="H521" t="s">
        <v>753</v>
      </c>
      <c r="I521">
        <v>58</v>
      </c>
      <c r="J521">
        <v>15</v>
      </c>
      <c r="K521">
        <v>0</v>
      </c>
      <c r="L521">
        <v>1</v>
      </c>
      <c r="M521" t="s">
        <v>3125</v>
      </c>
      <c r="N521" t="s">
        <v>3126</v>
      </c>
      <c r="O521" t="s">
        <v>1</v>
      </c>
      <c r="P521">
        <v>12</v>
      </c>
      <c r="Q521">
        <v>3</v>
      </c>
      <c r="R521" t="s">
        <v>79</v>
      </c>
      <c r="S521" t="s">
        <v>80</v>
      </c>
      <c r="T521" t="s">
        <v>3023</v>
      </c>
      <c r="U521" s="3" t="s">
        <v>1</v>
      </c>
      <c r="V521" s="3" t="s">
        <v>3127</v>
      </c>
      <c r="W521" s="3" t="s">
        <v>3128</v>
      </c>
      <c r="X521" t="s">
        <v>2885</v>
      </c>
      <c r="Y521">
        <v>7</v>
      </c>
      <c r="Z521">
        <v>12</v>
      </c>
      <c r="AA521">
        <f>IF('Στατιστικά'!$C$6,1,IFERROR(INDEX('Στατιστικά'!$C$10:$C$83,MATCH(G521,'Στατιστικά'!$B$10:$B$83,0))*1,0))</f>
        <v>1</v>
      </c>
    </row>
    <row r="522" spans="1:27">
      <c r="A522" s="2">
        <v>46210</v>
      </c>
      <c r="B522" t="s">
        <v>926</v>
      </c>
      <c r="C522" t="s">
        <v>1</v>
      </c>
      <c r="D522" t="s">
        <v>1</v>
      </c>
      <c r="E522" t="s">
        <v>3129</v>
      </c>
      <c r="F522" t="s">
        <v>324</v>
      </c>
      <c r="G522" t="s">
        <v>325</v>
      </c>
      <c r="H522" t="s">
        <v>3105</v>
      </c>
      <c r="I522">
        <v>15</v>
      </c>
      <c r="J522">
        <v>4</v>
      </c>
      <c r="K522">
        <v>2</v>
      </c>
      <c r="L522">
        <v>2</v>
      </c>
      <c r="M522" t="s">
        <v>3130</v>
      </c>
      <c r="N522" t="s">
        <v>1</v>
      </c>
      <c r="O522" t="s">
        <v>1</v>
      </c>
      <c r="P522" t="s">
        <v>4845</v>
      </c>
      <c r="Q522">
        <v>4</v>
      </c>
      <c r="R522" t="s">
        <v>137</v>
      </c>
      <c r="S522" t="s">
        <v>107</v>
      </c>
      <c r="T522" t="s">
        <v>1</v>
      </c>
      <c r="U522" s="3" t="s">
        <v>1</v>
      </c>
      <c r="V522" s="3" t="s">
        <v>3131</v>
      </c>
      <c r="W522" s="3" t="s">
        <v>4846</v>
      </c>
      <c r="X522" t="s">
        <v>3133</v>
      </c>
      <c r="Y522">
        <v>7</v>
      </c>
      <c r="Z522">
        <v>0</v>
      </c>
      <c r="AA522">
        <f>IF('Στατιστικά'!$C$6,1,IFERROR(INDEX('Στατιστικά'!$C$10:$C$83,MATCH(G522,'Στατιστικά'!$B$10:$B$83,0))*1,0))</f>
        <v>1</v>
      </c>
    </row>
    <row r="523" spans="1:27">
      <c r="A523" s="2">
        <v>46210</v>
      </c>
      <c r="B523" t="s">
        <v>3134</v>
      </c>
      <c r="C523" t="s">
        <v>1</v>
      </c>
      <c r="D523" t="s">
        <v>1</v>
      </c>
      <c r="E523" t="s">
        <v>3135</v>
      </c>
      <c r="F523" t="s">
        <v>64</v>
      </c>
      <c r="G523" t="s">
        <v>130</v>
      </c>
      <c r="H523" t="s">
        <v>3136</v>
      </c>
      <c r="M523" t="s">
        <v>1</v>
      </c>
      <c r="N523" t="s">
        <v>1</v>
      </c>
      <c r="O523" t="s">
        <v>1</v>
      </c>
      <c r="Q523">
        <v>2</v>
      </c>
      <c r="R523" t="s">
        <v>17</v>
      </c>
      <c r="S523" t="s">
        <v>1</v>
      </c>
      <c r="T523" t="s">
        <v>3137</v>
      </c>
      <c r="U523" s="3" t="s">
        <v>1</v>
      </c>
      <c r="V523" s="3" t="s">
        <v>3138</v>
      </c>
      <c r="W523" s="3" t="s">
        <v>3139</v>
      </c>
      <c r="X523" t="s">
        <v>3078</v>
      </c>
      <c r="Y523">
        <v>7</v>
      </c>
      <c r="Z523">
        <v>0</v>
      </c>
      <c r="AA523">
        <f>IF('Στατιστικά'!$C$6,1,IFERROR(INDEX('Στατιστικά'!$C$10:$C$83,MATCH(G523,'Στατιστικά'!$B$10:$B$83,0))*1,0))</f>
        <v>1</v>
      </c>
    </row>
    <row r="524" spans="1:27">
      <c r="A524" s="2">
        <v>46210</v>
      </c>
      <c r="B524" t="s">
        <v>1</v>
      </c>
      <c r="C524" t="s">
        <v>1</v>
      </c>
      <c r="D524" t="s">
        <v>1</v>
      </c>
      <c r="E524" t="s">
        <v>3140</v>
      </c>
      <c r="F524" t="s">
        <v>74</v>
      </c>
      <c r="G524" t="s">
        <v>75</v>
      </c>
      <c r="H524" t="s">
        <v>3141</v>
      </c>
      <c r="I524">
        <v>49</v>
      </c>
      <c r="J524">
        <v>13</v>
      </c>
      <c r="K524">
        <v>2</v>
      </c>
      <c r="L524">
        <v>2</v>
      </c>
      <c r="M524" t="s">
        <v>2146</v>
      </c>
      <c r="N524" t="s">
        <v>3142</v>
      </c>
      <c r="O524" t="s">
        <v>1</v>
      </c>
      <c r="Q524">
        <v>4</v>
      </c>
      <c r="R524" t="s">
        <v>137</v>
      </c>
      <c r="S524" t="s">
        <v>8</v>
      </c>
      <c r="T524" t="s">
        <v>1</v>
      </c>
      <c r="U524" s="3" t="s">
        <v>1</v>
      </c>
      <c r="V524" s="3" t="s">
        <v>3143</v>
      </c>
      <c r="W524" s="3" t="s">
        <v>4606</v>
      </c>
      <c r="X524" t="s">
        <v>3145</v>
      </c>
      <c r="Y524">
        <v>7</v>
      </c>
      <c r="Z524">
        <v>0</v>
      </c>
      <c r="AA524">
        <f>IF('Στατιστικά'!$C$6,1,IFERROR(INDEX('Στατιστικά'!$C$10:$C$83,MATCH(G524,'Στατιστικά'!$B$10:$B$83,0))*1,0))</f>
        <v>1</v>
      </c>
    </row>
    <row r="525" spans="1:27">
      <c r="A525" s="2">
        <v>46210</v>
      </c>
      <c r="B525" t="s">
        <v>1</v>
      </c>
      <c r="C525" t="s">
        <v>1</v>
      </c>
      <c r="D525" t="s">
        <v>1</v>
      </c>
      <c r="E525" t="s">
        <v>3146</v>
      </c>
      <c r="F525" t="s">
        <v>86</v>
      </c>
      <c r="G525" t="s">
        <v>152</v>
      </c>
      <c r="H525" t="s">
        <v>3147</v>
      </c>
      <c r="M525" t="s">
        <v>1</v>
      </c>
      <c r="N525" t="s">
        <v>1</v>
      </c>
      <c r="O525" t="s">
        <v>1</v>
      </c>
      <c r="Q525">
        <v>2</v>
      </c>
      <c r="R525" t="s">
        <v>17</v>
      </c>
      <c r="S525" t="s">
        <v>58</v>
      </c>
      <c r="T525" t="s">
        <v>3148</v>
      </c>
      <c r="U525" s="3" t="s">
        <v>1</v>
      </c>
      <c r="V525" s="3" t="s">
        <v>3149</v>
      </c>
      <c r="W525" s="3" t="s">
        <v>3150</v>
      </c>
      <c r="X525" t="s">
        <v>3078</v>
      </c>
      <c r="Y525">
        <v>7</v>
      </c>
      <c r="Z525">
        <v>0</v>
      </c>
      <c r="AA525">
        <f>IF('Στατιστικά'!$C$6,1,IFERROR(INDEX('Στατιστικά'!$C$10:$C$83,MATCH(G525,'Στατιστικά'!$B$10:$B$83,0))*1,0))</f>
        <v>1</v>
      </c>
    </row>
    <row r="526" spans="1:27">
      <c r="A526" s="2">
        <v>46209</v>
      </c>
      <c r="B526" t="s">
        <v>582</v>
      </c>
      <c r="C526" t="s">
        <v>1</v>
      </c>
      <c r="D526" t="s">
        <v>1</v>
      </c>
      <c r="E526" t="s">
        <v>3151</v>
      </c>
      <c r="F526" t="s">
        <v>38</v>
      </c>
      <c r="G526" t="s">
        <v>15</v>
      </c>
      <c r="H526" t="s">
        <v>3152</v>
      </c>
      <c r="I526">
        <v>75</v>
      </c>
      <c r="J526">
        <v>20</v>
      </c>
      <c r="K526">
        <v>6</v>
      </c>
      <c r="L526">
        <v>2</v>
      </c>
      <c r="M526" t="s">
        <v>3153</v>
      </c>
      <c r="N526" t="s">
        <v>3154</v>
      </c>
      <c r="O526" t="s">
        <v>1</v>
      </c>
      <c r="Q526">
        <v>3</v>
      </c>
      <c r="R526" t="s">
        <v>79</v>
      </c>
      <c r="S526" t="s">
        <v>58</v>
      </c>
      <c r="T526" t="s">
        <v>1</v>
      </c>
      <c r="U526" s="3" t="s">
        <v>1</v>
      </c>
      <c r="V526" s="3" t="s">
        <v>3155</v>
      </c>
      <c r="W526" s="3" t="s">
        <v>3156</v>
      </c>
      <c r="X526" t="s">
        <v>3078</v>
      </c>
      <c r="Y526">
        <v>7</v>
      </c>
      <c r="Z526">
        <v>0</v>
      </c>
      <c r="AA526">
        <f>IF('Στατιστικά'!$C$6,1,IFERROR(INDEX('Στατιστικά'!$C$10:$C$83,MATCH(G526,'Στατιστικά'!$B$10:$B$83,0))*1,0))</f>
        <v>1</v>
      </c>
    </row>
    <row r="527" spans="1:27">
      <c r="A527" s="2">
        <v>46209</v>
      </c>
      <c r="B527" t="s">
        <v>582</v>
      </c>
      <c r="C527" t="s">
        <v>1</v>
      </c>
      <c r="D527" t="s">
        <v>1</v>
      </c>
      <c r="E527" t="s">
        <v>3157</v>
      </c>
      <c r="F527" t="s">
        <v>38</v>
      </c>
      <c r="G527" t="s">
        <v>3158</v>
      </c>
      <c r="H527" t="s">
        <v>3152</v>
      </c>
      <c r="I527">
        <v>110</v>
      </c>
      <c r="J527">
        <v>23</v>
      </c>
      <c r="K527">
        <v>10</v>
      </c>
      <c r="L527">
        <v>6</v>
      </c>
      <c r="M527" t="s">
        <v>3159</v>
      </c>
      <c r="N527" t="s">
        <v>1</v>
      </c>
      <c r="O527" t="s">
        <v>1</v>
      </c>
      <c r="Q527">
        <v>3</v>
      </c>
      <c r="R527" t="s">
        <v>79</v>
      </c>
      <c r="S527" t="s">
        <v>107</v>
      </c>
      <c r="T527" t="s">
        <v>1</v>
      </c>
      <c r="U527" s="3" t="s">
        <v>1</v>
      </c>
      <c r="V527" s="3" t="s">
        <v>3160</v>
      </c>
      <c r="W527" s="3" t="s">
        <v>3161</v>
      </c>
      <c r="X527" t="s">
        <v>3145</v>
      </c>
      <c r="Y527">
        <v>7</v>
      </c>
      <c r="Z527">
        <v>0</v>
      </c>
      <c r="AA527">
        <f>IF('Στατιστικά'!$C$6,1,IFERROR(INDEX('Στατιστικά'!$C$10:$C$83,MATCH(G527,'Στατιστικά'!$B$10:$B$83,0))*1,0))</f>
        <v>1</v>
      </c>
    </row>
    <row r="528" spans="1:27">
      <c r="A528" s="2">
        <v>46209</v>
      </c>
      <c r="B528" t="s">
        <v>158</v>
      </c>
      <c r="C528" t="s">
        <v>1</v>
      </c>
      <c r="D528" t="s">
        <v>1</v>
      </c>
      <c r="E528" t="s">
        <v>3162</v>
      </c>
      <c r="F528" t="s">
        <v>38</v>
      </c>
      <c r="G528" t="s">
        <v>15</v>
      </c>
      <c r="H528" t="s">
        <v>432</v>
      </c>
      <c r="I528">
        <v>210</v>
      </c>
      <c r="J528">
        <v>39</v>
      </c>
      <c r="K528">
        <v>29</v>
      </c>
      <c r="M528" t="s">
        <v>3163</v>
      </c>
      <c r="N528" t="s">
        <v>1</v>
      </c>
      <c r="O528" t="s">
        <v>3164</v>
      </c>
      <c r="Q528">
        <v>3</v>
      </c>
      <c r="R528" t="s">
        <v>79</v>
      </c>
      <c r="S528" t="s">
        <v>8</v>
      </c>
      <c r="T528" t="s">
        <v>1</v>
      </c>
      <c r="U528" s="3" t="s">
        <v>1</v>
      </c>
      <c r="V528" s="3" t="s">
        <v>3165</v>
      </c>
      <c r="W528" s="3" t="s">
        <v>3166</v>
      </c>
      <c r="X528" t="s">
        <v>3167</v>
      </c>
      <c r="Y528">
        <v>7</v>
      </c>
      <c r="Z528">
        <v>0</v>
      </c>
      <c r="AA528">
        <f>IF('Στατιστικά'!$C$6,1,IFERROR(INDEX('Στατιστικά'!$C$10:$C$83,MATCH(G528,'Στατιστικά'!$B$10:$B$83,0))*1,0))</f>
        <v>1</v>
      </c>
    </row>
    <row r="529" spans="1:27">
      <c r="A529" s="2">
        <v>46209</v>
      </c>
      <c r="B529" t="s">
        <v>182</v>
      </c>
      <c r="C529" t="s">
        <v>1</v>
      </c>
      <c r="D529" t="s">
        <v>1</v>
      </c>
      <c r="E529" t="s">
        <v>3168</v>
      </c>
      <c r="F529" t="s">
        <v>74</v>
      </c>
      <c r="G529" t="s">
        <v>75</v>
      </c>
      <c r="H529" t="s">
        <v>3141</v>
      </c>
      <c r="I529">
        <v>49</v>
      </c>
      <c r="J529">
        <v>13</v>
      </c>
      <c r="L529">
        <v>2</v>
      </c>
      <c r="M529" t="s">
        <v>3169</v>
      </c>
      <c r="N529" t="s">
        <v>1</v>
      </c>
      <c r="O529" t="s">
        <v>1</v>
      </c>
      <c r="Q529">
        <v>4</v>
      </c>
      <c r="R529" t="s">
        <v>137</v>
      </c>
      <c r="S529" t="s">
        <v>107</v>
      </c>
      <c r="T529" t="s">
        <v>1</v>
      </c>
      <c r="U529" s="3" t="s">
        <v>1</v>
      </c>
      <c r="V529" s="3" t="s">
        <v>3170</v>
      </c>
      <c r="W529" s="3" t="s">
        <v>3171</v>
      </c>
      <c r="X529" t="s">
        <v>3078</v>
      </c>
      <c r="Y529">
        <v>7</v>
      </c>
      <c r="Z529">
        <v>0</v>
      </c>
      <c r="AA529">
        <f>IF('Στατιστικά'!$C$6,1,IFERROR(INDEX('Στατιστικά'!$C$10:$C$83,MATCH(G529,'Στατιστικά'!$B$10:$B$83,0))*1,0))</f>
        <v>1</v>
      </c>
    </row>
    <row r="530" spans="1:27">
      <c r="A530" s="2">
        <v>46209</v>
      </c>
      <c r="B530" t="s">
        <v>1</v>
      </c>
      <c r="C530" t="s">
        <v>1</v>
      </c>
      <c r="D530" t="s">
        <v>1</v>
      </c>
      <c r="E530" t="s">
        <v>3172</v>
      </c>
      <c r="F530" t="s">
        <v>74</v>
      </c>
      <c r="G530" t="s">
        <v>136</v>
      </c>
      <c r="H530" t="s">
        <v>3173</v>
      </c>
      <c r="M530" t="s">
        <v>1</v>
      </c>
      <c r="N530" t="s">
        <v>1</v>
      </c>
      <c r="O530" t="s">
        <v>1</v>
      </c>
      <c r="Q530">
        <v>4</v>
      </c>
      <c r="R530" t="s">
        <v>137</v>
      </c>
      <c r="S530" t="s">
        <v>107</v>
      </c>
      <c r="T530" t="s">
        <v>1</v>
      </c>
      <c r="U530" s="3" t="s">
        <v>1</v>
      </c>
      <c r="V530" s="3" t="s">
        <v>3174</v>
      </c>
      <c r="W530" s="3" t="s">
        <v>3175</v>
      </c>
      <c r="X530" t="s">
        <v>3145</v>
      </c>
      <c r="Y530">
        <v>7</v>
      </c>
      <c r="Z530">
        <v>0</v>
      </c>
      <c r="AA530">
        <f>IF('Στατιστικά'!$C$6,1,IFERROR(INDEX('Στατιστικά'!$C$10:$C$83,MATCH(G530,'Στατιστικά'!$B$10:$B$83,0))*1,0))</f>
        <v>1</v>
      </c>
    </row>
    <row r="531" spans="1:27">
      <c r="A531" s="2">
        <v>46208</v>
      </c>
      <c r="B531" t="s">
        <v>158</v>
      </c>
      <c r="C531" t="s">
        <v>1</v>
      </c>
      <c r="D531" t="s">
        <v>1</v>
      </c>
      <c r="E531" t="s">
        <v>3176</v>
      </c>
      <c r="F531" t="s">
        <v>38</v>
      </c>
      <c r="G531" t="s">
        <v>15</v>
      </c>
      <c r="H531" t="s">
        <v>3177</v>
      </c>
      <c r="I531">
        <v>210</v>
      </c>
      <c r="J531">
        <v>45</v>
      </c>
      <c r="K531">
        <v>16</v>
      </c>
      <c r="L531">
        <v>6</v>
      </c>
      <c r="M531" t="s">
        <v>3178</v>
      </c>
      <c r="N531" t="s">
        <v>1</v>
      </c>
      <c r="O531" t="s">
        <v>239</v>
      </c>
      <c r="Q531">
        <v>4</v>
      </c>
      <c r="R531" t="s">
        <v>137</v>
      </c>
      <c r="S531" t="s">
        <v>80</v>
      </c>
      <c r="T531" t="s">
        <v>3179</v>
      </c>
      <c r="U531" s="3" t="s">
        <v>1</v>
      </c>
      <c r="V531" s="3" t="s">
        <v>3180</v>
      </c>
      <c r="W531" s="3" t="s">
        <v>3181</v>
      </c>
      <c r="X531" t="s">
        <v>2645</v>
      </c>
      <c r="Y531">
        <v>7</v>
      </c>
      <c r="Z531">
        <v>0</v>
      </c>
      <c r="AA531">
        <f>IF('Στατιστικά'!$C$6,1,IFERROR(INDEX('Στατιστικά'!$C$10:$C$83,MATCH(G531,'Στατιστικά'!$B$10:$B$83,0))*1,0))</f>
        <v>1</v>
      </c>
    </row>
    <row r="532" spans="1:27">
      <c r="A532" s="2">
        <v>46208</v>
      </c>
      <c r="B532" t="s">
        <v>158</v>
      </c>
      <c r="C532" t="s">
        <v>1</v>
      </c>
      <c r="D532" t="s">
        <v>1</v>
      </c>
      <c r="E532" t="s">
        <v>3182</v>
      </c>
      <c r="F532" t="s">
        <v>38</v>
      </c>
      <c r="G532" t="s">
        <v>15</v>
      </c>
      <c r="H532" t="s">
        <v>3183</v>
      </c>
      <c r="I532">
        <v>210</v>
      </c>
      <c r="J532">
        <v>45</v>
      </c>
      <c r="K532">
        <v>29</v>
      </c>
      <c r="L532">
        <v>10</v>
      </c>
      <c r="M532" t="s">
        <v>3184</v>
      </c>
      <c r="N532" t="s">
        <v>3185</v>
      </c>
      <c r="O532" t="s">
        <v>850</v>
      </c>
      <c r="Q532">
        <v>4</v>
      </c>
      <c r="R532" t="s">
        <v>137</v>
      </c>
      <c r="S532" t="s">
        <v>80</v>
      </c>
      <c r="T532" t="s">
        <v>3186</v>
      </c>
      <c r="U532" s="3" t="s">
        <v>239</v>
      </c>
      <c r="V532" s="3" t="s">
        <v>3187</v>
      </c>
      <c r="W532" s="3" t="s">
        <v>3188</v>
      </c>
      <c r="X532" t="s">
        <v>2645</v>
      </c>
      <c r="Y532">
        <v>7</v>
      </c>
      <c r="Z532">
        <v>0</v>
      </c>
      <c r="AA532">
        <f>IF('Στατιστικά'!$C$6,1,IFERROR(INDEX('Στατιστικά'!$C$10:$C$83,MATCH(G532,'Στατιστικά'!$B$10:$B$83,0))*1,0))</f>
        <v>1</v>
      </c>
    </row>
    <row r="533" spans="1:27">
      <c r="A533" s="2">
        <v>46208</v>
      </c>
      <c r="B533" t="s">
        <v>158</v>
      </c>
      <c r="C533" t="s">
        <v>1</v>
      </c>
      <c r="D533" t="s">
        <v>1</v>
      </c>
      <c r="E533" t="s">
        <v>3189</v>
      </c>
      <c r="F533" t="s">
        <v>38</v>
      </c>
      <c r="G533" t="s">
        <v>1612</v>
      </c>
      <c r="H533" t="s">
        <v>432</v>
      </c>
      <c r="I533">
        <v>210</v>
      </c>
      <c r="J533">
        <v>45</v>
      </c>
      <c r="K533">
        <v>19</v>
      </c>
      <c r="L533">
        <v>10</v>
      </c>
      <c r="M533" t="s">
        <v>3190</v>
      </c>
      <c r="N533" t="s">
        <v>1</v>
      </c>
      <c r="O533" t="s">
        <v>106</v>
      </c>
      <c r="Q533">
        <v>4</v>
      </c>
      <c r="R533" t="s">
        <v>137</v>
      </c>
      <c r="S533" t="s">
        <v>80</v>
      </c>
      <c r="T533" t="s">
        <v>3191</v>
      </c>
      <c r="U533" s="3" t="s">
        <v>1</v>
      </c>
      <c r="V533" s="3" t="s">
        <v>3192</v>
      </c>
      <c r="W533" s="3" t="s">
        <v>3193</v>
      </c>
      <c r="X533" t="s">
        <v>2645</v>
      </c>
      <c r="Y533">
        <v>7</v>
      </c>
      <c r="Z533">
        <v>0</v>
      </c>
      <c r="AA533">
        <f>IF('Στατιστικά'!$C$6,1,IFERROR(INDEX('Στατιστικά'!$C$10:$C$83,MATCH(G533,'Στατιστικά'!$B$10:$B$83,0))*1,0))</f>
        <v>1</v>
      </c>
    </row>
    <row r="534" spans="1:27">
      <c r="A534" s="2">
        <v>46208</v>
      </c>
      <c r="B534" t="s">
        <v>3194</v>
      </c>
      <c r="C534" t="s">
        <v>1</v>
      </c>
      <c r="D534" t="s">
        <v>1</v>
      </c>
      <c r="E534" t="s">
        <v>3195</v>
      </c>
      <c r="F534" t="s">
        <v>38</v>
      </c>
      <c r="G534" t="s">
        <v>1612</v>
      </c>
      <c r="H534" t="s">
        <v>3183</v>
      </c>
      <c r="I534">
        <v>210</v>
      </c>
      <c r="J534">
        <v>39</v>
      </c>
      <c r="K534">
        <v>16</v>
      </c>
      <c r="L534">
        <v>6</v>
      </c>
      <c r="M534" t="s">
        <v>3196</v>
      </c>
      <c r="N534" t="s">
        <v>1</v>
      </c>
      <c r="O534" t="s">
        <v>3197</v>
      </c>
      <c r="Q534">
        <v>4</v>
      </c>
      <c r="R534" t="s">
        <v>137</v>
      </c>
      <c r="S534" t="s">
        <v>80</v>
      </c>
      <c r="T534" t="s">
        <v>3198</v>
      </c>
      <c r="U534" s="3" t="s">
        <v>1</v>
      </c>
      <c r="V534" s="3" t="s">
        <v>3199</v>
      </c>
      <c r="W534" s="3" t="s">
        <v>3200</v>
      </c>
      <c r="X534" t="s">
        <v>2645</v>
      </c>
      <c r="Y534">
        <v>7</v>
      </c>
      <c r="Z534">
        <v>0</v>
      </c>
      <c r="AA534">
        <f>IF('Στατιστικά'!$C$6,1,IFERROR(INDEX('Στατιστικά'!$C$10:$C$83,MATCH(G534,'Στατιστικά'!$B$10:$B$83,0))*1,0))</f>
        <v>1</v>
      </c>
    </row>
    <row r="535" spans="1:27">
      <c r="A535" s="2">
        <v>46208</v>
      </c>
      <c r="B535" t="s">
        <v>118</v>
      </c>
      <c r="C535" t="s">
        <v>1</v>
      </c>
      <c r="D535" t="s">
        <v>1</v>
      </c>
      <c r="E535" t="s">
        <v>3201</v>
      </c>
      <c r="F535" t="s">
        <v>120</v>
      </c>
      <c r="G535" t="s">
        <v>1496</v>
      </c>
      <c r="H535" t="s">
        <v>3202</v>
      </c>
      <c r="I535">
        <v>28</v>
      </c>
      <c r="J535">
        <v>8</v>
      </c>
      <c r="K535">
        <v>3</v>
      </c>
      <c r="L535">
        <v>1</v>
      </c>
      <c r="M535" t="s">
        <v>3203</v>
      </c>
      <c r="N535" t="s">
        <v>3204</v>
      </c>
      <c r="O535" t="s">
        <v>239</v>
      </c>
      <c r="Q535">
        <v>4</v>
      </c>
      <c r="R535" t="s">
        <v>137</v>
      </c>
      <c r="S535" t="s">
        <v>107</v>
      </c>
      <c r="T535" t="s">
        <v>1</v>
      </c>
      <c r="U535" s="3" t="s">
        <v>1</v>
      </c>
      <c r="V535" s="3" t="s">
        <v>3205</v>
      </c>
      <c r="W535" s="3" t="s">
        <v>3206</v>
      </c>
      <c r="X535" t="s">
        <v>3207</v>
      </c>
      <c r="Y535">
        <v>7</v>
      </c>
      <c r="Z535">
        <v>0</v>
      </c>
      <c r="AA535">
        <f>IF('Στατιστικά'!$C$6,1,IFERROR(INDEX('Στατιστικά'!$C$10:$C$83,MATCH(G535,'Στατιστικά'!$B$10:$B$83,0))*1,0))</f>
        <v>1</v>
      </c>
    </row>
    <row r="536" spans="1:27">
      <c r="A536" s="2">
        <v>46208</v>
      </c>
      <c r="B536" t="s">
        <v>1</v>
      </c>
      <c r="C536" t="s">
        <v>1</v>
      </c>
      <c r="D536" t="s">
        <v>1</v>
      </c>
      <c r="E536" t="s">
        <v>3208</v>
      </c>
      <c r="F536" t="s">
        <v>44</v>
      </c>
      <c r="G536" t="s">
        <v>174</v>
      </c>
      <c r="H536" t="s">
        <v>3209</v>
      </c>
      <c r="I536">
        <v>40</v>
      </c>
      <c r="J536">
        <v>9</v>
      </c>
      <c r="K536">
        <v>4</v>
      </c>
      <c r="L536">
        <v>2</v>
      </c>
      <c r="M536" t="s">
        <v>176</v>
      </c>
      <c r="N536" t="s">
        <v>1</v>
      </c>
      <c r="O536" t="s">
        <v>1</v>
      </c>
      <c r="Q536">
        <v>4</v>
      </c>
      <c r="R536" t="s">
        <v>137</v>
      </c>
      <c r="S536" t="s">
        <v>107</v>
      </c>
      <c r="T536" t="s">
        <v>1</v>
      </c>
      <c r="U536" s="3" t="s">
        <v>1</v>
      </c>
      <c r="V536" s="3" t="s">
        <v>3210</v>
      </c>
      <c r="W536" s="3" t="s">
        <v>3211</v>
      </c>
      <c r="X536" t="s">
        <v>3212</v>
      </c>
      <c r="Y536">
        <v>7</v>
      </c>
      <c r="Z536">
        <v>0</v>
      </c>
      <c r="AA536">
        <f>IF('Στατιστικά'!$C$6,1,IFERROR(INDEX('Στατιστικά'!$C$10:$C$83,MATCH(G536,'Στατιστικά'!$B$10:$B$83,0))*1,0))</f>
        <v>1</v>
      </c>
    </row>
    <row r="537" spans="1:27">
      <c r="A537" s="2">
        <v>46208</v>
      </c>
      <c r="B537" t="s">
        <v>1</v>
      </c>
      <c r="C537" t="s">
        <v>1</v>
      </c>
      <c r="D537" t="s">
        <v>1</v>
      </c>
      <c r="E537" t="s">
        <v>3213</v>
      </c>
      <c r="F537" t="s">
        <v>64</v>
      </c>
      <c r="G537" t="s">
        <v>130</v>
      </c>
      <c r="H537" t="s">
        <v>2222</v>
      </c>
      <c r="I537">
        <v>160</v>
      </c>
      <c r="M537" t="s">
        <v>1</v>
      </c>
      <c r="N537" t="s">
        <v>1</v>
      </c>
      <c r="O537" t="s">
        <v>1</v>
      </c>
      <c r="Q537">
        <v>3</v>
      </c>
      <c r="R537" t="s">
        <v>79</v>
      </c>
      <c r="S537" t="s">
        <v>8</v>
      </c>
      <c r="T537" t="s">
        <v>1</v>
      </c>
      <c r="U537" s="3" t="s">
        <v>1</v>
      </c>
      <c r="V537" s="3" t="s">
        <v>3214</v>
      </c>
      <c r="W537" s="3" t="s">
        <v>3215</v>
      </c>
      <c r="X537" t="s">
        <v>3167</v>
      </c>
      <c r="Y537">
        <v>7</v>
      </c>
      <c r="Z537">
        <v>0</v>
      </c>
      <c r="AA537">
        <f>IF('Στατιστικά'!$C$6,1,IFERROR(INDEX('Στατιστικά'!$C$10:$C$83,MATCH(G537,'Στατιστικά'!$B$10:$B$83,0))*1,0))</f>
        <v>1</v>
      </c>
    </row>
    <row r="538" spans="1:27">
      <c r="A538" s="2">
        <v>46207</v>
      </c>
      <c r="B538" t="s">
        <v>3216</v>
      </c>
      <c r="C538" t="s">
        <v>1</v>
      </c>
      <c r="D538" t="s">
        <v>1</v>
      </c>
      <c r="E538" t="s">
        <v>3217</v>
      </c>
      <c r="F538" t="s">
        <v>64</v>
      </c>
      <c r="G538" t="s">
        <v>130</v>
      </c>
      <c r="H538" t="s">
        <v>2222</v>
      </c>
      <c r="I538">
        <v>150</v>
      </c>
      <c r="J538">
        <v>48</v>
      </c>
      <c r="K538">
        <v>1</v>
      </c>
      <c r="L538">
        <v>2</v>
      </c>
      <c r="M538" t="s">
        <v>3218</v>
      </c>
      <c r="N538" t="s">
        <v>3219</v>
      </c>
      <c r="O538" t="s">
        <v>106</v>
      </c>
      <c r="P538">
        <v>60</v>
      </c>
      <c r="Q538">
        <v>4</v>
      </c>
      <c r="R538" t="s">
        <v>137</v>
      </c>
      <c r="S538" t="s">
        <v>8</v>
      </c>
      <c r="T538" t="s">
        <v>3220</v>
      </c>
      <c r="U538" s="3" t="s">
        <v>1</v>
      </c>
      <c r="V538" s="3" t="s">
        <v>3221</v>
      </c>
      <c r="W538" s="3" t="s">
        <v>3222</v>
      </c>
      <c r="X538" t="s">
        <v>2645</v>
      </c>
      <c r="Y538">
        <v>7</v>
      </c>
      <c r="Z538">
        <v>60</v>
      </c>
      <c r="AA538">
        <f>IF('Στατιστικά'!$C$6,1,IFERROR(INDEX('Στατιστικά'!$C$10:$C$83,MATCH(G538,'Στατιστικά'!$B$10:$B$83,0))*1,0))</f>
        <v>1</v>
      </c>
    </row>
    <row r="539" spans="1:27">
      <c r="A539" s="2">
        <v>46207</v>
      </c>
      <c r="B539" t="s">
        <v>575</v>
      </c>
      <c r="C539" t="s">
        <v>1</v>
      </c>
      <c r="D539" t="s">
        <v>1</v>
      </c>
      <c r="E539" t="s">
        <v>3223</v>
      </c>
      <c r="F539" t="s">
        <v>64</v>
      </c>
      <c r="G539" t="s">
        <v>130</v>
      </c>
      <c r="H539" t="s">
        <v>3224</v>
      </c>
      <c r="I539">
        <v>200</v>
      </c>
      <c r="J539">
        <v>52</v>
      </c>
      <c r="K539">
        <v>30</v>
      </c>
      <c r="L539">
        <v>2</v>
      </c>
      <c r="M539" t="s">
        <v>3159</v>
      </c>
      <c r="N539" t="s">
        <v>1</v>
      </c>
      <c r="O539" t="s">
        <v>1</v>
      </c>
      <c r="P539">
        <v>60</v>
      </c>
      <c r="Q539">
        <v>4</v>
      </c>
      <c r="R539" t="s">
        <v>137</v>
      </c>
      <c r="S539" t="s">
        <v>107</v>
      </c>
      <c r="T539" t="s">
        <v>3225</v>
      </c>
      <c r="U539" s="3" t="s">
        <v>1</v>
      </c>
      <c r="V539" s="3" t="s">
        <v>3226</v>
      </c>
      <c r="W539" s="3" t="s">
        <v>3227</v>
      </c>
      <c r="X539" t="s">
        <v>3078</v>
      </c>
      <c r="Y539">
        <v>7</v>
      </c>
      <c r="Z539">
        <v>60</v>
      </c>
      <c r="AA539">
        <f>IF('Στατιστικά'!$C$6,1,IFERROR(INDEX('Στατιστικά'!$C$10:$C$83,MATCH(G539,'Στατιστικά'!$B$10:$B$83,0))*1,0))</f>
        <v>1</v>
      </c>
    </row>
    <row r="540" spans="1:27">
      <c r="A540" s="2">
        <v>46207</v>
      </c>
      <c r="B540" t="s">
        <v>926</v>
      </c>
      <c r="C540" t="s">
        <v>1647</v>
      </c>
      <c r="D540" t="s">
        <v>1</v>
      </c>
      <c r="E540" t="s">
        <v>3228</v>
      </c>
      <c r="F540" t="s">
        <v>64</v>
      </c>
      <c r="G540" t="s">
        <v>116</v>
      </c>
      <c r="H540" t="s">
        <v>3229</v>
      </c>
      <c r="I540">
        <v>45</v>
      </c>
      <c r="J540">
        <v>12</v>
      </c>
      <c r="K540">
        <v>5</v>
      </c>
      <c r="L540">
        <v>3</v>
      </c>
      <c r="M540" t="s">
        <v>176</v>
      </c>
      <c r="N540" t="s">
        <v>3230</v>
      </c>
      <c r="O540" t="s">
        <v>106</v>
      </c>
      <c r="Q540">
        <v>3</v>
      </c>
      <c r="R540" t="s">
        <v>79</v>
      </c>
      <c r="S540" t="s">
        <v>80</v>
      </c>
      <c r="T540" t="s">
        <v>1</v>
      </c>
      <c r="U540" s="3" t="s">
        <v>1</v>
      </c>
      <c r="V540" s="3" t="s">
        <v>3231</v>
      </c>
      <c r="W540" s="3" t="s">
        <v>3232</v>
      </c>
      <c r="X540" t="s">
        <v>2645</v>
      </c>
      <c r="Y540">
        <v>7</v>
      </c>
      <c r="Z540">
        <v>0</v>
      </c>
      <c r="AA540">
        <f>IF('Στατιστικά'!$C$6,1,IFERROR(INDEX('Στατιστικά'!$C$10:$C$83,MATCH(G540,'Στατιστικά'!$B$10:$B$83,0))*1,0))</f>
        <v>1</v>
      </c>
    </row>
    <row r="541" spans="1:27">
      <c r="A541" s="2">
        <v>46207</v>
      </c>
      <c r="B541" t="s">
        <v>244</v>
      </c>
      <c r="C541" t="s">
        <v>1</v>
      </c>
      <c r="D541" t="s">
        <v>1</v>
      </c>
      <c r="E541" t="s">
        <v>3233</v>
      </c>
      <c r="F541" t="s">
        <v>64</v>
      </c>
      <c r="G541" t="s">
        <v>130</v>
      </c>
      <c r="H541" t="s">
        <v>375</v>
      </c>
      <c r="I541">
        <v>15</v>
      </c>
      <c r="J541">
        <v>6</v>
      </c>
      <c r="K541">
        <v>0</v>
      </c>
      <c r="L541">
        <v>1</v>
      </c>
      <c r="M541" t="s">
        <v>1</v>
      </c>
      <c r="N541" t="s">
        <v>3234</v>
      </c>
      <c r="O541" t="s">
        <v>106</v>
      </c>
      <c r="P541" t="s">
        <v>4847</v>
      </c>
      <c r="Q541">
        <v>4</v>
      </c>
      <c r="R541" t="s">
        <v>137</v>
      </c>
      <c r="S541" t="s">
        <v>80</v>
      </c>
      <c r="T541" t="s">
        <v>1</v>
      </c>
      <c r="U541" s="3" t="s">
        <v>1</v>
      </c>
      <c r="V541" s="3" t="s">
        <v>3235</v>
      </c>
      <c r="W541" s="3" t="s">
        <v>4848</v>
      </c>
      <c r="X541" t="s">
        <v>2645</v>
      </c>
      <c r="Y541">
        <v>7</v>
      </c>
      <c r="Z541">
        <v>0</v>
      </c>
      <c r="AA541">
        <f>IF('Στατιστικά'!$C$6,1,IFERROR(INDEX('Στατιστικά'!$C$10:$C$83,MATCH(G541,'Στατιστικά'!$B$10:$B$83,0))*1,0))</f>
        <v>1</v>
      </c>
    </row>
    <row r="542" spans="1:27">
      <c r="A542" s="2">
        <v>46207</v>
      </c>
      <c r="B542" t="s">
        <v>158</v>
      </c>
      <c r="C542" t="s">
        <v>3237</v>
      </c>
      <c r="D542" t="s">
        <v>1</v>
      </c>
      <c r="E542" t="s">
        <v>3238</v>
      </c>
      <c r="F542" t="s">
        <v>64</v>
      </c>
      <c r="G542" t="s">
        <v>753</v>
      </c>
      <c r="H542" t="s">
        <v>753</v>
      </c>
      <c r="I542">
        <v>55</v>
      </c>
      <c r="J542">
        <v>15</v>
      </c>
      <c r="K542">
        <v>5</v>
      </c>
      <c r="L542">
        <v>2</v>
      </c>
      <c r="M542" t="s">
        <v>56</v>
      </c>
      <c r="N542" t="s">
        <v>356</v>
      </c>
      <c r="O542" t="s">
        <v>1</v>
      </c>
      <c r="Q542">
        <v>4</v>
      </c>
      <c r="R542" t="s">
        <v>137</v>
      </c>
      <c r="S542" t="s">
        <v>80</v>
      </c>
      <c r="T542" t="s">
        <v>1</v>
      </c>
      <c r="U542" s="3" t="s">
        <v>1</v>
      </c>
      <c r="V542" s="3" t="s">
        <v>3239</v>
      </c>
      <c r="W542" s="3" t="s">
        <v>3240</v>
      </c>
      <c r="X542" t="s">
        <v>2645</v>
      </c>
      <c r="Y542">
        <v>7</v>
      </c>
      <c r="Z542">
        <v>0</v>
      </c>
      <c r="AA542">
        <f>IF('Στατιστικά'!$C$6,1,IFERROR(INDEX('Στατιστικά'!$C$10:$C$83,MATCH(G542,'Στατιστικά'!$B$10:$B$83,0))*1,0))</f>
        <v>1</v>
      </c>
    </row>
    <row r="543" spans="1:27">
      <c r="A543" s="2">
        <v>46207</v>
      </c>
      <c r="B543" t="s">
        <v>1222</v>
      </c>
      <c r="C543" t="s">
        <v>3241</v>
      </c>
      <c r="D543" t="s">
        <v>1</v>
      </c>
      <c r="E543" t="s">
        <v>3242</v>
      </c>
      <c r="F543" t="s">
        <v>120</v>
      </c>
      <c r="G543" t="s">
        <v>1496</v>
      </c>
      <c r="H543" t="s">
        <v>3243</v>
      </c>
      <c r="M543" t="s">
        <v>1</v>
      </c>
      <c r="N543" t="s">
        <v>1</v>
      </c>
      <c r="O543" t="s">
        <v>1</v>
      </c>
      <c r="Q543">
        <v>2</v>
      </c>
      <c r="R543" t="s">
        <v>17</v>
      </c>
      <c r="S543" t="s">
        <v>107</v>
      </c>
      <c r="T543" t="s">
        <v>1</v>
      </c>
      <c r="U543" s="3" t="s">
        <v>1</v>
      </c>
      <c r="V543" s="3" t="s">
        <v>3244</v>
      </c>
      <c r="W543" s="3" t="s">
        <v>3245</v>
      </c>
      <c r="X543" t="s">
        <v>3207</v>
      </c>
      <c r="Y543">
        <v>7</v>
      </c>
      <c r="Z543">
        <v>0</v>
      </c>
      <c r="AA543">
        <f>IF('Στατιστικά'!$C$6,1,IFERROR(INDEX('Στατιστικά'!$C$10:$C$83,MATCH(G543,'Στατιστικά'!$B$10:$B$83,0))*1,0))</f>
        <v>1</v>
      </c>
    </row>
    <row r="544" spans="1:27">
      <c r="A544" s="2">
        <v>46207</v>
      </c>
      <c r="B544" t="s">
        <v>3246</v>
      </c>
      <c r="C544" t="s">
        <v>1</v>
      </c>
      <c r="D544" t="s">
        <v>1</v>
      </c>
      <c r="E544" t="s">
        <v>3247</v>
      </c>
      <c r="F544" t="s">
        <v>141</v>
      </c>
      <c r="G544" t="s">
        <v>2512</v>
      </c>
      <c r="H544" t="s">
        <v>3248</v>
      </c>
      <c r="M544" t="s">
        <v>1</v>
      </c>
      <c r="N544" t="s">
        <v>1</v>
      </c>
      <c r="O544" t="s">
        <v>1</v>
      </c>
      <c r="Q544">
        <v>3</v>
      </c>
      <c r="R544" t="s">
        <v>79</v>
      </c>
      <c r="S544" t="s">
        <v>1</v>
      </c>
      <c r="T544" t="s">
        <v>3249</v>
      </c>
      <c r="U544" s="3" t="s">
        <v>1</v>
      </c>
      <c r="V544" s="3" t="s">
        <v>3250</v>
      </c>
      <c r="W544" s="3" t="s">
        <v>3251</v>
      </c>
      <c r="X544" t="s">
        <v>3207</v>
      </c>
      <c r="Y544">
        <v>7</v>
      </c>
      <c r="Z544">
        <v>0</v>
      </c>
      <c r="AA544">
        <f>IF('Στατιστικά'!$C$6,1,IFERROR(INDEX('Στατιστικά'!$C$10:$C$83,MATCH(G544,'Στατιστικά'!$B$10:$B$83,0))*1,0))</f>
        <v>1</v>
      </c>
    </row>
    <row r="545" spans="1:27">
      <c r="A545" s="2">
        <v>46207</v>
      </c>
      <c r="B545" t="s">
        <v>182</v>
      </c>
      <c r="C545" t="s">
        <v>1</v>
      </c>
      <c r="D545" t="s">
        <v>1</v>
      </c>
      <c r="E545" t="s">
        <v>3252</v>
      </c>
      <c r="F545" t="s">
        <v>38</v>
      </c>
      <c r="G545" t="s">
        <v>15</v>
      </c>
      <c r="H545" t="s">
        <v>1199</v>
      </c>
      <c r="I545">
        <v>47</v>
      </c>
      <c r="J545">
        <v>20</v>
      </c>
      <c r="K545">
        <v>2</v>
      </c>
      <c r="L545">
        <v>2</v>
      </c>
      <c r="M545" t="s">
        <v>1682</v>
      </c>
      <c r="N545" t="s">
        <v>1</v>
      </c>
      <c r="O545" t="s">
        <v>239</v>
      </c>
      <c r="Q545">
        <v>3</v>
      </c>
      <c r="R545" t="s">
        <v>79</v>
      </c>
      <c r="S545" t="s">
        <v>80</v>
      </c>
      <c r="T545" t="s">
        <v>1</v>
      </c>
      <c r="U545" s="3" t="s">
        <v>1</v>
      </c>
      <c r="V545" s="3" t="s">
        <v>3253</v>
      </c>
      <c r="W545" s="3" t="s">
        <v>3254</v>
      </c>
      <c r="X545" t="s">
        <v>3133</v>
      </c>
      <c r="Y545">
        <v>7</v>
      </c>
      <c r="Z545">
        <v>0</v>
      </c>
      <c r="AA545">
        <f>IF('Στατιστικά'!$C$6,1,IFERROR(INDEX('Στατιστικά'!$C$10:$C$83,MATCH(G545,'Στατιστικά'!$B$10:$B$83,0))*1,0))</f>
        <v>1</v>
      </c>
    </row>
    <row r="546" spans="1:27">
      <c r="A546" s="2">
        <v>46207</v>
      </c>
      <c r="B546" t="s">
        <v>3255</v>
      </c>
      <c r="C546" t="s">
        <v>1</v>
      </c>
      <c r="D546" t="s">
        <v>1</v>
      </c>
      <c r="E546" t="s">
        <v>3256</v>
      </c>
      <c r="F546" t="s">
        <v>160</v>
      </c>
      <c r="G546" t="s">
        <v>198</v>
      </c>
      <c r="H546" t="s">
        <v>707</v>
      </c>
      <c r="M546" t="s">
        <v>1</v>
      </c>
      <c r="N546" t="s">
        <v>1</v>
      </c>
      <c r="O546" t="s">
        <v>1</v>
      </c>
      <c r="Q546">
        <v>3</v>
      </c>
      <c r="R546" t="s">
        <v>79</v>
      </c>
      <c r="S546" t="s">
        <v>1</v>
      </c>
      <c r="T546" t="s">
        <v>3249</v>
      </c>
      <c r="U546" s="3" t="s">
        <v>1</v>
      </c>
      <c r="V546" s="3" t="s">
        <v>3250</v>
      </c>
      <c r="W546" s="3" t="s">
        <v>3257</v>
      </c>
      <c r="X546" t="s">
        <v>3207</v>
      </c>
      <c r="Y546">
        <v>7</v>
      </c>
      <c r="Z546">
        <v>0</v>
      </c>
      <c r="AA546">
        <f>IF('Στατιστικά'!$C$6,1,IFERROR(INDEX('Στατιστικά'!$C$10:$C$83,MATCH(G546,'Στατιστικά'!$B$10:$B$83,0))*1,0))</f>
        <v>1</v>
      </c>
    </row>
    <row r="547" spans="1:27">
      <c r="A547" s="2">
        <v>46207</v>
      </c>
      <c r="B547" t="s">
        <v>1</v>
      </c>
      <c r="C547" t="s">
        <v>1</v>
      </c>
      <c r="D547" t="s">
        <v>1</v>
      </c>
      <c r="E547" t="s">
        <v>3258</v>
      </c>
      <c r="F547" t="s">
        <v>64</v>
      </c>
      <c r="G547" t="s">
        <v>130</v>
      </c>
      <c r="H547" t="s">
        <v>1832</v>
      </c>
      <c r="I547">
        <v>26</v>
      </c>
      <c r="J547">
        <v>9</v>
      </c>
      <c r="L547">
        <v>2</v>
      </c>
      <c r="M547" t="s">
        <v>1</v>
      </c>
      <c r="N547" t="s">
        <v>2192</v>
      </c>
      <c r="O547" t="s">
        <v>106</v>
      </c>
      <c r="Q547">
        <v>4</v>
      </c>
      <c r="R547" t="s">
        <v>137</v>
      </c>
      <c r="S547" t="s">
        <v>107</v>
      </c>
      <c r="T547" t="s">
        <v>1</v>
      </c>
      <c r="U547" s="3" t="s">
        <v>1</v>
      </c>
      <c r="V547" s="3" t="s">
        <v>3259</v>
      </c>
      <c r="W547" s="3" t="s">
        <v>3260</v>
      </c>
      <c r="X547" t="s">
        <v>3207</v>
      </c>
      <c r="Y547">
        <v>7</v>
      </c>
      <c r="Z547">
        <v>0</v>
      </c>
      <c r="AA547">
        <f>IF('Στατιστικά'!$C$6,1,IFERROR(INDEX('Στατιστικά'!$C$10:$C$83,MATCH(G547,'Στατιστικά'!$B$10:$B$83,0))*1,0))</f>
        <v>1</v>
      </c>
    </row>
    <row r="548" spans="1:27">
      <c r="A548" s="2">
        <v>46207</v>
      </c>
      <c r="B548" t="s">
        <v>1</v>
      </c>
      <c r="C548" t="s">
        <v>1</v>
      </c>
      <c r="D548" t="s">
        <v>1</v>
      </c>
      <c r="E548" t="s">
        <v>3261</v>
      </c>
      <c r="F548" t="s">
        <v>64</v>
      </c>
      <c r="G548" t="s">
        <v>753</v>
      </c>
      <c r="H548" t="s">
        <v>3262</v>
      </c>
      <c r="M548" t="s">
        <v>1</v>
      </c>
      <c r="N548" t="s">
        <v>1</v>
      </c>
      <c r="O548" t="s">
        <v>1</v>
      </c>
      <c r="Q548">
        <v>4</v>
      </c>
      <c r="R548" t="s">
        <v>137</v>
      </c>
      <c r="S548" t="s">
        <v>107</v>
      </c>
      <c r="T548" t="s">
        <v>1</v>
      </c>
      <c r="U548" s="3" t="s">
        <v>1</v>
      </c>
      <c r="V548" s="3" t="s">
        <v>3263</v>
      </c>
      <c r="W548" s="3" t="s">
        <v>3264</v>
      </c>
      <c r="X548" t="s">
        <v>3207</v>
      </c>
      <c r="Y548">
        <v>7</v>
      </c>
      <c r="Z548">
        <v>0</v>
      </c>
      <c r="AA548">
        <f>IF('Στατιστικά'!$C$6,1,IFERROR(INDEX('Στατιστικά'!$C$10:$C$83,MATCH(G548,'Στατιστικά'!$B$10:$B$83,0))*1,0))</f>
        <v>1</v>
      </c>
    </row>
    <row r="549" spans="1:27">
      <c r="A549" s="2">
        <v>46207</v>
      </c>
      <c r="B549" t="s">
        <v>1</v>
      </c>
      <c r="C549" t="s">
        <v>1</v>
      </c>
      <c r="D549" t="s">
        <v>1</v>
      </c>
      <c r="E549" t="s">
        <v>3265</v>
      </c>
      <c r="F549" t="s">
        <v>3</v>
      </c>
      <c r="G549" t="s">
        <v>1666</v>
      </c>
      <c r="H549" t="s">
        <v>3266</v>
      </c>
      <c r="I549">
        <v>39</v>
      </c>
      <c r="J549">
        <v>21</v>
      </c>
      <c r="K549">
        <v>4</v>
      </c>
      <c r="L549">
        <v>2</v>
      </c>
      <c r="M549" t="s">
        <v>176</v>
      </c>
      <c r="N549" t="s">
        <v>3267</v>
      </c>
      <c r="O549" t="s">
        <v>1</v>
      </c>
      <c r="Q549">
        <v>3</v>
      </c>
      <c r="R549" t="s">
        <v>79</v>
      </c>
      <c r="S549" t="s">
        <v>8</v>
      </c>
      <c r="T549" t="s">
        <v>1</v>
      </c>
      <c r="U549" s="3" t="s">
        <v>1</v>
      </c>
      <c r="V549" s="3" t="s">
        <v>3268</v>
      </c>
      <c r="W549" s="3" t="s">
        <v>3269</v>
      </c>
      <c r="X549" t="s">
        <v>2645</v>
      </c>
      <c r="Y549">
        <v>7</v>
      </c>
      <c r="Z549">
        <v>0</v>
      </c>
      <c r="AA549">
        <f>IF('Στατιστικά'!$C$6,1,IFERROR(INDEX('Στατιστικά'!$C$10:$C$83,MATCH(G549,'Στατιστικά'!$B$10:$B$83,0))*1,0))</f>
        <v>1</v>
      </c>
    </row>
    <row r="550" spans="1:27">
      <c r="A550" s="2">
        <v>46206</v>
      </c>
      <c r="B550" t="s">
        <v>479</v>
      </c>
      <c r="C550" t="s">
        <v>1</v>
      </c>
      <c r="D550" t="s">
        <v>1</v>
      </c>
      <c r="E550" t="s">
        <v>3270</v>
      </c>
      <c r="F550" t="s">
        <v>44</v>
      </c>
      <c r="G550" t="s">
        <v>94</v>
      </c>
      <c r="H550" t="s">
        <v>3271</v>
      </c>
      <c r="I550">
        <v>35</v>
      </c>
      <c r="J550">
        <v>8</v>
      </c>
      <c r="K550">
        <v>4</v>
      </c>
      <c r="L550">
        <v>1</v>
      </c>
      <c r="M550" t="s">
        <v>1016</v>
      </c>
      <c r="N550" t="s">
        <v>1</v>
      </c>
      <c r="O550" t="s">
        <v>1</v>
      </c>
      <c r="Q550">
        <v>3</v>
      </c>
      <c r="R550" t="s">
        <v>79</v>
      </c>
      <c r="S550" t="s">
        <v>80</v>
      </c>
      <c r="T550" t="s">
        <v>3272</v>
      </c>
      <c r="U550" s="3" t="s">
        <v>1</v>
      </c>
      <c r="V550" s="3" t="s">
        <v>3273</v>
      </c>
      <c r="W550" s="3" t="s">
        <v>3274</v>
      </c>
      <c r="X550" t="s">
        <v>2645</v>
      </c>
      <c r="Y550">
        <v>7</v>
      </c>
      <c r="Z550">
        <v>0</v>
      </c>
      <c r="AA550">
        <f>IF('Στατιστικά'!$C$6,1,IFERROR(INDEX('Στατιστικά'!$C$10:$C$83,MATCH(G550,'Στατιστικά'!$B$10:$B$83,0))*1,0))</f>
        <v>1</v>
      </c>
    </row>
    <row r="551" spans="1:27">
      <c r="A551" s="2">
        <v>46206</v>
      </c>
      <c r="B551" t="s">
        <v>251</v>
      </c>
      <c r="C551" t="s">
        <v>1</v>
      </c>
      <c r="D551" t="s">
        <v>1</v>
      </c>
      <c r="E551" t="s">
        <v>3275</v>
      </c>
      <c r="F551" t="s">
        <v>141</v>
      </c>
      <c r="G551" t="s">
        <v>481</v>
      </c>
      <c r="H551" t="s">
        <v>3276</v>
      </c>
      <c r="I551">
        <v>85</v>
      </c>
      <c r="J551">
        <v>21</v>
      </c>
      <c r="K551">
        <v>8</v>
      </c>
      <c r="L551">
        <v>4</v>
      </c>
      <c r="M551" t="s">
        <v>3277</v>
      </c>
      <c r="N551" t="s">
        <v>3278</v>
      </c>
      <c r="O551" t="s">
        <v>3279</v>
      </c>
      <c r="Q551">
        <v>3</v>
      </c>
      <c r="R551" t="s">
        <v>79</v>
      </c>
      <c r="S551" t="s">
        <v>80</v>
      </c>
      <c r="T551" t="s">
        <v>3280</v>
      </c>
      <c r="U551" s="3" t="s">
        <v>1</v>
      </c>
      <c r="V551" s="3" t="s">
        <v>3281</v>
      </c>
      <c r="W551" s="3" t="s">
        <v>3282</v>
      </c>
      <c r="X551" t="s">
        <v>2645</v>
      </c>
      <c r="Y551">
        <v>7</v>
      </c>
      <c r="Z551">
        <v>0</v>
      </c>
      <c r="AA551">
        <f>IF('Στατιστικά'!$C$6,1,IFERROR(INDEX('Στατιστικά'!$C$10:$C$83,MATCH(G551,'Στατιστικά'!$B$10:$B$83,0))*1,0))</f>
        <v>1</v>
      </c>
    </row>
    <row r="552" spans="1:27">
      <c r="A552" s="2">
        <v>46206</v>
      </c>
      <c r="B552" t="s">
        <v>3246</v>
      </c>
      <c r="C552" t="s">
        <v>1</v>
      </c>
      <c r="D552" t="s">
        <v>1</v>
      </c>
      <c r="E552" t="s">
        <v>3283</v>
      </c>
      <c r="F552" t="s">
        <v>141</v>
      </c>
      <c r="G552" t="s">
        <v>1352</v>
      </c>
      <c r="H552" t="s">
        <v>3284</v>
      </c>
      <c r="M552" t="s">
        <v>1</v>
      </c>
      <c r="N552" t="s">
        <v>1</v>
      </c>
      <c r="O552" t="s">
        <v>1</v>
      </c>
      <c r="Q552">
        <v>3</v>
      </c>
      <c r="R552" t="s">
        <v>79</v>
      </c>
      <c r="S552" t="s">
        <v>1</v>
      </c>
      <c r="T552" t="s">
        <v>3285</v>
      </c>
      <c r="U552" s="3" t="s">
        <v>1</v>
      </c>
      <c r="V552" s="3" t="s">
        <v>3286</v>
      </c>
      <c r="W552" s="3" t="s">
        <v>3287</v>
      </c>
      <c r="X552" t="s">
        <v>2645</v>
      </c>
      <c r="Y552">
        <v>7</v>
      </c>
      <c r="Z552">
        <v>0</v>
      </c>
      <c r="AA552">
        <f>IF('Στατιστικά'!$C$6,1,IFERROR(INDEX('Στατιστικά'!$C$10:$C$83,MATCH(G552,'Στατιστικά'!$B$10:$B$83,0))*1,0))</f>
        <v>1</v>
      </c>
    </row>
    <row r="553" spans="1:27">
      <c r="A553" s="2">
        <v>46206</v>
      </c>
      <c r="B553" t="s">
        <v>3246</v>
      </c>
      <c r="C553" t="s">
        <v>1</v>
      </c>
      <c r="D553" t="s">
        <v>1</v>
      </c>
      <c r="E553" t="s">
        <v>3283</v>
      </c>
      <c r="F553" t="s">
        <v>141</v>
      </c>
      <c r="G553" t="s">
        <v>2512</v>
      </c>
      <c r="H553" t="s">
        <v>3288</v>
      </c>
      <c r="M553" t="s">
        <v>1</v>
      </c>
      <c r="N553" t="s">
        <v>1</v>
      </c>
      <c r="O553" t="s">
        <v>1</v>
      </c>
      <c r="Q553">
        <v>3</v>
      </c>
      <c r="R553" t="s">
        <v>79</v>
      </c>
      <c r="S553" t="s">
        <v>1</v>
      </c>
      <c r="T553" t="s">
        <v>3289</v>
      </c>
      <c r="U553" s="3" t="s">
        <v>1</v>
      </c>
      <c r="V553" s="3" t="s">
        <v>3290</v>
      </c>
      <c r="W553" s="3" t="s">
        <v>4607</v>
      </c>
      <c r="X553" t="s">
        <v>2645</v>
      </c>
      <c r="Y553">
        <v>7</v>
      </c>
      <c r="Z553">
        <v>0</v>
      </c>
      <c r="AA553">
        <f>IF('Στατιστικά'!$C$6,1,IFERROR(INDEX('Στατιστικά'!$C$10:$C$83,MATCH(G553,'Στατιστικά'!$B$10:$B$83,0))*1,0))</f>
        <v>1</v>
      </c>
    </row>
    <row r="554" spans="1:27">
      <c r="A554" s="2">
        <v>46206</v>
      </c>
      <c r="B554" t="s">
        <v>881</v>
      </c>
      <c r="C554" t="s">
        <v>1</v>
      </c>
      <c r="D554" t="s">
        <v>1</v>
      </c>
      <c r="E554" t="s">
        <v>3292</v>
      </c>
      <c r="F554" t="s">
        <v>86</v>
      </c>
      <c r="G554" t="s">
        <v>87</v>
      </c>
      <c r="H554" t="s">
        <v>3293</v>
      </c>
      <c r="I554">
        <v>25</v>
      </c>
      <c r="J554">
        <v>8</v>
      </c>
      <c r="K554">
        <v>3</v>
      </c>
      <c r="L554">
        <v>2</v>
      </c>
      <c r="M554" t="s">
        <v>1170</v>
      </c>
      <c r="N554" t="s">
        <v>1416</v>
      </c>
      <c r="O554" t="s">
        <v>106</v>
      </c>
      <c r="Q554">
        <v>3</v>
      </c>
      <c r="R554" t="s">
        <v>79</v>
      </c>
      <c r="S554" t="s">
        <v>80</v>
      </c>
      <c r="T554" t="s">
        <v>1</v>
      </c>
      <c r="U554" s="3" t="s">
        <v>1</v>
      </c>
      <c r="V554" s="3" t="s">
        <v>3294</v>
      </c>
      <c r="W554" s="3" t="s">
        <v>3295</v>
      </c>
      <c r="X554" t="s">
        <v>2645</v>
      </c>
      <c r="Y554">
        <v>7</v>
      </c>
      <c r="Z554">
        <v>0</v>
      </c>
      <c r="AA554">
        <f>IF('Στατιστικά'!$C$6,1,IFERROR(INDEX('Στατιστικά'!$C$10:$C$83,MATCH(G554,'Στατιστικά'!$B$10:$B$83,0))*1,0))</f>
        <v>1</v>
      </c>
    </row>
    <row r="555" spans="1:27">
      <c r="A555" s="2">
        <v>46206</v>
      </c>
      <c r="B555" t="s">
        <v>881</v>
      </c>
      <c r="C555" t="s">
        <v>1</v>
      </c>
      <c r="D555" t="s">
        <v>1</v>
      </c>
      <c r="E555" t="s">
        <v>3296</v>
      </c>
      <c r="F555" t="s">
        <v>86</v>
      </c>
      <c r="G555" t="s">
        <v>1169</v>
      </c>
      <c r="H555" t="s">
        <v>3293</v>
      </c>
      <c r="I555">
        <v>25</v>
      </c>
      <c r="J555">
        <v>8</v>
      </c>
      <c r="K555">
        <v>3</v>
      </c>
      <c r="L555">
        <v>2</v>
      </c>
      <c r="M555" t="s">
        <v>3297</v>
      </c>
      <c r="N555" t="s">
        <v>3298</v>
      </c>
      <c r="O555" t="s">
        <v>239</v>
      </c>
      <c r="Q555">
        <v>3</v>
      </c>
      <c r="R555" t="s">
        <v>79</v>
      </c>
      <c r="S555" t="s">
        <v>80</v>
      </c>
      <c r="T555" t="s">
        <v>1</v>
      </c>
      <c r="U555" s="3" t="s">
        <v>1</v>
      </c>
      <c r="V555" s="3" t="s">
        <v>3299</v>
      </c>
      <c r="W555" s="3" t="s">
        <v>4608</v>
      </c>
      <c r="X555" t="s">
        <v>3301</v>
      </c>
      <c r="Y555">
        <v>7</v>
      </c>
      <c r="Z555">
        <v>0</v>
      </c>
      <c r="AA555">
        <f>IF('Στατιστικά'!$C$6,1,IFERROR(INDEX('Στατιστικά'!$C$10:$C$83,MATCH(G555,'Στατιστικά'!$B$10:$B$83,0))*1,0))</f>
        <v>1</v>
      </c>
    </row>
    <row r="556" spans="1:27">
      <c r="A556" s="2">
        <v>46206</v>
      </c>
      <c r="B556" t="s">
        <v>3255</v>
      </c>
      <c r="C556" t="s">
        <v>1</v>
      </c>
      <c r="D556" t="s">
        <v>1</v>
      </c>
      <c r="E556" t="s">
        <v>3302</v>
      </c>
      <c r="F556" t="s">
        <v>160</v>
      </c>
      <c r="G556" t="s">
        <v>198</v>
      </c>
      <c r="H556" t="s">
        <v>198</v>
      </c>
      <c r="I556">
        <v>35</v>
      </c>
      <c r="J556">
        <v>7</v>
      </c>
      <c r="K556">
        <v>2</v>
      </c>
      <c r="M556" t="s">
        <v>3303</v>
      </c>
      <c r="N556" t="s">
        <v>1</v>
      </c>
      <c r="O556" t="s">
        <v>106</v>
      </c>
      <c r="Q556">
        <v>2</v>
      </c>
      <c r="R556" t="s">
        <v>17</v>
      </c>
      <c r="S556" t="s">
        <v>80</v>
      </c>
      <c r="T556" t="s">
        <v>3304</v>
      </c>
      <c r="U556" s="3" t="s">
        <v>1</v>
      </c>
      <c r="V556" s="3" t="s">
        <v>3305</v>
      </c>
      <c r="W556" s="3" t="s">
        <v>3306</v>
      </c>
      <c r="X556" t="s">
        <v>2645</v>
      </c>
      <c r="Y556">
        <v>7</v>
      </c>
      <c r="Z556">
        <v>0</v>
      </c>
      <c r="AA556">
        <f>IF('Στατιστικά'!$C$6,1,IFERROR(INDEX('Στατιστικά'!$C$10:$C$83,MATCH(G556,'Στατιστικά'!$B$10:$B$83,0))*1,0))</f>
        <v>1</v>
      </c>
    </row>
    <row r="557" spans="1:27">
      <c r="A557" s="2">
        <v>46206</v>
      </c>
      <c r="B557" t="s">
        <v>278</v>
      </c>
      <c r="C557" t="s">
        <v>1</v>
      </c>
      <c r="D557" t="s">
        <v>1</v>
      </c>
      <c r="E557" t="s">
        <v>3307</v>
      </c>
      <c r="F557" t="s">
        <v>160</v>
      </c>
      <c r="G557" t="s">
        <v>198</v>
      </c>
      <c r="H557" t="s">
        <v>1</v>
      </c>
      <c r="I557">
        <v>35</v>
      </c>
      <c r="J557">
        <v>7</v>
      </c>
      <c r="K557">
        <v>2</v>
      </c>
      <c r="M557" t="s">
        <v>3308</v>
      </c>
      <c r="N557" t="s">
        <v>3309</v>
      </c>
      <c r="O557" t="s">
        <v>239</v>
      </c>
      <c r="Q557">
        <v>3</v>
      </c>
      <c r="R557" t="s">
        <v>79</v>
      </c>
      <c r="S557" t="s">
        <v>80</v>
      </c>
      <c r="T557" t="s">
        <v>3310</v>
      </c>
      <c r="U557" s="3" t="s">
        <v>1</v>
      </c>
      <c r="V557" s="3" t="s">
        <v>3311</v>
      </c>
      <c r="W557" s="3" t="s">
        <v>3312</v>
      </c>
      <c r="X557" t="s">
        <v>2645</v>
      </c>
      <c r="Y557">
        <v>7</v>
      </c>
      <c r="Z557">
        <v>0</v>
      </c>
      <c r="AA557">
        <f>IF('Στατιστικά'!$C$6,1,IFERROR(INDEX('Στατιστικά'!$C$10:$C$83,MATCH(G557,'Στατιστικά'!$B$10:$B$83,0))*1,0))</f>
        <v>1</v>
      </c>
    </row>
    <row r="558" spans="1:27">
      <c r="A558" s="2">
        <v>46206</v>
      </c>
      <c r="B558" t="s">
        <v>1</v>
      </c>
      <c r="C558" t="s">
        <v>1</v>
      </c>
      <c r="D558" t="s">
        <v>1</v>
      </c>
      <c r="E558" t="s">
        <v>3313</v>
      </c>
      <c r="F558" t="s">
        <v>38</v>
      </c>
      <c r="G558" t="s">
        <v>15</v>
      </c>
      <c r="H558" t="s">
        <v>1533</v>
      </c>
      <c r="M558" t="s">
        <v>1</v>
      </c>
      <c r="N558" t="s">
        <v>1</v>
      </c>
      <c r="O558" t="s">
        <v>1</v>
      </c>
      <c r="Q558">
        <v>3</v>
      </c>
      <c r="R558" t="s">
        <v>79</v>
      </c>
      <c r="S558" t="s">
        <v>107</v>
      </c>
      <c r="T558" t="s">
        <v>1</v>
      </c>
      <c r="U558" s="3" t="s">
        <v>1</v>
      </c>
      <c r="V558" s="3" t="s">
        <v>3314</v>
      </c>
      <c r="W558" s="3" t="s">
        <v>3315</v>
      </c>
      <c r="X558" t="s">
        <v>3301</v>
      </c>
      <c r="Y558">
        <v>7</v>
      </c>
      <c r="Z558">
        <v>0</v>
      </c>
      <c r="AA558">
        <f>IF('Στατιστικά'!$C$6,1,IFERROR(INDEX('Στατιστικά'!$C$10:$C$83,MATCH(G558,'Στατιστικά'!$B$10:$B$83,0))*1,0))</f>
        <v>1</v>
      </c>
    </row>
    <row r="559" spans="1:27">
      <c r="A559" s="2">
        <v>46205</v>
      </c>
      <c r="B559" t="s">
        <v>3316</v>
      </c>
      <c r="C559" t="s">
        <v>1</v>
      </c>
      <c r="D559" t="s">
        <v>1</v>
      </c>
      <c r="E559" t="s">
        <v>3317</v>
      </c>
      <c r="F559" t="s">
        <v>3</v>
      </c>
      <c r="G559" t="s">
        <v>1673</v>
      </c>
      <c r="H559" t="s">
        <v>3266</v>
      </c>
      <c r="I559">
        <v>39</v>
      </c>
      <c r="J559">
        <v>21</v>
      </c>
      <c r="K559">
        <v>4</v>
      </c>
      <c r="L559">
        <v>2</v>
      </c>
      <c r="M559" t="s">
        <v>3318</v>
      </c>
      <c r="N559" t="s">
        <v>3319</v>
      </c>
      <c r="O559" t="s">
        <v>1</v>
      </c>
      <c r="Q559">
        <v>3</v>
      </c>
      <c r="R559" t="s">
        <v>79</v>
      </c>
      <c r="S559" t="s">
        <v>3320</v>
      </c>
      <c r="T559" t="s">
        <v>3321</v>
      </c>
      <c r="U559" s="3" t="s">
        <v>1</v>
      </c>
      <c r="V559" s="3" t="s">
        <v>3322</v>
      </c>
      <c r="W559" s="3" t="s">
        <v>3323</v>
      </c>
      <c r="X559" t="s">
        <v>2645</v>
      </c>
      <c r="Y559">
        <v>7</v>
      </c>
      <c r="Z559">
        <v>0</v>
      </c>
      <c r="AA559">
        <f>IF('Στατιστικά'!$C$6,1,IFERROR(INDEX('Στατιστικά'!$C$10:$C$83,MATCH(G559,'Στατιστικά'!$B$10:$B$83,0))*1,0))</f>
        <v>1</v>
      </c>
    </row>
    <row r="560" spans="1:27">
      <c r="A560" s="2">
        <v>46205</v>
      </c>
      <c r="B560" t="s">
        <v>1</v>
      </c>
      <c r="C560" t="s">
        <v>1</v>
      </c>
      <c r="D560" t="s">
        <v>1</v>
      </c>
      <c r="E560" t="s">
        <v>3324</v>
      </c>
      <c r="F560" t="s">
        <v>3</v>
      </c>
      <c r="G560" t="s">
        <v>1673</v>
      </c>
      <c r="H560" t="s">
        <v>3325</v>
      </c>
      <c r="I560">
        <v>55</v>
      </c>
      <c r="J560">
        <v>13</v>
      </c>
      <c r="K560">
        <v>4</v>
      </c>
      <c r="L560">
        <v>2</v>
      </c>
      <c r="M560" t="s">
        <v>3326</v>
      </c>
      <c r="N560" t="s">
        <v>1</v>
      </c>
      <c r="O560" t="s">
        <v>1</v>
      </c>
      <c r="Q560">
        <v>3</v>
      </c>
      <c r="R560" t="s">
        <v>79</v>
      </c>
      <c r="S560" t="s">
        <v>8</v>
      </c>
      <c r="T560" t="s">
        <v>1</v>
      </c>
      <c r="U560" s="3" t="s">
        <v>2875</v>
      </c>
      <c r="V560" s="3" t="s">
        <v>3327</v>
      </c>
      <c r="W560" s="3" t="s">
        <v>3328</v>
      </c>
      <c r="X560" t="s">
        <v>2645</v>
      </c>
      <c r="Y560">
        <v>7</v>
      </c>
      <c r="Z560">
        <v>0</v>
      </c>
      <c r="AA560">
        <f>IF('Στατιστικά'!$C$6,1,IFERROR(INDEX('Στατιστικά'!$C$10:$C$83,MATCH(G560,'Στατιστικά'!$B$10:$B$83,0))*1,0))</f>
        <v>1</v>
      </c>
    </row>
    <row r="561" spans="1:27">
      <c r="A561" s="2">
        <v>46205</v>
      </c>
      <c r="B561" t="s">
        <v>1</v>
      </c>
      <c r="C561" t="s">
        <v>1</v>
      </c>
      <c r="D561" t="s">
        <v>1</v>
      </c>
      <c r="E561" t="s">
        <v>3329</v>
      </c>
      <c r="F561" t="s">
        <v>3</v>
      </c>
      <c r="G561" t="s">
        <v>1673</v>
      </c>
      <c r="H561" t="s">
        <v>3325</v>
      </c>
      <c r="M561" t="s">
        <v>1</v>
      </c>
      <c r="N561" t="s">
        <v>1</v>
      </c>
      <c r="O561" t="s">
        <v>1</v>
      </c>
      <c r="R561" t="s">
        <v>1</v>
      </c>
      <c r="S561" t="s">
        <v>1</v>
      </c>
      <c r="T561" t="s">
        <v>1</v>
      </c>
      <c r="U561" s="3" t="s">
        <v>2875</v>
      </c>
      <c r="V561" s="3" t="s">
        <v>3330</v>
      </c>
      <c r="W561" s="3" t="s">
        <v>3331</v>
      </c>
      <c r="X561" t="s">
        <v>2645</v>
      </c>
      <c r="Y561">
        <v>7</v>
      </c>
      <c r="Z561">
        <v>0</v>
      </c>
      <c r="AA561">
        <f>IF('Στατιστικά'!$C$6,1,IFERROR(INDEX('Στατιστικά'!$C$10:$C$83,MATCH(G561,'Στατιστικά'!$B$10:$B$83,0))*1,0))</f>
        <v>1</v>
      </c>
    </row>
    <row r="562" spans="1:27">
      <c r="A562" s="2">
        <v>46204</v>
      </c>
      <c r="B562" t="s">
        <v>62</v>
      </c>
      <c r="C562" t="s">
        <v>1</v>
      </c>
      <c r="D562" t="s">
        <v>1</v>
      </c>
      <c r="E562" t="s">
        <v>3332</v>
      </c>
      <c r="F562" t="s">
        <v>64</v>
      </c>
      <c r="G562" t="s">
        <v>130</v>
      </c>
      <c r="H562" t="s">
        <v>3333</v>
      </c>
      <c r="I562">
        <v>30</v>
      </c>
      <c r="J562">
        <v>11</v>
      </c>
      <c r="K562">
        <v>2</v>
      </c>
      <c r="L562">
        <v>1</v>
      </c>
      <c r="M562" t="s">
        <v>376</v>
      </c>
      <c r="N562" t="s">
        <v>1</v>
      </c>
      <c r="O562" t="s">
        <v>239</v>
      </c>
      <c r="R562" t="s">
        <v>1</v>
      </c>
      <c r="S562" t="s">
        <v>58</v>
      </c>
      <c r="T562" t="s">
        <v>1</v>
      </c>
      <c r="U562" s="3" t="s">
        <v>1</v>
      </c>
      <c r="V562" s="3" t="s">
        <v>3334</v>
      </c>
      <c r="W562" s="3" t="s">
        <v>3335</v>
      </c>
      <c r="X562" t="s">
        <v>3336</v>
      </c>
      <c r="Y562">
        <v>7</v>
      </c>
      <c r="Z562">
        <v>0</v>
      </c>
      <c r="AA562">
        <f>IF('Στατιστικά'!$C$6,1,IFERROR(INDEX('Στατιστικά'!$C$10:$C$83,MATCH(G562,'Στατιστικά'!$B$10:$B$83,0))*1,0))</f>
        <v>1</v>
      </c>
    </row>
    <row r="563" spans="1:27">
      <c r="A563" s="2">
        <v>46204</v>
      </c>
      <c r="B563" t="s">
        <v>62</v>
      </c>
      <c r="C563" t="s">
        <v>1</v>
      </c>
      <c r="D563" t="s">
        <v>1</v>
      </c>
      <c r="E563" t="s">
        <v>3337</v>
      </c>
      <c r="F563" t="s">
        <v>64</v>
      </c>
      <c r="G563" t="s">
        <v>130</v>
      </c>
      <c r="H563" t="s">
        <v>3338</v>
      </c>
      <c r="M563" t="s">
        <v>1</v>
      </c>
      <c r="N563" t="s">
        <v>1</v>
      </c>
      <c r="O563" t="s">
        <v>1</v>
      </c>
      <c r="R563" t="s">
        <v>1</v>
      </c>
      <c r="S563" t="s">
        <v>107</v>
      </c>
      <c r="T563" t="s">
        <v>1</v>
      </c>
      <c r="U563" s="3" t="s">
        <v>1</v>
      </c>
      <c r="V563" s="3" t="s">
        <v>3339</v>
      </c>
      <c r="W563" s="3" t="s">
        <v>3340</v>
      </c>
      <c r="X563" t="s">
        <v>3341</v>
      </c>
      <c r="Y563">
        <v>7</v>
      </c>
      <c r="Z563">
        <v>0</v>
      </c>
      <c r="AA563">
        <f>IF('Στατιστικά'!$C$6,1,IFERROR(INDEX('Στατιστικά'!$C$10:$C$83,MATCH(G563,'Στατιστικά'!$B$10:$B$83,0))*1,0))</f>
        <v>1</v>
      </c>
    </row>
    <row r="564" spans="1:27">
      <c r="A564" s="2">
        <v>46204</v>
      </c>
      <c r="B564" t="s">
        <v>561</v>
      </c>
      <c r="C564" t="s">
        <v>1</v>
      </c>
      <c r="D564" t="s">
        <v>1</v>
      </c>
      <c r="E564" t="s">
        <v>3342</v>
      </c>
      <c r="F564" t="s">
        <v>141</v>
      </c>
      <c r="G564" t="s">
        <v>2512</v>
      </c>
      <c r="H564" t="s">
        <v>3152</v>
      </c>
      <c r="I564">
        <v>65</v>
      </c>
      <c r="J564">
        <v>19</v>
      </c>
      <c r="K564">
        <v>3</v>
      </c>
      <c r="L564">
        <v>2</v>
      </c>
      <c r="M564" t="s">
        <v>3343</v>
      </c>
      <c r="N564" t="s">
        <v>775</v>
      </c>
      <c r="O564" t="s">
        <v>1</v>
      </c>
      <c r="R564" t="s">
        <v>1</v>
      </c>
      <c r="S564" t="s">
        <v>80</v>
      </c>
      <c r="T564" t="s">
        <v>1</v>
      </c>
      <c r="U564" s="3" t="s">
        <v>1</v>
      </c>
      <c r="V564" s="3" t="s">
        <v>3344</v>
      </c>
      <c r="W564" s="3" t="s">
        <v>3345</v>
      </c>
      <c r="X564" t="s">
        <v>2645</v>
      </c>
      <c r="Y564">
        <v>7</v>
      </c>
      <c r="Z564">
        <v>0</v>
      </c>
      <c r="AA564">
        <f>IF('Στατιστικά'!$C$6,1,IFERROR(INDEX('Στατιστικά'!$C$10:$C$83,MATCH(G564,'Στατιστικά'!$B$10:$B$83,0))*1,0))</f>
        <v>1</v>
      </c>
    </row>
    <row r="565" spans="1:27">
      <c r="A565" s="2">
        <v>46204</v>
      </c>
      <c r="B565" t="s">
        <v>3346</v>
      </c>
      <c r="C565" t="s">
        <v>479</v>
      </c>
      <c r="D565" t="s">
        <v>1</v>
      </c>
      <c r="E565" t="s">
        <v>3347</v>
      </c>
      <c r="F565" t="s">
        <v>44</v>
      </c>
      <c r="G565" t="s">
        <v>465</v>
      </c>
      <c r="H565" t="s">
        <v>3348</v>
      </c>
      <c r="I565">
        <v>135</v>
      </c>
      <c r="J565">
        <v>32</v>
      </c>
      <c r="K565">
        <v>19</v>
      </c>
      <c r="L565">
        <v>6</v>
      </c>
      <c r="M565" t="s">
        <v>3349</v>
      </c>
      <c r="N565" t="s">
        <v>3350</v>
      </c>
      <c r="O565" t="s">
        <v>1</v>
      </c>
      <c r="R565" t="s">
        <v>1</v>
      </c>
      <c r="S565" t="s">
        <v>107</v>
      </c>
      <c r="T565" t="s">
        <v>3351</v>
      </c>
      <c r="U565" s="3" t="s">
        <v>1</v>
      </c>
      <c r="V565" s="3" t="s">
        <v>3352</v>
      </c>
      <c r="W565" s="3" t="s">
        <v>3353</v>
      </c>
      <c r="X565" t="s">
        <v>2645</v>
      </c>
      <c r="Y565">
        <v>7</v>
      </c>
      <c r="Z565">
        <v>0</v>
      </c>
      <c r="AA565">
        <f>IF('Στατιστικά'!$C$6,1,IFERROR(INDEX('Στατιστικά'!$C$10:$C$83,MATCH(G565,'Στατιστικά'!$B$10:$B$83,0))*1,0))</f>
        <v>1</v>
      </c>
    </row>
    <row r="566" spans="1:27">
      <c r="A566" s="2">
        <v>46204</v>
      </c>
      <c r="B566" t="s">
        <v>3346</v>
      </c>
      <c r="C566" t="s">
        <v>479</v>
      </c>
      <c r="D566" t="s">
        <v>1</v>
      </c>
      <c r="E566" t="s">
        <v>3354</v>
      </c>
      <c r="F566" t="s">
        <v>44</v>
      </c>
      <c r="G566" t="s">
        <v>1025</v>
      </c>
      <c r="H566" t="s">
        <v>3355</v>
      </c>
      <c r="I566">
        <v>155</v>
      </c>
      <c r="J566">
        <v>41</v>
      </c>
      <c r="K566">
        <v>22</v>
      </c>
      <c r="L566">
        <v>9</v>
      </c>
      <c r="M566" t="s">
        <v>3356</v>
      </c>
      <c r="N566" t="s">
        <v>3357</v>
      </c>
      <c r="O566" t="s">
        <v>239</v>
      </c>
      <c r="R566" t="s">
        <v>1</v>
      </c>
      <c r="S566" t="s">
        <v>107</v>
      </c>
      <c r="T566" t="s">
        <v>3358</v>
      </c>
      <c r="U566" s="3" t="s">
        <v>1</v>
      </c>
      <c r="V566" s="3" t="s">
        <v>3359</v>
      </c>
      <c r="W566" s="3" t="s">
        <v>3360</v>
      </c>
      <c r="X566" t="s">
        <v>2645</v>
      </c>
      <c r="Y566">
        <v>7</v>
      </c>
      <c r="Z566">
        <v>0</v>
      </c>
      <c r="AA566">
        <f>IF('Στατιστικά'!$C$6,1,IFERROR(INDEX('Στατιστικά'!$C$10:$C$83,MATCH(G566,'Στατιστικά'!$B$10:$B$83,0))*1,0))</f>
        <v>1</v>
      </c>
    </row>
    <row r="567" spans="1:27">
      <c r="A567" s="2">
        <v>46204</v>
      </c>
      <c r="B567" t="s">
        <v>3346</v>
      </c>
      <c r="C567" t="s">
        <v>479</v>
      </c>
      <c r="D567" t="s">
        <v>1</v>
      </c>
      <c r="E567" t="s">
        <v>3361</v>
      </c>
      <c r="F567" t="s">
        <v>44</v>
      </c>
      <c r="G567" t="s">
        <v>1025</v>
      </c>
      <c r="H567" t="s">
        <v>3362</v>
      </c>
      <c r="I567">
        <v>155</v>
      </c>
      <c r="J567">
        <v>41</v>
      </c>
      <c r="K567">
        <v>22</v>
      </c>
      <c r="L567">
        <v>9</v>
      </c>
      <c r="M567" t="s">
        <v>3363</v>
      </c>
      <c r="N567" t="s">
        <v>1</v>
      </c>
      <c r="O567" t="s">
        <v>1</v>
      </c>
      <c r="R567" t="s">
        <v>1</v>
      </c>
      <c r="S567" t="s">
        <v>107</v>
      </c>
      <c r="T567" t="s">
        <v>3364</v>
      </c>
      <c r="U567" s="3" t="s">
        <v>1</v>
      </c>
      <c r="V567" s="3" t="s">
        <v>3365</v>
      </c>
      <c r="W567" s="3" t="s">
        <v>4609</v>
      </c>
      <c r="X567" t="s">
        <v>2645</v>
      </c>
      <c r="Y567">
        <v>7</v>
      </c>
      <c r="Z567">
        <v>0</v>
      </c>
      <c r="AA567">
        <f>IF('Στατιστικά'!$C$6,1,IFERROR(INDEX('Στατιστικά'!$C$10:$C$83,MATCH(G567,'Στατιστικά'!$B$10:$B$83,0))*1,0))</f>
        <v>1</v>
      </c>
    </row>
    <row r="568" spans="1:27">
      <c r="A568" s="2">
        <v>46204</v>
      </c>
      <c r="B568" t="s">
        <v>1</v>
      </c>
      <c r="C568" t="s">
        <v>1</v>
      </c>
      <c r="D568" t="s">
        <v>1</v>
      </c>
      <c r="E568" t="s">
        <v>3367</v>
      </c>
      <c r="F568" t="s">
        <v>3</v>
      </c>
      <c r="G568" t="s">
        <v>769</v>
      </c>
      <c r="H568" t="s">
        <v>3368</v>
      </c>
      <c r="J568">
        <v>7</v>
      </c>
      <c r="M568" t="s">
        <v>3369</v>
      </c>
      <c r="N568" t="s">
        <v>1</v>
      </c>
      <c r="O568" t="s">
        <v>1</v>
      </c>
      <c r="P568">
        <v>2.5</v>
      </c>
      <c r="R568" t="s">
        <v>1</v>
      </c>
      <c r="S568" t="s">
        <v>58</v>
      </c>
      <c r="T568" t="s">
        <v>3370</v>
      </c>
      <c r="U568" s="3" t="s">
        <v>1</v>
      </c>
      <c r="V568" s="3" t="s">
        <v>3371</v>
      </c>
      <c r="W568" s="3" t="s">
        <v>3372</v>
      </c>
      <c r="X568" t="s">
        <v>2645</v>
      </c>
      <c r="Y568">
        <v>7</v>
      </c>
      <c r="Z568">
        <v>2.5</v>
      </c>
      <c r="AA568">
        <f>IF('Στατιστικά'!$C$6,1,IFERROR(INDEX('Στατιστικά'!$C$10:$C$83,MATCH(G568,'Στατιστικά'!$B$10:$B$83,0))*1,0))</f>
        <v>1</v>
      </c>
    </row>
    <row r="569" spans="1:27">
      <c r="A569" s="2">
        <v>46204</v>
      </c>
      <c r="B569" t="s">
        <v>1</v>
      </c>
      <c r="C569" t="s">
        <v>1</v>
      </c>
      <c r="D569" t="s">
        <v>1</v>
      </c>
      <c r="E569" t="s">
        <v>3367</v>
      </c>
      <c r="F569" t="s">
        <v>3</v>
      </c>
      <c r="G569" t="s">
        <v>445</v>
      </c>
      <c r="H569" t="s">
        <v>3373</v>
      </c>
      <c r="J569">
        <v>7</v>
      </c>
      <c r="M569" t="s">
        <v>34</v>
      </c>
      <c r="N569" t="s">
        <v>1</v>
      </c>
      <c r="O569" t="s">
        <v>1</v>
      </c>
      <c r="P569">
        <v>2.5</v>
      </c>
      <c r="R569" t="s">
        <v>1</v>
      </c>
      <c r="S569" t="s">
        <v>58</v>
      </c>
      <c r="T569" t="s">
        <v>3374</v>
      </c>
      <c r="U569" s="3" t="s">
        <v>1</v>
      </c>
      <c r="V569" s="3" t="s">
        <v>3375</v>
      </c>
      <c r="W569" s="3" t="s">
        <v>4610</v>
      </c>
      <c r="X569" t="s">
        <v>2645</v>
      </c>
      <c r="Y569">
        <v>7</v>
      </c>
      <c r="Z569">
        <v>0</v>
      </c>
      <c r="AA569">
        <f>IF('Στατιστικά'!$C$6,1,IFERROR(INDEX('Στατιστικά'!$C$10:$C$83,MATCH(G569,'Στατιστικά'!$B$10:$B$83,0))*1,0))</f>
        <v>1</v>
      </c>
    </row>
    <row r="570" spans="1:27">
      <c r="A570" s="2">
        <v>46204</v>
      </c>
      <c r="B570" t="s">
        <v>1</v>
      </c>
      <c r="C570" t="s">
        <v>1</v>
      </c>
      <c r="D570" t="s">
        <v>1</v>
      </c>
      <c r="E570" t="s">
        <v>3377</v>
      </c>
      <c r="F570" t="s">
        <v>64</v>
      </c>
      <c r="G570" t="s">
        <v>116</v>
      </c>
      <c r="H570" t="s">
        <v>3378</v>
      </c>
      <c r="M570" t="s">
        <v>1</v>
      </c>
      <c r="N570" t="s">
        <v>1</v>
      </c>
      <c r="O570" t="s">
        <v>1</v>
      </c>
      <c r="R570" t="s">
        <v>1</v>
      </c>
      <c r="S570" t="s">
        <v>58</v>
      </c>
      <c r="T570" t="s">
        <v>3379</v>
      </c>
      <c r="U570" s="3" t="s">
        <v>1</v>
      </c>
      <c r="V570" s="3" t="s">
        <v>3380</v>
      </c>
      <c r="W570" s="3" t="s">
        <v>3381</v>
      </c>
      <c r="X570" t="s">
        <v>2645</v>
      </c>
      <c r="Y570">
        <v>7</v>
      </c>
      <c r="Z570">
        <v>0</v>
      </c>
      <c r="AA570">
        <f>IF('Στατιστικά'!$C$6,1,IFERROR(INDEX('Στατιστικά'!$C$10:$C$83,MATCH(G570,'Στατιστικά'!$B$10:$B$83,0))*1,0))</f>
        <v>1</v>
      </c>
    </row>
    <row r="571" spans="1:27">
      <c r="A571" s="2">
        <v>46204</v>
      </c>
      <c r="B571" t="s">
        <v>1</v>
      </c>
      <c r="C571" t="s">
        <v>1</v>
      </c>
      <c r="D571" t="s">
        <v>1</v>
      </c>
      <c r="E571" t="s">
        <v>3382</v>
      </c>
      <c r="F571" t="s">
        <v>120</v>
      </c>
      <c r="G571" t="s">
        <v>121</v>
      </c>
      <c r="H571" t="s">
        <v>3383</v>
      </c>
      <c r="M571" t="s">
        <v>1</v>
      </c>
      <c r="N571" t="s">
        <v>1</v>
      </c>
      <c r="O571" t="s">
        <v>1</v>
      </c>
      <c r="R571" t="s">
        <v>1</v>
      </c>
      <c r="S571" t="s">
        <v>58</v>
      </c>
      <c r="T571" t="s">
        <v>3384</v>
      </c>
      <c r="U571" s="3" t="s">
        <v>1</v>
      </c>
      <c r="V571" s="3" t="s">
        <v>3385</v>
      </c>
      <c r="W571" s="3" t="s">
        <v>3386</v>
      </c>
      <c r="X571" t="s">
        <v>3336</v>
      </c>
      <c r="Y571">
        <v>7</v>
      </c>
      <c r="Z571">
        <v>0</v>
      </c>
      <c r="AA571">
        <f>IF('Στατιστικά'!$C$6,1,IFERROR(INDEX('Στατιστικά'!$C$10:$C$83,MATCH(G571,'Στατιστικά'!$B$10:$B$83,0))*1,0))</f>
        <v>1</v>
      </c>
    </row>
    <row r="572" spans="1:27">
      <c r="A572" s="2">
        <v>46204</v>
      </c>
      <c r="B572" t="s">
        <v>1</v>
      </c>
      <c r="C572" t="s">
        <v>1</v>
      </c>
      <c r="D572" t="s">
        <v>1</v>
      </c>
      <c r="E572" t="s">
        <v>3387</v>
      </c>
      <c r="F572" t="s">
        <v>3</v>
      </c>
      <c r="G572" t="s">
        <v>445</v>
      </c>
      <c r="H572" t="s">
        <v>445</v>
      </c>
      <c r="J572">
        <v>7</v>
      </c>
      <c r="M572" t="s">
        <v>3369</v>
      </c>
      <c r="N572" t="s">
        <v>1</v>
      </c>
      <c r="O572" t="s">
        <v>1</v>
      </c>
      <c r="P572">
        <v>2.5</v>
      </c>
      <c r="R572" t="s">
        <v>1</v>
      </c>
      <c r="S572" t="s">
        <v>58</v>
      </c>
      <c r="T572" t="s">
        <v>3388</v>
      </c>
      <c r="U572" s="3" t="s">
        <v>1</v>
      </c>
      <c r="V572" s="3" t="s">
        <v>3389</v>
      </c>
      <c r="W572" s="3" t="s">
        <v>3390</v>
      </c>
      <c r="X572" t="s">
        <v>2645</v>
      </c>
      <c r="Y572">
        <v>7</v>
      </c>
      <c r="Z572">
        <v>2.5</v>
      </c>
      <c r="AA572">
        <f>IF('Στατιστικά'!$C$6,1,IFERROR(INDEX('Στατιστικά'!$C$10:$C$83,MATCH(G572,'Στατιστικά'!$B$10:$B$83,0))*1,0))</f>
        <v>1</v>
      </c>
    </row>
    <row r="573" spans="1:27">
      <c r="A573" s="2">
        <v>46203</v>
      </c>
      <c r="B573" t="s">
        <v>2767</v>
      </c>
      <c r="C573" t="s">
        <v>1</v>
      </c>
      <c r="D573" t="s">
        <v>1</v>
      </c>
      <c r="E573" t="s">
        <v>3391</v>
      </c>
      <c r="F573" t="s">
        <v>141</v>
      </c>
      <c r="G573" t="s">
        <v>481</v>
      </c>
      <c r="H573" t="s">
        <v>482</v>
      </c>
      <c r="I573">
        <v>91</v>
      </c>
      <c r="J573">
        <v>30</v>
      </c>
      <c r="K573">
        <v>4</v>
      </c>
      <c r="L573">
        <v>3</v>
      </c>
      <c r="M573" t="s">
        <v>3392</v>
      </c>
      <c r="N573" t="s">
        <v>3393</v>
      </c>
      <c r="O573" t="s">
        <v>239</v>
      </c>
      <c r="Q573">
        <v>3</v>
      </c>
      <c r="R573" t="s">
        <v>79</v>
      </c>
      <c r="S573" t="s">
        <v>58</v>
      </c>
      <c r="T573" t="s">
        <v>1</v>
      </c>
      <c r="U573" s="3" t="s">
        <v>1</v>
      </c>
      <c r="V573" s="3" t="s">
        <v>3394</v>
      </c>
      <c r="W573" s="3" t="s">
        <v>3395</v>
      </c>
      <c r="X573" t="s">
        <v>2645</v>
      </c>
      <c r="Y573">
        <v>6</v>
      </c>
      <c r="Z573">
        <v>0</v>
      </c>
      <c r="AA573">
        <f>IF('Στατιστικά'!$C$6,1,IFERROR(INDEX('Στατιστικά'!$C$10:$C$83,MATCH(G573,'Στατιστικά'!$B$10:$B$83,0))*1,0))</f>
        <v>1</v>
      </c>
    </row>
    <row r="574" spans="1:27">
      <c r="A574" s="2">
        <v>46203</v>
      </c>
      <c r="B574" t="s">
        <v>286</v>
      </c>
      <c r="C574" t="s">
        <v>1</v>
      </c>
      <c r="D574" t="s">
        <v>1</v>
      </c>
      <c r="E574" t="s">
        <v>3396</v>
      </c>
      <c r="F574" t="s">
        <v>44</v>
      </c>
      <c r="G574" t="s">
        <v>395</v>
      </c>
      <c r="H574" t="s">
        <v>3397</v>
      </c>
      <c r="I574">
        <v>52</v>
      </c>
      <c r="J574">
        <v>15</v>
      </c>
      <c r="K574">
        <v>3</v>
      </c>
      <c r="L574">
        <v>1</v>
      </c>
      <c r="M574" t="s">
        <v>176</v>
      </c>
      <c r="N574" t="s">
        <v>3398</v>
      </c>
      <c r="O574" t="s">
        <v>239</v>
      </c>
      <c r="Q574">
        <v>3</v>
      </c>
      <c r="R574" t="s">
        <v>79</v>
      </c>
      <c r="S574" t="s">
        <v>80</v>
      </c>
      <c r="T574" t="s">
        <v>3023</v>
      </c>
      <c r="U574" s="3" t="s">
        <v>1</v>
      </c>
      <c r="V574" s="3" t="s">
        <v>3399</v>
      </c>
      <c r="W574" s="3" t="s">
        <v>3400</v>
      </c>
      <c r="X574" t="s">
        <v>2645</v>
      </c>
      <c r="Y574">
        <v>6</v>
      </c>
      <c r="Z574">
        <v>0</v>
      </c>
      <c r="AA574">
        <f>IF('Στατιστικά'!$C$6,1,IFERROR(INDEX('Στατιστικά'!$C$10:$C$83,MATCH(G574,'Στατιστικά'!$B$10:$B$83,0))*1,0))</f>
        <v>1</v>
      </c>
    </row>
    <row r="575" spans="1:27">
      <c r="A575" s="2">
        <v>46203</v>
      </c>
      <c r="B575" t="s">
        <v>72</v>
      </c>
      <c r="C575" t="s">
        <v>1</v>
      </c>
      <c r="D575" t="s">
        <v>1</v>
      </c>
      <c r="E575" t="s">
        <v>3401</v>
      </c>
      <c r="F575" t="s">
        <v>64</v>
      </c>
      <c r="G575" t="s">
        <v>130</v>
      </c>
      <c r="H575" t="s">
        <v>2222</v>
      </c>
      <c r="I575">
        <v>115</v>
      </c>
      <c r="J575">
        <v>36</v>
      </c>
      <c r="K575">
        <v>10</v>
      </c>
      <c r="L575">
        <v>3</v>
      </c>
      <c r="M575" t="s">
        <v>3402</v>
      </c>
      <c r="N575" t="s">
        <v>419</v>
      </c>
      <c r="O575" t="s">
        <v>239</v>
      </c>
      <c r="P575">
        <v>60</v>
      </c>
      <c r="Q575">
        <v>3</v>
      </c>
      <c r="R575" t="s">
        <v>79</v>
      </c>
      <c r="S575" t="s">
        <v>107</v>
      </c>
      <c r="T575" t="s">
        <v>3403</v>
      </c>
      <c r="U575" s="3" t="s">
        <v>1</v>
      </c>
      <c r="V575" s="3" t="s">
        <v>3404</v>
      </c>
      <c r="W575" s="3" t="s">
        <v>3405</v>
      </c>
      <c r="X575" t="s">
        <v>3301</v>
      </c>
      <c r="Y575">
        <v>6</v>
      </c>
      <c r="Z575">
        <v>60</v>
      </c>
      <c r="AA575">
        <f>IF('Στατιστικά'!$C$6,1,IFERROR(INDEX('Στατιστικά'!$C$10:$C$83,MATCH(G575,'Στατιστικά'!$B$10:$B$83,0))*1,0))</f>
        <v>1</v>
      </c>
    </row>
    <row r="576" spans="1:27">
      <c r="A576" s="2">
        <v>46203</v>
      </c>
      <c r="B576" t="s">
        <v>1</v>
      </c>
      <c r="C576" t="s">
        <v>1</v>
      </c>
      <c r="D576" t="s">
        <v>1</v>
      </c>
      <c r="E576" t="s">
        <v>3406</v>
      </c>
      <c r="F576" t="s">
        <v>64</v>
      </c>
      <c r="G576" t="s">
        <v>753</v>
      </c>
      <c r="H576" t="s">
        <v>753</v>
      </c>
      <c r="I576">
        <v>50</v>
      </c>
      <c r="J576">
        <v>16</v>
      </c>
      <c r="K576">
        <v>3</v>
      </c>
      <c r="L576">
        <v>1</v>
      </c>
      <c r="M576" t="s">
        <v>754</v>
      </c>
      <c r="N576" t="s">
        <v>3407</v>
      </c>
      <c r="O576" t="s">
        <v>1</v>
      </c>
      <c r="Q576">
        <v>2</v>
      </c>
      <c r="R576" t="s">
        <v>17</v>
      </c>
      <c r="S576" t="s">
        <v>1</v>
      </c>
      <c r="T576" t="s">
        <v>1</v>
      </c>
      <c r="U576" s="3" t="s">
        <v>1</v>
      </c>
      <c r="V576" s="3" t="s">
        <v>3408</v>
      </c>
      <c r="W576" s="3" t="s">
        <v>3409</v>
      </c>
      <c r="X576" t="s">
        <v>2645</v>
      </c>
      <c r="Y576">
        <v>6</v>
      </c>
      <c r="Z576">
        <v>0</v>
      </c>
      <c r="AA576">
        <f>IF('Στατιστικά'!$C$6,1,IFERROR(INDEX('Στατιστικά'!$C$10:$C$83,MATCH(G576,'Στατιστικά'!$B$10:$B$83,0))*1,0))</f>
        <v>1</v>
      </c>
    </row>
    <row r="577" spans="1:27">
      <c r="A577" s="2">
        <v>46203</v>
      </c>
      <c r="B577" t="s">
        <v>1</v>
      </c>
      <c r="C577" t="s">
        <v>1</v>
      </c>
      <c r="D577" t="s">
        <v>1</v>
      </c>
      <c r="E577" t="s">
        <v>3410</v>
      </c>
      <c r="F577" t="s">
        <v>64</v>
      </c>
      <c r="G577" t="s">
        <v>130</v>
      </c>
      <c r="H577" t="s">
        <v>2892</v>
      </c>
      <c r="M577" t="s">
        <v>1</v>
      </c>
      <c r="N577" t="s">
        <v>1</v>
      </c>
      <c r="O577" t="s">
        <v>1</v>
      </c>
      <c r="R577" t="s">
        <v>1</v>
      </c>
      <c r="S577" t="s">
        <v>80</v>
      </c>
      <c r="T577" t="s">
        <v>1</v>
      </c>
      <c r="U577" s="3" t="s">
        <v>1</v>
      </c>
      <c r="V577" s="3" t="s">
        <v>3411</v>
      </c>
      <c r="W577" s="3" t="s">
        <v>3412</v>
      </c>
      <c r="X577" t="s">
        <v>3207</v>
      </c>
      <c r="Y577">
        <v>6</v>
      </c>
      <c r="Z577">
        <v>0</v>
      </c>
      <c r="AA577">
        <f>IF('Στατιστικά'!$C$6,1,IFERROR(INDEX('Στατιστικά'!$C$10:$C$83,MATCH(G577,'Στατιστικά'!$B$10:$B$83,0))*1,0))</f>
        <v>1</v>
      </c>
    </row>
    <row r="578" spans="1:27">
      <c r="A578" s="2">
        <v>46203</v>
      </c>
      <c r="B578" t="s">
        <v>1</v>
      </c>
      <c r="C578" t="s">
        <v>1</v>
      </c>
      <c r="D578" t="s">
        <v>1</v>
      </c>
      <c r="E578" t="s">
        <v>3413</v>
      </c>
      <c r="F578" t="s">
        <v>44</v>
      </c>
      <c r="G578" t="s">
        <v>174</v>
      </c>
      <c r="H578" t="s">
        <v>1</v>
      </c>
      <c r="I578">
        <v>44</v>
      </c>
      <c r="J578">
        <v>11</v>
      </c>
      <c r="K578">
        <v>4</v>
      </c>
      <c r="L578">
        <v>1</v>
      </c>
      <c r="M578" t="s">
        <v>3414</v>
      </c>
      <c r="N578" t="s">
        <v>2705</v>
      </c>
      <c r="O578" t="s">
        <v>1</v>
      </c>
      <c r="Q578">
        <v>3</v>
      </c>
      <c r="R578" t="s">
        <v>79</v>
      </c>
      <c r="S578" t="s">
        <v>3320</v>
      </c>
      <c r="T578" t="s">
        <v>1</v>
      </c>
      <c r="U578" s="3" t="s">
        <v>1</v>
      </c>
      <c r="V578" s="3" t="s">
        <v>3415</v>
      </c>
      <c r="W578" s="3" t="s">
        <v>3416</v>
      </c>
      <c r="X578" t="s">
        <v>3417</v>
      </c>
      <c r="Y578">
        <v>6</v>
      </c>
      <c r="Z578">
        <v>0</v>
      </c>
      <c r="AA578">
        <f>IF('Στατιστικά'!$C$6,1,IFERROR(INDEX('Στατιστικά'!$C$10:$C$83,MATCH(G578,'Στατιστικά'!$B$10:$B$83,0))*1,0))</f>
        <v>1</v>
      </c>
    </row>
    <row r="579" spans="1:27">
      <c r="A579" s="2">
        <v>46203</v>
      </c>
      <c r="B579" t="s">
        <v>1</v>
      </c>
      <c r="C579" t="s">
        <v>1</v>
      </c>
      <c r="D579" t="s">
        <v>1</v>
      </c>
      <c r="E579" t="s">
        <v>3418</v>
      </c>
      <c r="F579" t="s">
        <v>44</v>
      </c>
      <c r="G579" t="s">
        <v>1025</v>
      </c>
      <c r="H579" t="s">
        <v>466</v>
      </c>
      <c r="M579" t="s">
        <v>1</v>
      </c>
      <c r="N579" t="s">
        <v>1</v>
      </c>
      <c r="O579" t="s">
        <v>1</v>
      </c>
      <c r="Q579">
        <v>2</v>
      </c>
      <c r="R579" t="s">
        <v>17</v>
      </c>
      <c r="S579" t="s">
        <v>107</v>
      </c>
      <c r="T579" t="s">
        <v>1</v>
      </c>
      <c r="U579" s="3" t="s">
        <v>1</v>
      </c>
      <c r="V579" s="3" t="s">
        <v>3419</v>
      </c>
      <c r="W579" s="3" t="s">
        <v>3420</v>
      </c>
      <c r="X579" t="s">
        <v>3421</v>
      </c>
      <c r="Y579">
        <v>6</v>
      </c>
      <c r="Z579">
        <v>0</v>
      </c>
      <c r="AA579">
        <f>IF('Στατιστικά'!$C$6,1,IFERROR(INDEX('Στατιστικά'!$C$10:$C$83,MATCH(G579,'Στατιστικά'!$B$10:$B$83,0))*1,0))</f>
        <v>1</v>
      </c>
    </row>
    <row r="580" spans="1:27">
      <c r="A580" s="2">
        <v>46202</v>
      </c>
      <c r="B580" t="s">
        <v>3422</v>
      </c>
      <c r="C580" t="s">
        <v>1036</v>
      </c>
      <c r="D580" t="s">
        <v>1036</v>
      </c>
      <c r="E580" t="s">
        <v>3423</v>
      </c>
      <c r="F580" t="s">
        <v>64</v>
      </c>
      <c r="G580" t="s">
        <v>130</v>
      </c>
      <c r="H580" t="s">
        <v>3424</v>
      </c>
      <c r="I580">
        <v>18</v>
      </c>
      <c r="J580">
        <v>7</v>
      </c>
      <c r="K580">
        <v>0</v>
      </c>
      <c r="L580">
        <v>0</v>
      </c>
      <c r="M580" t="s">
        <v>1</v>
      </c>
      <c r="N580" t="s">
        <v>1</v>
      </c>
      <c r="O580" t="s">
        <v>1</v>
      </c>
      <c r="P580" t="s">
        <v>4849</v>
      </c>
      <c r="Q580">
        <v>3</v>
      </c>
      <c r="R580" t="s">
        <v>79</v>
      </c>
      <c r="S580" t="s">
        <v>58</v>
      </c>
      <c r="T580" t="s">
        <v>3425</v>
      </c>
      <c r="U580" s="3" t="s">
        <v>1</v>
      </c>
      <c r="V580" s="3" t="s">
        <v>3426</v>
      </c>
      <c r="W580" s="3" t="s">
        <v>4850</v>
      </c>
      <c r="X580" t="s">
        <v>3417</v>
      </c>
      <c r="Y580">
        <v>6</v>
      </c>
      <c r="Z580">
        <v>0</v>
      </c>
      <c r="AA580">
        <f>IF('Στατιστικά'!$C$6,1,IFERROR(INDEX('Στατιστικά'!$C$10:$C$83,MATCH(G580,'Στατιστικά'!$B$10:$B$83,0))*1,0))</f>
        <v>1</v>
      </c>
    </row>
    <row r="581" spans="1:27">
      <c r="A581" s="2">
        <v>46202</v>
      </c>
      <c r="B581" t="s">
        <v>552</v>
      </c>
      <c r="C581" t="s">
        <v>582</v>
      </c>
      <c r="D581" t="s">
        <v>1</v>
      </c>
      <c r="E581" t="s">
        <v>3428</v>
      </c>
      <c r="F581" t="s">
        <v>64</v>
      </c>
      <c r="G581" t="s">
        <v>440</v>
      </c>
      <c r="H581" t="s">
        <v>441</v>
      </c>
      <c r="I581">
        <v>32</v>
      </c>
      <c r="J581">
        <v>8</v>
      </c>
      <c r="K581">
        <v>2</v>
      </c>
      <c r="L581">
        <v>1</v>
      </c>
      <c r="M581" t="s">
        <v>922</v>
      </c>
      <c r="N581" t="s">
        <v>2705</v>
      </c>
      <c r="O581" t="s">
        <v>1</v>
      </c>
      <c r="Q581">
        <v>3</v>
      </c>
      <c r="R581" t="s">
        <v>79</v>
      </c>
      <c r="S581" t="s">
        <v>80</v>
      </c>
      <c r="T581" t="s">
        <v>98</v>
      </c>
      <c r="U581" s="3" t="s">
        <v>1</v>
      </c>
      <c r="V581" s="3" t="s">
        <v>3429</v>
      </c>
      <c r="W581" s="3" t="s">
        <v>3430</v>
      </c>
      <c r="X581" t="s">
        <v>3336</v>
      </c>
      <c r="Y581">
        <v>6</v>
      </c>
      <c r="Z581">
        <v>0</v>
      </c>
      <c r="AA581">
        <f>IF('Στατιστικά'!$C$6,1,IFERROR(INDEX('Στατιστικά'!$C$10:$C$83,MATCH(G581,'Στατιστικά'!$B$10:$B$83,0))*1,0))</f>
        <v>1</v>
      </c>
    </row>
    <row r="582" spans="1:27">
      <c r="A582" s="2">
        <v>46202</v>
      </c>
      <c r="B582" t="s">
        <v>3431</v>
      </c>
      <c r="C582" t="s">
        <v>1</v>
      </c>
      <c r="D582" t="s">
        <v>1</v>
      </c>
      <c r="E582" t="s">
        <v>3432</v>
      </c>
      <c r="F582" t="s">
        <v>217</v>
      </c>
      <c r="G582" t="s">
        <v>205</v>
      </c>
      <c r="H582" t="s">
        <v>3433</v>
      </c>
      <c r="I582">
        <v>80</v>
      </c>
      <c r="J582">
        <v>19</v>
      </c>
      <c r="K582">
        <v>3</v>
      </c>
      <c r="L582">
        <v>1</v>
      </c>
      <c r="M582" t="s">
        <v>3434</v>
      </c>
      <c r="N582" t="s">
        <v>3435</v>
      </c>
      <c r="O582" t="s">
        <v>239</v>
      </c>
      <c r="Q582">
        <v>3</v>
      </c>
      <c r="R582" t="s">
        <v>79</v>
      </c>
      <c r="S582" t="s">
        <v>107</v>
      </c>
      <c r="T582" t="s">
        <v>3436</v>
      </c>
      <c r="U582" s="3" t="s">
        <v>1</v>
      </c>
      <c r="V582" s="3" t="s">
        <v>3437</v>
      </c>
      <c r="W582" s="3" t="s">
        <v>3438</v>
      </c>
      <c r="X582" t="s">
        <v>3336</v>
      </c>
      <c r="Y582">
        <v>6</v>
      </c>
      <c r="Z582">
        <v>0</v>
      </c>
      <c r="AA582">
        <f>IF('Στατιστικά'!$C$6,1,IFERROR(INDEX('Στατιστικά'!$C$10:$C$83,MATCH(G582,'Στατιστικά'!$B$10:$B$83,0))*1,0))</f>
        <v>1</v>
      </c>
    </row>
    <row r="583" spans="1:27">
      <c r="A583" s="2">
        <v>46202</v>
      </c>
      <c r="B583" t="s">
        <v>182</v>
      </c>
      <c r="C583" t="s">
        <v>1</v>
      </c>
      <c r="D583" t="s">
        <v>1</v>
      </c>
      <c r="E583" t="s">
        <v>3439</v>
      </c>
      <c r="F583" t="s">
        <v>141</v>
      </c>
      <c r="G583" t="s">
        <v>142</v>
      </c>
      <c r="H583" t="s">
        <v>2761</v>
      </c>
      <c r="I583">
        <v>40</v>
      </c>
      <c r="J583">
        <v>10</v>
      </c>
      <c r="K583">
        <v>4</v>
      </c>
      <c r="L583">
        <v>1</v>
      </c>
      <c r="M583" t="s">
        <v>3440</v>
      </c>
      <c r="N583" t="s">
        <v>3441</v>
      </c>
      <c r="O583" t="s">
        <v>1</v>
      </c>
      <c r="Q583">
        <v>3</v>
      </c>
      <c r="R583" t="s">
        <v>79</v>
      </c>
      <c r="S583" t="s">
        <v>80</v>
      </c>
      <c r="T583" t="s">
        <v>1</v>
      </c>
      <c r="U583" s="3" t="s">
        <v>1</v>
      </c>
      <c r="V583" s="3" t="s">
        <v>3442</v>
      </c>
      <c r="W583" s="3" t="s">
        <v>3443</v>
      </c>
      <c r="X583" t="s">
        <v>2645</v>
      </c>
      <c r="Y583">
        <v>6</v>
      </c>
      <c r="Z583">
        <v>0</v>
      </c>
      <c r="AA583">
        <f>IF('Στατιστικά'!$C$6,1,IFERROR(INDEX('Στατιστικά'!$C$10:$C$83,MATCH(G583,'Στατιστικά'!$B$10:$B$83,0))*1,0))</f>
        <v>1</v>
      </c>
    </row>
    <row r="584" spans="1:27">
      <c r="A584" s="2">
        <v>46201</v>
      </c>
      <c r="B584" t="s">
        <v>300</v>
      </c>
      <c r="C584" t="s">
        <v>167</v>
      </c>
      <c r="D584" t="s">
        <v>1</v>
      </c>
      <c r="E584" t="s">
        <v>3444</v>
      </c>
      <c r="F584" t="s">
        <v>38</v>
      </c>
      <c r="G584" t="s">
        <v>15</v>
      </c>
      <c r="H584" t="s">
        <v>1763</v>
      </c>
      <c r="I584">
        <v>10</v>
      </c>
      <c r="J584">
        <v>4</v>
      </c>
      <c r="M584" t="s">
        <v>1</v>
      </c>
      <c r="N584" t="s">
        <v>3445</v>
      </c>
      <c r="O584" t="s">
        <v>850</v>
      </c>
      <c r="P584" t="s">
        <v>4851</v>
      </c>
      <c r="Q584">
        <v>4</v>
      </c>
      <c r="R584" t="s">
        <v>137</v>
      </c>
      <c r="S584" t="s">
        <v>58</v>
      </c>
      <c r="T584" t="s">
        <v>1</v>
      </c>
      <c r="U584" s="3" t="s">
        <v>1</v>
      </c>
      <c r="V584" s="3" t="s">
        <v>3446</v>
      </c>
      <c r="W584" s="3" t="s">
        <v>4852</v>
      </c>
      <c r="X584" t="s">
        <v>2645</v>
      </c>
      <c r="Y584">
        <v>6</v>
      </c>
      <c r="Z584">
        <v>0</v>
      </c>
      <c r="AA584">
        <f>IF('Στατιστικά'!$C$6,1,IFERROR(INDEX('Στατιστικά'!$C$10:$C$83,MATCH(G584,'Στατιστικά'!$B$10:$B$83,0))*1,0))</f>
        <v>1</v>
      </c>
    </row>
    <row r="585" spans="1:27">
      <c r="A585" s="2">
        <v>46201</v>
      </c>
      <c r="B585" t="s">
        <v>3055</v>
      </c>
      <c r="C585" t="s">
        <v>1</v>
      </c>
      <c r="D585" t="s">
        <v>1</v>
      </c>
      <c r="E585" t="s">
        <v>3448</v>
      </c>
      <c r="F585" t="s">
        <v>217</v>
      </c>
      <c r="G585" t="s">
        <v>412</v>
      </c>
      <c r="H585" t="s">
        <v>998</v>
      </c>
      <c r="M585" t="s">
        <v>1</v>
      </c>
      <c r="N585" t="s">
        <v>3449</v>
      </c>
      <c r="O585" t="s">
        <v>1</v>
      </c>
      <c r="P585">
        <v>0.4</v>
      </c>
      <c r="Q585">
        <v>4</v>
      </c>
      <c r="R585" t="s">
        <v>137</v>
      </c>
      <c r="S585" t="s">
        <v>58</v>
      </c>
      <c r="T585" t="s">
        <v>3450</v>
      </c>
      <c r="U585" s="3" t="s">
        <v>1</v>
      </c>
      <c r="V585" s="3" t="s">
        <v>3451</v>
      </c>
      <c r="W585" s="3" t="s">
        <v>3452</v>
      </c>
      <c r="X585" t="s">
        <v>2645</v>
      </c>
      <c r="Y585">
        <v>6</v>
      </c>
      <c r="Z585">
        <v>0.4</v>
      </c>
      <c r="AA585">
        <f>IF('Στατιστικά'!$C$6,1,IFERROR(INDEX('Στατιστικά'!$C$10:$C$83,MATCH(G585,'Στατιστικά'!$B$10:$B$83,0))*1,0))</f>
        <v>1</v>
      </c>
    </row>
    <row r="586" spans="1:27">
      <c r="A586" s="2">
        <v>46201</v>
      </c>
      <c r="B586" t="s">
        <v>13</v>
      </c>
      <c r="C586" t="s">
        <v>3453</v>
      </c>
      <c r="D586" t="s">
        <v>1</v>
      </c>
      <c r="E586" t="s">
        <v>3454</v>
      </c>
      <c r="F586" t="s">
        <v>141</v>
      </c>
      <c r="G586" t="s">
        <v>481</v>
      </c>
      <c r="H586" t="s">
        <v>3455</v>
      </c>
      <c r="I586">
        <v>62</v>
      </c>
      <c r="J586">
        <v>18</v>
      </c>
      <c r="K586">
        <v>7</v>
      </c>
      <c r="L586">
        <v>2</v>
      </c>
      <c r="M586" t="s">
        <v>1154</v>
      </c>
      <c r="N586" t="s">
        <v>3456</v>
      </c>
      <c r="O586" t="s">
        <v>850</v>
      </c>
      <c r="Q586">
        <v>4</v>
      </c>
      <c r="R586" t="s">
        <v>137</v>
      </c>
      <c r="S586" t="s">
        <v>107</v>
      </c>
      <c r="T586" t="s">
        <v>3457</v>
      </c>
      <c r="U586" s="3" t="s">
        <v>1</v>
      </c>
      <c r="V586" s="3" t="s">
        <v>3458</v>
      </c>
      <c r="W586" s="3" t="s">
        <v>3459</v>
      </c>
      <c r="X586" t="s">
        <v>3421</v>
      </c>
      <c r="Y586">
        <v>6</v>
      </c>
      <c r="Z586">
        <v>0</v>
      </c>
      <c r="AA586">
        <f>IF('Στατιστικά'!$C$6,1,IFERROR(INDEX('Στατιστικά'!$C$10:$C$83,MATCH(G586,'Στατιστικά'!$B$10:$B$83,0))*1,0))</f>
        <v>1</v>
      </c>
    </row>
    <row r="587" spans="1:27">
      <c r="A587" s="2">
        <v>46201</v>
      </c>
      <c r="B587" t="s">
        <v>13</v>
      </c>
      <c r="C587" t="s">
        <v>1</v>
      </c>
      <c r="D587" t="s">
        <v>1</v>
      </c>
      <c r="E587" t="s">
        <v>3460</v>
      </c>
      <c r="F587" t="s">
        <v>141</v>
      </c>
      <c r="G587" t="s">
        <v>481</v>
      </c>
      <c r="H587" t="s">
        <v>1408</v>
      </c>
      <c r="I587">
        <v>62</v>
      </c>
      <c r="J587">
        <v>18</v>
      </c>
      <c r="K587">
        <v>9</v>
      </c>
      <c r="L587">
        <v>2</v>
      </c>
      <c r="M587" t="s">
        <v>848</v>
      </c>
      <c r="N587" t="s">
        <v>3461</v>
      </c>
      <c r="O587" t="s">
        <v>239</v>
      </c>
      <c r="Q587">
        <v>4</v>
      </c>
      <c r="R587" t="s">
        <v>137</v>
      </c>
      <c r="S587" t="s">
        <v>107</v>
      </c>
      <c r="T587" t="s">
        <v>1</v>
      </c>
      <c r="U587" s="3" t="s">
        <v>1</v>
      </c>
      <c r="V587" s="3" t="s">
        <v>3462</v>
      </c>
      <c r="W587" s="3" t="s">
        <v>4611</v>
      </c>
      <c r="X587" t="s">
        <v>3421</v>
      </c>
      <c r="Y587">
        <v>6</v>
      </c>
      <c r="Z587">
        <v>0</v>
      </c>
      <c r="AA587">
        <f>IF('Στατιστικά'!$C$6,1,IFERROR(INDEX('Στατιστικά'!$C$10:$C$83,MATCH(G587,'Στατιστικά'!$B$10:$B$83,0))*1,0))</f>
        <v>1</v>
      </c>
    </row>
    <row r="588" spans="1:27">
      <c r="A588" s="2">
        <v>46201</v>
      </c>
      <c r="B588" t="s">
        <v>3464</v>
      </c>
      <c r="C588" t="s">
        <v>1</v>
      </c>
      <c r="D588" t="s">
        <v>1</v>
      </c>
      <c r="E588" t="s">
        <v>3465</v>
      </c>
      <c r="F588" t="s">
        <v>160</v>
      </c>
      <c r="G588" t="s">
        <v>1624</v>
      </c>
      <c r="H588" t="s">
        <v>2647</v>
      </c>
      <c r="M588" t="s">
        <v>1</v>
      </c>
      <c r="N588" t="s">
        <v>1</v>
      </c>
      <c r="O588" t="s">
        <v>1</v>
      </c>
      <c r="P588">
        <v>0.5</v>
      </c>
      <c r="Q588">
        <v>2</v>
      </c>
      <c r="R588" t="s">
        <v>17</v>
      </c>
      <c r="S588" t="s">
        <v>58</v>
      </c>
      <c r="T588" t="s">
        <v>3466</v>
      </c>
      <c r="U588" s="3" t="s">
        <v>1</v>
      </c>
      <c r="V588" s="3" t="s">
        <v>3467</v>
      </c>
      <c r="W588" s="3" t="s">
        <v>3468</v>
      </c>
      <c r="X588" t="s">
        <v>2645</v>
      </c>
      <c r="Y588">
        <v>6</v>
      </c>
      <c r="Z588">
        <v>0.5</v>
      </c>
      <c r="AA588">
        <f>IF('Στατιστικά'!$C$6,1,IFERROR(INDEX('Στατιστικά'!$C$10:$C$83,MATCH(G588,'Στατιστικά'!$B$10:$B$83,0))*1,0))</f>
        <v>1</v>
      </c>
    </row>
    <row r="589" spans="1:27">
      <c r="A589" s="2">
        <v>46201</v>
      </c>
      <c r="B589" t="s">
        <v>3464</v>
      </c>
      <c r="C589" t="s">
        <v>1</v>
      </c>
      <c r="D589" t="s">
        <v>1</v>
      </c>
      <c r="E589" t="s">
        <v>3469</v>
      </c>
      <c r="F589" t="s">
        <v>160</v>
      </c>
      <c r="G589" t="s">
        <v>1624</v>
      </c>
      <c r="H589" t="s">
        <v>3470</v>
      </c>
      <c r="M589" t="s">
        <v>1</v>
      </c>
      <c r="N589" t="s">
        <v>1</v>
      </c>
      <c r="O589" t="s">
        <v>1</v>
      </c>
      <c r="P589">
        <v>0.5</v>
      </c>
      <c r="Q589">
        <v>2</v>
      </c>
      <c r="R589" t="s">
        <v>17</v>
      </c>
      <c r="S589" t="s">
        <v>58</v>
      </c>
      <c r="T589" t="s">
        <v>3471</v>
      </c>
      <c r="U589" s="3" t="s">
        <v>1</v>
      </c>
      <c r="V589" s="3" t="s">
        <v>3472</v>
      </c>
      <c r="W589" s="3" t="s">
        <v>4612</v>
      </c>
      <c r="X589" t="s">
        <v>3417</v>
      </c>
      <c r="Y589">
        <v>6</v>
      </c>
      <c r="Z589">
        <v>0</v>
      </c>
      <c r="AA589">
        <f>IF('Στατιστικά'!$C$6,1,IFERROR(INDEX('Στατιστικά'!$C$10:$C$83,MATCH(G589,'Στατιστικά'!$B$10:$B$83,0))*1,0))</f>
        <v>1</v>
      </c>
    </row>
    <row r="590" spans="1:27">
      <c r="A590" s="2">
        <v>46201</v>
      </c>
      <c r="B590" t="s">
        <v>3464</v>
      </c>
      <c r="C590" t="s">
        <v>1</v>
      </c>
      <c r="D590" t="s">
        <v>1</v>
      </c>
      <c r="E590" t="s">
        <v>3474</v>
      </c>
      <c r="F590" t="s">
        <v>160</v>
      </c>
      <c r="G590" t="s">
        <v>1624</v>
      </c>
      <c r="H590" t="s">
        <v>2647</v>
      </c>
      <c r="M590" t="s">
        <v>1</v>
      </c>
      <c r="N590" t="s">
        <v>1</v>
      </c>
      <c r="O590" t="s">
        <v>1</v>
      </c>
      <c r="P590">
        <v>0.5</v>
      </c>
      <c r="Q590">
        <v>2</v>
      </c>
      <c r="R590" t="s">
        <v>17</v>
      </c>
      <c r="S590" t="s">
        <v>58</v>
      </c>
      <c r="T590" t="s">
        <v>3471</v>
      </c>
      <c r="U590" s="3" t="s">
        <v>1</v>
      </c>
      <c r="V590" s="3" t="s">
        <v>3475</v>
      </c>
      <c r="W590" s="3" t="s">
        <v>4613</v>
      </c>
      <c r="X590" t="s">
        <v>2645</v>
      </c>
      <c r="Y590">
        <v>6</v>
      </c>
      <c r="Z590">
        <v>0</v>
      </c>
      <c r="AA590">
        <f>IF('Στατιστικά'!$C$6,1,IFERROR(INDEX('Στατιστικά'!$C$10:$C$83,MATCH(G590,'Στατιστικά'!$B$10:$B$83,0))*1,0))</f>
        <v>1</v>
      </c>
    </row>
    <row r="591" spans="1:27">
      <c r="A591" s="2">
        <v>46201</v>
      </c>
      <c r="B591" t="s">
        <v>3464</v>
      </c>
      <c r="C591" t="s">
        <v>1</v>
      </c>
      <c r="D591" t="s">
        <v>1</v>
      </c>
      <c r="E591" t="s">
        <v>3477</v>
      </c>
      <c r="F591" t="s">
        <v>353</v>
      </c>
      <c r="G591" t="s">
        <v>1624</v>
      </c>
      <c r="H591" t="s">
        <v>3478</v>
      </c>
      <c r="I591">
        <v>25</v>
      </c>
      <c r="J591">
        <v>7</v>
      </c>
      <c r="K591">
        <v>5</v>
      </c>
      <c r="L591">
        <v>1</v>
      </c>
      <c r="M591" t="s">
        <v>1</v>
      </c>
      <c r="N591" t="s">
        <v>1</v>
      </c>
      <c r="O591" t="s">
        <v>1</v>
      </c>
      <c r="R591" t="s">
        <v>1</v>
      </c>
      <c r="S591" t="s">
        <v>1</v>
      </c>
      <c r="T591" t="s">
        <v>3479</v>
      </c>
      <c r="U591" s="3" t="s">
        <v>1</v>
      </c>
      <c r="V591" s="3" t="s">
        <v>3480</v>
      </c>
      <c r="W591" s="3" t="s">
        <v>3481</v>
      </c>
      <c r="X591" t="s">
        <v>2645</v>
      </c>
      <c r="Y591">
        <v>6</v>
      </c>
      <c r="Z591">
        <v>0</v>
      </c>
      <c r="AA591">
        <f>IF('Στατιστικά'!$C$6,1,IFERROR(INDEX('Στατιστικά'!$C$10:$C$83,MATCH(G591,'Στατιστικά'!$B$10:$B$83,0))*1,0))</f>
        <v>1</v>
      </c>
    </row>
    <row r="592" spans="1:27">
      <c r="A592" s="2">
        <v>46201</v>
      </c>
      <c r="B592" t="s">
        <v>1</v>
      </c>
      <c r="C592" t="s">
        <v>1</v>
      </c>
      <c r="D592" t="s">
        <v>1</v>
      </c>
      <c r="E592" t="s">
        <v>3482</v>
      </c>
      <c r="F592" t="s">
        <v>38</v>
      </c>
      <c r="G592" t="s">
        <v>15</v>
      </c>
      <c r="H592" t="s">
        <v>3483</v>
      </c>
      <c r="I592">
        <v>10</v>
      </c>
      <c r="J592">
        <v>4</v>
      </c>
      <c r="M592" t="s">
        <v>1</v>
      </c>
      <c r="N592" t="s">
        <v>1</v>
      </c>
      <c r="O592" t="s">
        <v>239</v>
      </c>
      <c r="Q592">
        <v>4</v>
      </c>
      <c r="R592" t="s">
        <v>137</v>
      </c>
      <c r="S592" t="s">
        <v>58</v>
      </c>
      <c r="T592" t="s">
        <v>1</v>
      </c>
      <c r="U592" s="3" t="s">
        <v>1</v>
      </c>
      <c r="V592" s="3" t="s">
        <v>3484</v>
      </c>
      <c r="W592" s="3" t="s">
        <v>4614</v>
      </c>
      <c r="X592" t="s">
        <v>2645</v>
      </c>
      <c r="Y592">
        <v>6</v>
      </c>
      <c r="Z592">
        <v>0</v>
      </c>
      <c r="AA592">
        <f>IF('Στατιστικά'!$C$6,1,IFERROR(INDEX('Στατιστικά'!$C$10:$C$83,MATCH(G592,'Στατιστικά'!$B$10:$B$83,0))*1,0))</f>
        <v>1</v>
      </c>
    </row>
    <row r="593" spans="1:27">
      <c r="A593" s="2">
        <v>46201</v>
      </c>
      <c r="B593" t="s">
        <v>1</v>
      </c>
      <c r="C593" t="s">
        <v>1</v>
      </c>
      <c r="D593" t="s">
        <v>1</v>
      </c>
      <c r="E593" t="s">
        <v>3486</v>
      </c>
      <c r="F593" t="s">
        <v>38</v>
      </c>
      <c r="G593" t="s">
        <v>15</v>
      </c>
      <c r="H593" t="s">
        <v>3487</v>
      </c>
      <c r="I593">
        <v>10</v>
      </c>
      <c r="J593">
        <v>4</v>
      </c>
      <c r="M593" t="s">
        <v>1</v>
      </c>
      <c r="N593" t="s">
        <v>1</v>
      </c>
      <c r="O593" t="s">
        <v>3488</v>
      </c>
      <c r="Q593">
        <v>4</v>
      </c>
      <c r="R593" t="s">
        <v>137</v>
      </c>
      <c r="S593" t="s">
        <v>58</v>
      </c>
      <c r="T593" t="s">
        <v>1</v>
      </c>
      <c r="U593" s="3" t="s">
        <v>1</v>
      </c>
      <c r="V593" s="3" t="s">
        <v>3489</v>
      </c>
      <c r="W593" s="3" t="s">
        <v>4615</v>
      </c>
      <c r="X593" t="s">
        <v>3417</v>
      </c>
      <c r="Y593">
        <v>6</v>
      </c>
      <c r="Z593">
        <v>0</v>
      </c>
      <c r="AA593">
        <f>IF('Στατιστικά'!$C$6,1,IFERROR(INDEX('Στατιστικά'!$C$10:$C$83,MATCH(G593,'Στατιστικά'!$B$10:$B$83,0))*1,0))</f>
        <v>1</v>
      </c>
    </row>
    <row r="594" spans="1:27">
      <c r="A594" s="2">
        <v>46200</v>
      </c>
      <c r="B594" t="s">
        <v>3491</v>
      </c>
      <c r="C594" t="s">
        <v>1</v>
      </c>
      <c r="D594" t="s">
        <v>1</v>
      </c>
      <c r="E594" t="s">
        <v>3492</v>
      </c>
      <c r="F594" t="s">
        <v>38</v>
      </c>
      <c r="G594" t="s">
        <v>15</v>
      </c>
      <c r="H594" t="s">
        <v>913</v>
      </c>
      <c r="I594">
        <v>50</v>
      </c>
      <c r="J594">
        <v>18</v>
      </c>
      <c r="M594" t="s">
        <v>3493</v>
      </c>
      <c r="N594" t="s">
        <v>3445</v>
      </c>
      <c r="O594" t="s">
        <v>1</v>
      </c>
      <c r="Q594">
        <v>4</v>
      </c>
      <c r="R594" t="s">
        <v>137</v>
      </c>
      <c r="S594" t="s">
        <v>107</v>
      </c>
      <c r="T594" t="s">
        <v>1</v>
      </c>
      <c r="U594" s="3" t="s">
        <v>1</v>
      </c>
      <c r="V594" s="3" t="s">
        <v>3494</v>
      </c>
      <c r="W594" s="3" t="s">
        <v>3495</v>
      </c>
      <c r="X594" t="s">
        <v>3496</v>
      </c>
      <c r="Y594">
        <v>6</v>
      </c>
      <c r="Z594">
        <v>0</v>
      </c>
      <c r="AA594">
        <f>IF('Στατιστικά'!$C$6,1,IFERROR(INDEX('Στατιστικά'!$C$10:$C$83,MATCH(G594,'Στατιστικά'!$B$10:$B$83,0))*1,0))</f>
        <v>1</v>
      </c>
    </row>
    <row r="595" spans="1:27">
      <c r="A595" s="2">
        <v>46200</v>
      </c>
      <c r="B595" t="s">
        <v>926</v>
      </c>
      <c r="C595" t="s">
        <v>1</v>
      </c>
      <c r="D595" t="s">
        <v>1</v>
      </c>
      <c r="E595" t="s">
        <v>3497</v>
      </c>
      <c r="F595" t="s">
        <v>217</v>
      </c>
      <c r="G595" t="s">
        <v>412</v>
      </c>
      <c r="H595" t="s">
        <v>3498</v>
      </c>
      <c r="I595">
        <v>50</v>
      </c>
      <c r="J595">
        <v>17</v>
      </c>
      <c r="K595">
        <v>3</v>
      </c>
      <c r="L595">
        <v>1</v>
      </c>
      <c r="M595" t="s">
        <v>2482</v>
      </c>
      <c r="N595" t="s">
        <v>3445</v>
      </c>
      <c r="O595" t="s">
        <v>1</v>
      </c>
      <c r="Q595">
        <v>4</v>
      </c>
      <c r="R595" t="s">
        <v>137</v>
      </c>
      <c r="S595" t="s">
        <v>107</v>
      </c>
      <c r="T595" t="s">
        <v>3499</v>
      </c>
      <c r="U595" s="3" t="s">
        <v>1</v>
      </c>
      <c r="V595" s="3" t="s">
        <v>3500</v>
      </c>
      <c r="W595" s="3" t="s">
        <v>3501</v>
      </c>
      <c r="X595" t="s">
        <v>3421</v>
      </c>
      <c r="Y595">
        <v>6</v>
      </c>
      <c r="Z595">
        <v>0</v>
      </c>
      <c r="AA595">
        <f>IF('Στατιστικά'!$C$6,1,IFERROR(INDEX('Στατιστικά'!$C$10:$C$83,MATCH(G595,'Στατιστικά'!$B$10:$B$83,0))*1,0))</f>
        <v>1</v>
      </c>
    </row>
    <row r="596" spans="1:27">
      <c r="A596" s="2">
        <v>46200</v>
      </c>
      <c r="B596" t="s">
        <v>582</v>
      </c>
      <c r="C596" t="s">
        <v>1</v>
      </c>
      <c r="D596" t="s">
        <v>1</v>
      </c>
      <c r="E596" t="s">
        <v>3502</v>
      </c>
      <c r="F596" t="s">
        <v>3</v>
      </c>
      <c r="G596" t="s">
        <v>1673</v>
      </c>
      <c r="H596" t="s">
        <v>1666</v>
      </c>
      <c r="I596">
        <v>25</v>
      </c>
      <c r="J596">
        <v>6</v>
      </c>
      <c r="K596">
        <v>5</v>
      </c>
      <c r="L596">
        <v>2</v>
      </c>
      <c r="M596" t="s">
        <v>34</v>
      </c>
      <c r="N596" t="s">
        <v>775</v>
      </c>
      <c r="O596" t="s">
        <v>1</v>
      </c>
      <c r="Q596">
        <v>3</v>
      </c>
      <c r="R596" t="s">
        <v>79</v>
      </c>
      <c r="S596" t="s">
        <v>3320</v>
      </c>
      <c r="T596" t="s">
        <v>3503</v>
      </c>
      <c r="U596" s="3" t="s">
        <v>1</v>
      </c>
      <c r="V596" s="3" t="s">
        <v>3504</v>
      </c>
      <c r="W596" s="3" t="s">
        <v>3505</v>
      </c>
      <c r="X596" t="s">
        <v>3496</v>
      </c>
      <c r="Y596">
        <v>6</v>
      </c>
      <c r="Z596">
        <v>0</v>
      </c>
      <c r="AA596">
        <f>IF('Στατιστικά'!$C$6,1,IFERROR(INDEX('Στατιστικά'!$C$10:$C$83,MATCH(G596,'Στατιστικά'!$B$10:$B$83,0))*1,0))</f>
        <v>1</v>
      </c>
    </row>
    <row r="597" spans="1:27">
      <c r="A597" s="2">
        <v>46200</v>
      </c>
      <c r="B597" t="s">
        <v>251</v>
      </c>
      <c r="C597" t="s">
        <v>1</v>
      </c>
      <c r="D597" t="s">
        <v>1</v>
      </c>
      <c r="E597" t="s">
        <v>3506</v>
      </c>
      <c r="F597" t="s">
        <v>44</v>
      </c>
      <c r="G597" t="s">
        <v>94</v>
      </c>
      <c r="H597" t="s">
        <v>1</v>
      </c>
      <c r="I597">
        <v>54</v>
      </c>
      <c r="J597">
        <v>21</v>
      </c>
      <c r="K597">
        <v>8</v>
      </c>
      <c r="L597">
        <v>3</v>
      </c>
      <c r="M597" t="s">
        <v>3507</v>
      </c>
      <c r="N597" t="s">
        <v>296</v>
      </c>
      <c r="O597" t="s">
        <v>1</v>
      </c>
      <c r="P597">
        <v>10</v>
      </c>
      <c r="Q597">
        <v>4</v>
      </c>
      <c r="R597" t="s">
        <v>137</v>
      </c>
      <c r="S597" t="s">
        <v>47</v>
      </c>
      <c r="T597" t="s">
        <v>98</v>
      </c>
      <c r="U597" s="3" t="s">
        <v>1</v>
      </c>
      <c r="V597" s="3" t="s">
        <v>3508</v>
      </c>
      <c r="W597" s="3" t="s">
        <v>3509</v>
      </c>
      <c r="X597" t="s">
        <v>3421</v>
      </c>
      <c r="Y597">
        <v>6</v>
      </c>
      <c r="Z597">
        <v>10</v>
      </c>
      <c r="AA597">
        <f>IF('Στατιστικά'!$C$6,1,IFERROR(INDEX('Στατιστικά'!$C$10:$C$83,MATCH(G597,'Στατιστικά'!$B$10:$B$83,0))*1,0))</f>
        <v>1</v>
      </c>
    </row>
    <row r="598" spans="1:27">
      <c r="A598" s="2">
        <v>46200</v>
      </c>
      <c r="B598" t="s">
        <v>118</v>
      </c>
      <c r="C598" t="s">
        <v>300</v>
      </c>
      <c r="D598" t="s">
        <v>1</v>
      </c>
      <c r="E598" t="s">
        <v>3510</v>
      </c>
      <c r="F598" t="s">
        <v>217</v>
      </c>
      <c r="G598" t="s">
        <v>412</v>
      </c>
      <c r="H598" t="s">
        <v>1588</v>
      </c>
      <c r="I598">
        <v>50</v>
      </c>
      <c r="J598">
        <v>14</v>
      </c>
      <c r="K598">
        <v>2</v>
      </c>
      <c r="L598">
        <v>1</v>
      </c>
      <c r="M598" t="s">
        <v>3511</v>
      </c>
      <c r="N598" t="s">
        <v>3512</v>
      </c>
      <c r="O598" t="s">
        <v>1</v>
      </c>
      <c r="Q598">
        <v>4</v>
      </c>
      <c r="R598" t="s">
        <v>137</v>
      </c>
      <c r="S598" t="s">
        <v>80</v>
      </c>
      <c r="T598" t="s">
        <v>3513</v>
      </c>
      <c r="U598" s="3" t="s">
        <v>1</v>
      </c>
      <c r="V598" s="3" t="s">
        <v>3514</v>
      </c>
      <c r="W598" s="3" t="s">
        <v>3515</v>
      </c>
      <c r="X598" t="s">
        <v>3421</v>
      </c>
      <c r="Y598">
        <v>6</v>
      </c>
      <c r="Z598">
        <v>0</v>
      </c>
      <c r="AA598">
        <f>IF('Στατιστικά'!$C$6,1,IFERROR(INDEX('Στατιστικά'!$C$10:$C$83,MATCH(G598,'Στατιστικά'!$B$10:$B$83,0))*1,0))</f>
        <v>1</v>
      </c>
    </row>
    <row r="599" spans="1:27">
      <c r="A599" s="2">
        <v>46200</v>
      </c>
      <c r="B599" t="s">
        <v>3516</v>
      </c>
      <c r="C599" t="s">
        <v>1</v>
      </c>
      <c r="D599" t="s">
        <v>1</v>
      </c>
      <c r="E599" t="s">
        <v>901</v>
      </c>
      <c r="F599" t="s">
        <v>38</v>
      </c>
      <c r="G599" t="s">
        <v>15</v>
      </c>
      <c r="H599" t="s">
        <v>902</v>
      </c>
      <c r="M599" t="s">
        <v>1</v>
      </c>
      <c r="N599" t="s">
        <v>1</v>
      </c>
      <c r="O599" t="s">
        <v>1</v>
      </c>
      <c r="Q599">
        <v>4</v>
      </c>
      <c r="R599" t="s">
        <v>137</v>
      </c>
      <c r="S599" t="s">
        <v>80</v>
      </c>
      <c r="T599" t="s">
        <v>3517</v>
      </c>
      <c r="U599" s="3" t="s">
        <v>1</v>
      </c>
      <c r="V599" s="3" t="s">
        <v>3518</v>
      </c>
      <c r="W599" s="3" t="s">
        <v>3519</v>
      </c>
      <c r="X599" t="s">
        <v>3520</v>
      </c>
      <c r="Y599">
        <v>6</v>
      </c>
      <c r="Z599">
        <v>0</v>
      </c>
      <c r="AA599">
        <f>IF('Στατιστικά'!$C$6,1,IFERROR(INDEX('Στατιστικά'!$C$10:$C$83,MATCH(G599,'Στατιστικά'!$B$10:$B$83,0))*1,0))</f>
        <v>1</v>
      </c>
    </row>
    <row r="600" spans="1:27">
      <c r="A600" s="2">
        <v>46200</v>
      </c>
      <c r="B600" t="s">
        <v>196</v>
      </c>
      <c r="C600" t="s">
        <v>582</v>
      </c>
      <c r="D600" t="s">
        <v>1</v>
      </c>
      <c r="E600" t="s">
        <v>3521</v>
      </c>
      <c r="F600" t="s">
        <v>44</v>
      </c>
      <c r="G600" t="s">
        <v>45</v>
      </c>
      <c r="H600" t="s">
        <v>3522</v>
      </c>
      <c r="I600">
        <v>51</v>
      </c>
      <c r="J600">
        <v>17</v>
      </c>
      <c r="K600">
        <v>3</v>
      </c>
      <c r="L600">
        <v>3</v>
      </c>
      <c r="M600" t="s">
        <v>3523</v>
      </c>
      <c r="N600" t="s">
        <v>1416</v>
      </c>
      <c r="O600" t="s">
        <v>1</v>
      </c>
      <c r="P600">
        <v>10</v>
      </c>
      <c r="Q600">
        <v>4</v>
      </c>
      <c r="R600" t="s">
        <v>137</v>
      </c>
      <c r="S600" t="s">
        <v>107</v>
      </c>
      <c r="T600" t="s">
        <v>1</v>
      </c>
      <c r="U600" s="3" t="s">
        <v>1</v>
      </c>
      <c r="V600" s="3" t="s">
        <v>3524</v>
      </c>
      <c r="W600" s="3" t="s">
        <v>3525</v>
      </c>
      <c r="X600" t="s">
        <v>3520</v>
      </c>
      <c r="Y600">
        <v>6</v>
      </c>
      <c r="Z600">
        <v>10</v>
      </c>
      <c r="AA600">
        <f>IF('Στατιστικά'!$C$6,1,IFERROR(INDEX('Στατιστικά'!$C$10:$C$83,MATCH(G600,'Στατιστικά'!$B$10:$B$83,0))*1,0))</f>
        <v>1</v>
      </c>
    </row>
    <row r="601" spans="1:27">
      <c r="A601" s="2">
        <v>46200</v>
      </c>
      <c r="B601" t="s">
        <v>196</v>
      </c>
      <c r="C601" t="s">
        <v>1</v>
      </c>
      <c r="D601" t="s">
        <v>1</v>
      </c>
      <c r="E601" t="s">
        <v>3526</v>
      </c>
      <c r="F601" t="s">
        <v>44</v>
      </c>
      <c r="G601" t="s">
        <v>45</v>
      </c>
      <c r="H601" t="s">
        <v>1264</v>
      </c>
      <c r="I601">
        <v>51</v>
      </c>
      <c r="J601">
        <v>17</v>
      </c>
      <c r="K601">
        <v>3</v>
      </c>
      <c r="L601">
        <v>3</v>
      </c>
      <c r="M601" t="s">
        <v>3527</v>
      </c>
      <c r="N601" t="s">
        <v>296</v>
      </c>
      <c r="O601" t="s">
        <v>1</v>
      </c>
      <c r="Q601">
        <v>4</v>
      </c>
      <c r="R601" t="s">
        <v>137</v>
      </c>
      <c r="S601" t="s">
        <v>107</v>
      </c>
      <c r="T601" t="s">
        <v>1</v>
      </c>
      <c r="U601" s="3" t="s">
        <v>1</v>
      </c>
      <c r="V601" s="3" t="s">
        <v>3528</v>
      </c>
      <c r="W601" s="3" t="s">
        <v>4616</v>
      </c>
      <c r="X601" t="s">
        <v>3496</v>
      </c>
      <c r="Y601">
        <v>6</v>
      </c>
      <c r="Z601">
        <v>0</v>
      </c>
      <c r="AA601">
        <f>IF('Στατιστικά'!$C$6,1,IFERROR(INDEX('Στατιστικά'!$C$10:$C$83,MATCH(G601,'Στατιστικά'!$B$10:$B$83,0))*1,0))</f>
        <v>1</v>
      </c>
    </row>
    <row r="602" spans="1:27">
      <c r="A602" s="2">
        <v>46200</v>
      </c>
      <c r="B602" t="s">
        <v>196</v>
      </c>
      <c r="C602" t="s">
        <v>582</v>
      </c>
      <c r="D602" t="s">
        <v>1</v>
      </c>
      <c r="E602" t="s">
        <v>3530</v>
      </c>
      <c r="F602" t="s">
        <v>44</v>
      </c>
      <c r="G602" t="s">
        <v>45</v>
      </c>
      <c r="H602" t="s">
        <v>3522</v>
      </c>
      <c r="I602">
        <v>45</v>
      </c>
      <c r="J602">
        <v>13</v>
      </c>
      <c r="K602">
        <v>6</v>
      </c>
      <c r="L602">
        <v>1</v>
      </c>
      <c r="M602" t="s">
        <v>3523</v>
      </c>
      <c r="N602" t="s">
        <v>3531</v>
      </c>
      <c r="O602" t="s">
        <v>1</v>
      </c>
      <c r="Q602">
        <v>4</v>
      </c>
      <c r="R602" t="s">
        <v>137</v>
      </c>
      <c r="S602" t="s">
        <v>107</v>
      </c>
      <c r="T602" t="s">
        <v>3532</v>
      </c>
      <c r="U602" s="3" t="s">
        <v>1</v>
      </c>
      <c r="V602" s="3" t="s">
        <v>3533</v>
      </c>
      <c r="W602" s="3" t="s">
        <v>3534</v>
      </c>
      <c r="X602" t="s">
        <v>3496</v>
      </c>
      <c r="Y602">
        <v>6</v>
      </c>
      <c r="Z602">
        <v>0</v>
      </c>
      <c r="AA602">
        <f>IF('Στατιστικά'!$C$6,1,IFERROR(INDEX('Στατιστικά'!$C$10:$C$83,MATCH(G602,'Στατιστικά'!$B$10:$B$83,0))*1,0))</f>
        <v>1</v>
      </c>
    </row>
    <row r="603" spans="1:27">
      <c r="A603" s="2">
        <v>46200</v>
      </c>
      <c r="B603" t="s">
        <v>3535</v>
      </c>
      <c r="C603" t="s">
        <v>1</v>
      </c>
      <c r="D603" t="s">
        <v>1</v>
      </c>
      <c r="E603" t="s">
        <v>3079</v>
      </c>
      <c r="F603" t="s">
        <v>44</v>
      </c>
      <c r="G603" t="s">
        <v>465</v>
      </c>
      <c r="H603" t="s">
        <v>466</v>
      </c>
      <c r="M603" t="s">
        <v>1</v>
      </c>
      <c r="N603" t="s">
        <v>1</v>
      </c>
      <c r="O603" t="s">
        <v>1</v>
      </c>
      <c r="Q603">
        <v>4</v>
      </c>
      <c r="R603" t="s">
        <v>137</v>
      </c>
      <c r="S603" t="s">
        <v>80</v>
      </c>
      <c r="T603" t="s">
        <v>3536</v>
      </c>
      <c r="U603" s="3" t="s">
        <v>1</v>
      </c>
      <c r="V603" s="3" t="s">
        <v>3537</v>
      </c>
      <c r="W603" s="3" t="s">
        <v>3538</v>
      </c>
      <c r="X603" t="s">
        <v>3520</v>
      </c>
      <c r="Y603">
        <v>6</v>
      </c>
      <c r="Z603">
        <v>0</v>
      </c>
      <c r="AA603">
        <f>IF('Στατιστικά'!$C$6,1,IFERROR(INDEX('Στατιστικά'!$C$10:$C$83,MATCH(G603,'Στατιστικά'!$B$10:$B$83,0))*1,0))</f>
        <v>1</v>
      </c>
    </row>
    <row r="604" spans="1:27">
      <c r="A604" s="2">
        <v>46200</v>
      </c>
      <c r="B604" t="s">
        <v>322</v>
      </c>
      <c r="C604" t="s">
        <v>1</v>
      </c>
      <c r="D604" t="s">
        <v>1</v>
      </c>
      <c r="E604" t="s">
        <v>3539</v>
      </c>
      <c r="F604" t="s">
        <v>44</v>
      </c>
      <c r="G604" t="s">
        <v>1025</v>
      </c>
      <c r="H604" t="s">
        <v>466</v>
      </c>
      <c r="I604">
        <v>32</v>
      </c>
      <c r="J604">
        <v>11</v>
      </c>
      <c r="K604">
        <v>2</v>
      </c>
      <c r="L604">
        <v>1</v>
      </c>
      <c r="M604" t="s">
        <v>452</v>
      </c>
      <c r="N604" t="s">
        <v>775</v>
      </c>
      <c r="O604" t="s">
        <v>1</v>
      </c>
      <c r="Q604">
        <v>4</v>
      </c>
      <c r="R604" t="s">
        <v>137</v>
      </c>
      <c r="S604" t="s">
        <v>80</v>
      </c>
      <c r="T604" t="s">
        <v>3540</v>
      </c>
      <c r="U604" s="3" t="s">
        <v>1</v>
      </c>
      <c r="V604" s="3" t="s">
        <v>3541</v>
      </c>
      <c r="W604" s="3" t="s">
        <v>3542</v>
      </c>
      <c r="X604" t="s">
        <v>3496</v>
      </c>
      <c r="Y604">
        <v>6</v>
      </c>
      <c r="Z604">
        <v>0</v>
      </c>
      <c r="AA604">
        <f>IF('Στατιστικά'!$C$6,1,IFERROR(INDEX('Στατιστικά'!$C$10:$C$83,MATCH(G604,'Στατιστικά'!$B$10:$B$83,0))*1,0))</f>
        <v>1</v>
      </c>
    </row>
    <row r="605" spans="1:27">
      <c r="A605" s="2">
        <v>46200</v>
      </c>
      <c r="B605" t="s">
        <v>1</v>
      </c>
      <c r="C605" t="s">
        <v>1</v>
      </c>
      <c r="D605" t="s">
        <v>1</v>
      </c>
      <c r="E605" t="s">
        <v>3543</v>
      </c>
      <c r="F605" t="s">
        <v>44</v>
      </c>
      <c r="G605" t="s">
        <v>45</v>
      </c>
      <c r="H605" t="s">
        <v>1</v>
      </c>
      <c r="M605" t="s">
        <v>1</v>
      </c>
      <c r="N605" t="s">
        <v>1</v>
      </c>
      <c r="O605" t="s">
        <v>1</v>
      </c>
      <c r="Q605">
        <v>4</v>
      </c>
      <c r="R605" t="s">
        <v>137</v>
      </c>
      <c r="S605" t="s">
        <v>8</v>
      </c>
      <c r="T605" t="s">
        <v>1</v>
      </c>
      <c r="U605" s="3" t="s">
        <v>1</v>
      </c>
      <c r="V605" s="3" t="s">
        <v>3544</v>
      </c>
      <c r="W605" s="3" t="s">
        <v>3545</v>
      </c>
      <c r="X605" t="s">
        <v>3417</v>
      </c>
      <c r="Y605">
        <v>6</v>
      </c>
      <c r="Z605">
        <v>0</v>
      </c>
      <c r="AA605">
        <f>IF('Στατιστικά'!$C$6,1,IFERROR(INDEX('Στατιστικά'!$C$10:$C$83,MATCH(G605,'Στατιστικά'!$B$10:$B$83,0))*1,0))</f>
        <v>1</v>
      </c>
    </row>
    <row r="606" spans="1:27">
      <c r="A606" s="2">
        <v>46200</v>
      </c>
      <c r="B606" t="s">
        <v>1</v>
      </c>
      <c r="C606" t="s">
        <v>1</v>
      </c>
      <c r="D606" t="s">
        <v>1</v>
      </c>
      <c r="E606" t="s">
        <v>3546</v>
      </c>
      <c r="F606" t="s">
        <v>120</v>
      </c>
      <c r="G606" t="s">
        <v>1496</v>
      </c>
      <c r="H606" t="s">
        <v>3243</v>
      </c>
      <c r="I606">
        <v>33</v>
      </c>
      <c r="J606">
        <v>8</v>
      </c>
      <c r="K606">
        <v>3</v>
      </c>
      <c r="M606" t="s">
        <v>3547</v>
      </c>
      <c r="N606" t="s">
        <v>1</v>
      </c>
      <c r="O606" t="s">
        <v>1</v>
      </c>
      <c r="P606">
        <v>0.1</v>
      </c>
      <c r="Q606">
        <v>4</v>
      </c>
      <c r="R606" t="s">
        <v>137</v>
      </c>
      <c r="S606" t="s">
        <v>58</v>
      </c>
      <c r="T606" t="s">
        <v>3548</v>
      </c>
      <c r="U606" s="3" t="s">
        <v>1</v>
      </c>
      <c r="V606" s="3" t="s">
        <v>3549</v>
      </c>
      <c r="W606" s="3" t="s">
        <v>3550</v>
      </c>
      <c r="X606" t="s">
        <v>2645</v>
      </c>
      <c r="Y606">
        <v>6</v>
      </c>
      <c r="Z606">
        <v>0.1</v>
      </c>
      <c r="AA606">
        <f>IF('Στατιστικά'!$C$6,1,IFERROR(INDEX('Στατιστικά'!$C$10:$C$83,MATCH(G606,'Στατιστικά'!$B$10:$B$83,0))*1,0))</f>
        <v>1</v>
      </c>
    </row>
    <row r="607" spans="1:27">
      <c r="A607" s="2">
        <v>46200</v>
      </c>
      <c r="B607" t="s">
        <v>1</v>
      </c>
      <c r="C607" t="s">
        <v>1</v>
      </c>
      <c r="D607" t="s">
        <v>1</v>
      </c>
      <c r="E607" t="s">
        <v>3551</v>
      </c>
      <c r="F607" t="s">
        <v>141</v>
      </c>
      <c r="G607" t="s">
        <v>481</v>
      </c>
      <c r="H607" t="s">
        <v>3552</v>
      </c>
      <c r="M607" t="s">
        <v>1</v>
      </c>
      <c r="N607" t="s">
        <v>1</v>
      </c>
      <c r="O607" t="s">
        <v>1</v>
      </c>
      <c r="Q607">
        <v>4</v>
      </c>
      <c r="R607" t="s">
        <v>137</v>
      </c>
      <c r="S607" t="s">
        <v>107</v>
      </c>
      <c r="T607" t="s">
        <v>1</v>
      </c>
      <c r="U607" s="3" t="s">
        <v>1</v>
      </c>
      <c r="V607" s="3" t="s">
        <v>3553</v>
      </c>
      <c r="W607" s="3" t="s">
        <v>3554</v>
      </c>
      <c r="X607" t="s">
        <v>3417</v>
      </c>
      <c r="Y607">
        <v>6</v>
      </c>
      <c r="Z607">
        <v>0</v>
      </c>
      <c r="AA607">
        <f>IF('Στατιστικά'!$C$6,1,IFERROR(INDEX('Στατιστικά'!$C$10:$C$83,MATCH(G607,'Στατιστικά'!$B$10:$B$83,0))*1,0))</f>
        <v>1</v>
      </c>
    </row>
    <row r="608" spans="1:27">
      <c r="A608" s="2">
        <v>46200</v>
      </c>
      <c r="B608" t="s">
        <v>1</v>
      </c>
      <c r="C608" t="s">
        <v>1</v>
      </c>
      <c r="D608" t="s">
        <v>1</v>
      </c>
      <c r="E608" t="s">
        <v>3555</v>
      </c>
      <c r="F608" t="s">
        <v>160</v>
      </c>
      <c r="G608" t="s">
        <v>161</v>
      </c>
      <c r="H608" t="s">
        <v>1809</v>
      </c>
      <c r="I608">
        <v>40</v>
      </c>
      <c r="J608">
        <v>11</v>
      </c>
      <c r="K608">
        <v>3</v>
      </c>
      <c r="L608">
        <v>2</v>
      </c>
      <c r="M608" t="s">
        <v>1</v>
      </c>
      <c r="N608" t="s">
        <v>3556</v>
      </c>
      <c r="O608" t="s">
        <v>1</v>
      </c>
      <c r="Q608">
        <v>3</v>
      </c>
      <c r="R608" t="s">
        <v>79</v>
      </c>
      <c r="S608" t="s">
        <v>3320</v>
      </c>
      <c r="T608" t="s">
        <v>98</v>
      </c>
      <c r="U608" s="3" t="s">
        <v>1</v>
      </c>
      <c r="V608" s="3" t="s">
        <v>3557</v>
      </c>
      <c r="W608" s="3" t="s">
        <v>3558</v>
      </c>
      <c r="X608" t="s">
        <v>3496</v>
      </c>
      <c r="Y608">
        <v>6</v>
      </c>
      <c r="Z608">
        <v>0</v>
      </c>
      <c r="AA608">
        <f>IF('Στατιστικά'!$C$6,1,IFERROR(INDEX('Στατιστικά'!$C$10:$C$83,MATCH(G608,'Στατιστικά'!$B$10:$B$83,0))*1,0))</f>
        <v>1</v>
      </c>
    </row>
    <row r="609" spans="1:27">
      <c r="A609" s="2">
        <v>46200</v>
      </c>
      <c r="B609" t="s">
        <v>1</v>
      </c>
      <c r="C609" t="s">
        <v>1</v>
      </c>
      <c r="D609" t="s">
        <v>1</v>
      </c>
      <c r="E609" t="s">
        <v>3559</v>
      </c>
      <c r="F609" t="s">
        <v>44</v>
      </c>
      <c r="G609" t="s">
        <v>45</v>
      </c>
      <c r="H609" t="s">
        <v>1</v>
      </c>
      <c r="I609">
        <v>51</v>
      </c>
      <c r="J609">
        <v>17</v>
      </c>
      <c r="K609">
        <v>3</v>
      </c>
      <c r="L609">
        <v>3</v>
      </c>
      <c r="M609" t="s">
        <v>1</v>
      </c>
      <c r="N609" t="s">
        <v>1</v>
      </c>
      <c r="O609" t="s">
        <v>1</v>
      </c>
      <c r="Q609">
        <v>4</v>
      </c>
      <c r="R609" t="s">
        <v>137</v>
      </c>
      <c r="S609" t="s">
        <v>8</v>
      </c>
      <c r="T609" t="s">
        <v>1</v>
      </c>
      <c r="U609" s="3" t="s">
        <v>1</v>
      </c>
      <c r="V609" s="3" t="s">
        <v>3560</v>
      </c>
      <c r="W609" s="3" t="s">
        <v>3561</v>
      </c>
      <c r="X609" t="s">
        <v>3417</v>
      </c>
      <c r="Y609">
        <v>6</v>
      </c>
      <c r="Z609">
        <v>0</v>
      </c>
      <c r="AA609">
        <f>IF('Στατιστικά'!$C$6,1,IFERROR(INDEX('Στατιστικά'!$C$10:$C$83,MATCH(G609,'Στατιστικά'!$B$10:$B$83,0))*1,0))</f>
        <v>1</v>
      </c>
    </row>
    <row r="610" spans="1:27">
      <c r="A610" s="2">
        <v>46200</v>
      </c>
      <c r="B610" t="s">
        <v>1</v>
      </c>
      <c r="C610" t="s">
        <v>1</v>
      </c>
      <c r="D610" t="s">
        <v>1</v>
      </c>
      <c r="E610" t="s">
        <v>3562</v>
      </c>
      <c r="F610" t="s">
        <v>141</v>
      </c>
      <c r="G610" t="s">
        <v>481</v>
      </c>
      <c r="H610" t="s">
        <v>3563</v>
      </c>
      <c r="I610">
        <v>27</v>
      </c>
      <c r="J610">
        <v>8</v>
      </c>
      <c r="K610">
        <v>0</v>
      </c>
      <c r="L610">
        <v>1</v>
      </c>
      <c r="M610" t="s">
        <v>3564</v>
      </c>
      <c r="N610" t="s">
        <v>1</v>
      </c>
      <c r="O610" t="s">
        <v>1</v>
      </c>
      <c r="Q610">
        <v>4</v>
      </c>
      <c r="R610" t="s">
        <v>137</v>
      </c>
      <c r="S610" t="s">
        <v>107</v>
      </c>
      <c r="T610" t="s">
        <v>1</v>
      </c>
      <c r="U610" s="3" t="s">
        <v>1</v>
      </c>
      <c r="V610" s="3" t="s">
        <v>3565</v>
      </c>
      <c r="W610" s="3" t="s">
        <v>3566</v>
      </c>
      <c r="X610" t="s">
        <v>3520</v>
      </c>
      <c r="Y610">
        <v>6</v>
      </c>
      <c r="Z610">
        <v>0</v>
      </c>
      <c r="AA610">
        <f>IF('Στατιστικά'!$C$6,1,IFERROR(INDEX('Στατιστικά'!$C$10:$C$83,MATCH(G610,'Στατιστικά'!$B$10:$B$83,0))*1,0))</f>
        <v>1</v>
      </c>
    </row>
    <row r="611" spans="1:27">
      <c r="A611" s="2">
        <v>46199</v>
      </c>
      <c r="B611" t="s">
        <v>1</v>
      </c>
      <c r="C611" t="s">
        <v>1</v>
      </c>
      <c r="D611" t="s">
        <v>1</v>
      </c>
      <c r="E611" t="s">
        <v>3567</v>
      </c>
      <c r="F611" t="s">
        <v>64</v>
      </c>
      <c r="G611" t="s">
        <v>54</v>
      </c>
      <c r="H611" t="s">
        <v>3568</v>
      </c>
      <c r="M611" t="s">
        <v>1</v>
      </c>
      <c r="N611" t="s">
        <v>1</v>
      </c>
      <c r="O611" t="s">
        <v>1</v>
      </c>
      <c r="P611">
        <v>2</v>
      </c>
      <c r="Q611">
        <v>2</v>
      </c>
      <c r="R611" t="s">
        <v>17</v>
      </c>
      <c r="S611" t="s">
        <v>80</v>
      </c>
      <c r="T611" t="s">
        <v>3569</v>
      </c>
      <c r="U611" s="3" t="s">
        <v>1</v>
      </c>
      <c r="V611" s="3" t="s">
        <v>3570</v>
      </c>
      <c r="W611" s="3" t="s">
        <v>3571</v>
      </c>
      <c r="X611" t="s">
        <v>3520</v>
      </c>
      <c r="Y611">
        <v>6</v>
      </c>
      <c r="Z611">
        <v>2</v>
      </c>
      <c r="AA611">
        <f>IF('Στατιστικά'!$C$6,1,IFERROR(INDEX('Στατιστικά'!$C$10:$C$83,MATCH(G611,'Στατιστικά'!$B$10:$B$83,0))*1,0))</f>
        <v>1</v>
      </c>
    </row>
    <row r="612" spans="1:27">
      <c r="A612" s="2">
        <v>46198</v>
      </c>
      <c r="B612" t="s">
        <v>182</v>
      </c>
      <c r="C612" t="s">
        <v>3572</v>
      </c>
      <c r="D612" t="s">
        <v>1</v>
      </c>
      <c r="E612" t="s">
        <v>3573</v>
      </c>
      <c r="F612" t="s">
        <v>488</v>
      </c>
      <c r="G612" t="s">
        <v>724</v>
      </c>
      <c r="H612" t="s">
        <v>724</v>
      </c>
      <c r="I612">
        <v>15</v>
      </c>
      <c r="J612">
        <v>3</v>
      </c>
      <c r="K612">
        <v>0</v>
      </c>
      <c r="L612">
        <v>1</v>
      </c>
      <c r="M612" t="s">
        <v>3574</v>
      </c>
      <c r="N612" t="s">
        <v>1</v>
      </c>
      <c r="O612" t="s">
        <v>1</v>
      </c>
      <c r="P612" t="s">
        <v>4853</v>
      </c>
      <c r="Q612">
        <v>2</v>
      </c>
      <c r="R612" t="s">
        <v>17</v>
      </c>
      <c r="S612" t="s">
        <v>80</v>
      </c>
      <c r="T612" t="s">
        <v>745</v>
      </c>
      <c r="U612" s="3" t="s">
        <v>1</v>
      </c>
      <c r="V612" s="3" t="s">
        <v>3575</v>
      </c>
      <c r="W612" s="3" t="s">
        <v>4854</v>
      </c>
      <c r="X612" t="s">
        <v>2645</v>
      </c>
      <c r="Y612">
        <v>6</v>
      </c>
      <c r="Z612">
        <v>0</v>
      </c>
      <c r="AA612">
        <f>IF('Στατιστικά'!$C$6,1,IFERROR(INDEX('Στατιστικά'!$C$10:$C$83,MATCH(G612,'Στατιστικά'!$B$10:$B$83,0))*1,0))</f>
        <v>1</v>
      </c>
    </row>
    <row r="613" spans="1:27">
      <c r="A613" s="2">
        <v>46197</v>
      </c>
      <c r="B613" t="s">
        <v>251</v>
      </c>
      <c r="C613" t="s">
        <v>1</v>
      </c>
      <c r="D613" t="s">
        <v>1</v>
      </c>
      <c r="E613" t="s">
        <v>3577</v>
      </c>
      <c r="F613" t="s">
        <v>44</v>
      </c>
      <c r="G613" t="s">
        <v>45</v>
      </c>
      <c r="H613" t="s">
        <v>3578</v>
      </c>
      <c r="I613">
        <v>54</v>
      </c>
      <c r="J613">
        <v>19</v>
      </c>
      <c r="K613">
        <v>4</v>
      </c>
      <c r="L613">
        <v>2</v>
      </c>
      <c r="M613" t="s">
        <v>3579</v>
      </c>
      <c r="N613" t="s">
        <v>1416</v>
      </c>
      <c r="O613" t="s">
        <v>3580</v>
      </c>
      <c r="Q613">
        <v>3</v>
      </c>
      <c r="R613" t="s">
        <v>79</v>
      </c>
      <c r="S613" t="s">
        <v>80</v>
      </c>
      <c r="T613" t="s">
        <v>3581</v>
      </c>
      <c r="U613" s="3" t="s">
        <v>1</v>
      </c>
      <c r="V613" s="3" t="s">
        <v>3582</v>
      </c>
      <c r="W613" s="3" t="s">
        <v>3583</v>
      </c>
      <c r="X613" t="s">
        <v>3584</v>
      </c>
      <c r="Y613">
        <v>6</v>
      </c>
      <c r="Z613">
        <v>0</v>
      </c>
      <c r="AA613">
        <f>IF('Στατιστικά'!$C$6,1,IFERROR(INDEX('Στατιστικά'!$C$10:$C$83,MATCH(G613,'Στατιστικά'!$B$10:$B$83,0))*1,0))</f>
        <v>1</v>
      </c>
    </row>
    <row r="614" spans="1:27">
      <c r="A614" s="2">
        <v>46195</v>
      </c>
      <c r="B614" t="s">
        <v>1586</v>
      </c>
      <c r="C614" t="s">
        <v>1</v>
      </c>
      <c r="D614" t="s">
        <v>1</v>
      </c>
      <c r="E614" t="s">
        <v>3585</v>
      </c>
      <c r="F614" t="s">
        <v>64</v>
      </c>
      <c r="G614" t="s">
        <v>130</v>
      </c>
      <c r="H614" t="s">
        <v>3586</v>
      </c>
      <c r="I614">
        <v>31</v>
      </c>
      <c r="J614">
        <v>9</v>
      </c>
      <c r="K614">
        <v>2</v>
      </c>
      <c r="L614">
        <v>1</v>
      </c>
      <c r="M614" t="s">
        <v>989</v>
      </c>
      <c r="N614" t="s">
        <v>3587</v>
      </c>
      <c r="O614" t="s">
        <v>1</v>
      </c>
      <c r="Q614">
        <v>2</v>
      </c>
      <c r="R614" t="s">
        <v>17</v>
      </c>
      <c r="S614" t="s">
        <v>80</v>
      </c>
      <c r="T614" t="s">
        <v>3588</v>
      </c>
      <c r="U614" s="3" t="s">
        <v>1</v>
      </c>
      <c r="V614" s="3" t="s">
        <v>3589</v>
      </c>
      <c r="W614" s="3" t="s">
        <v>3590</v>
      </c>
      <c r="X614" t="s">
        <v>2645</v>
      </c>
      <c r="Y614">
        <v>6</v>
      </c>
      <c r="Z614">
        <v>0</v>
      </c>
      <c r="AA614">
        <f>IF('Στατιστικά'!$C$6,1,IFERROR(INDEX('Στατιστικά'!$C$10:$C$83,MATCH(G614,'Στατιστικά'!$B$10:$B$83,0))*1,0))</f>
        <v>1</v>
      </c>
    </row>
    <row r="615" spans="1:27">
      <c r="A615" s="2">
        <v>46194</v>
      </c>
      <c r="B615" t="s">
        <v>195</v>
      </c>
      <c r="C615" t="s">
        <v>1</v>
      </c>
      <c r="D615" t="s">
        <v>1</v>
      </c>
      <c r="E615" t="s">
        <v>3562</v>
      </c>
      <c r="F615" t="s">
        <v>141</v>
      </c>
      <c r="G615" t="s">
        <v>481</v>
      </c>
      <c r="H615" t="s">
        <v>2436</v>
      </c>
      <c r="I615">
        <v>47</v>
      </c>
      <c r="J615">
        <v>14</v>
      </c>
      <c r="L615">
        <v>1</v>
      </c>
      <c r="M615" t="s">
        <v>1011</v>
      </c>
      <c r="N615" t="s">
        <v>1</v>
      </c>
      <c r="O615" t="s">
        <v>1</v>
      </c>
      <c r="R615" t="s">
        <v>1</v>
      </c>
      <c r="S615" t="s">
        <v>80</v>
      </c>
      <c r="T615" t="s">
        <v>3591</v>
      </c>
      <c r="U615" s="3" t="s">
        <v>1</v>
      </c>
      <c r="V615" s="3" t="s">
        <v>3592</v>
      </c>
      <c r="W615" s="3" t="s">
        <v>3593</v>
      </c>
      <c r="X615" t="s">
        <v>3496</v>
      </c>
      <c r="Y615">
        <v>6</v>
      </c>
      <c r="Z615">
        <v>0</v>
      </c>
      <c r="AA615">
        <f>IF('Στατιστικά'!$C$6,1,IFERROR(INDEX('Στατιστικά'!$C$10:$C$83,MATCH(G615,'Στατιστικά'!$B$10:$B$83,0))*1,0))</f>
        <v>1</v>
      </c>
    </row>
    <row r="616" spans="1:27">
      <c r="A616" s="2">
        <v>46194</v>
      </c>
      <c r="B616" t="s">
        <v>1</v>
      </c>
      <c r="C616" t="s">
        <v>1</v>
      </c>
      <c r="D616" t="s">
        <v>1</v>
      </c>
      <c r="E616" t="s">
        <v>3594</v>
      </c>
      <c r="F616" t="s">
        <v>141</v>
      </c>
      <c r="G616" t="s">
        <v>481</v>
      </c>
      <c r="H616" t="s">
        <v>1</v>
      </c>
      <c r="M616" t="s">
        <v>1</v>
      </c>
      <c r="N616" t="s">
        <v>1</v>
      </c>
      <c r="O616" t="s">
        <v>1</v>
      </c>
      <c r="R616" t="s">
        <v>1</v>
      </c>
      <c r="S616" t="s">
        <v>80</v>
      </c>
      <c r="T616" t="s">
        <v>1</v>
      </c>
      <c r="U616" s="3" t="s">
        <v>1</v>
      </c>
      <c r="V616" s="3" t="s">
        <v>3595</v>
      </c>
      <c r="W616" s="3" t="s">
        <v>3596</v>
      </c>
      <c r="X616" t="s">
        <v>2645</v>
      </c>
      <c r="Y616">
        <v>6</v>
      </c>
      <c r="Z616">
        <v>0</v>
      </c>
      <c r="AA616">
        <f>IF('Στατιστικά'!$C$6,1,IFERROR(INDEX('Στατιστικά'!$C$10:$C$83,MATCH(G616,'Στατιστικά'!$B$10:$B$83,0))*1,0))</f>
        <v>1</v>
      </c>
    </row>
    <row r="617" spans="1:27">
      <c r="A617" s="2">
        <v>46185</v>
      </c>
      <c r="B617" t="s">
        <v>1</v>
      </c>
      <c r="C617" t="s">
        <v>1</v>
      </c>
      <c r="D617" t="s">
        <v>1</v>
      </c>
      <c r="E617" t="s">
        <v>3597</v>
      </c>
      <c r="F617" t="s">
        <v>15</v>
      </c>
      <c r="G617" t="s">
        <v>15</v>
      </c>
      <c r="H617" t="s">
        <v>902</v>
      </c>
      <c r="I617">
        <v>60</v>
      </c>
      <c r="J617">
        <v>20</v>
      </c>
      <c r="L617">
        <v>2</v>
      </c>
      <c r="M617" t="s">
        <v>3598</v>
      </c>
      <c r="N617" t="s">
        <v>1</v>
      </c>
      <c r="O617" t="s">
        <v>1</v>
      </c>
      <c r="R617" t="s">
        <v>1</v>
      </c>
      <c r="S617" t="s">
        <v>80</v>
      </c>
      <c r="T617" t="s">
        <v>3599</v>
      </c>
      <c r="U617" s="3" t="s">
        <v>1</v>
      </c>
      <c r="V617" s="3" t="s">
        <v>3600</v>
      </c>
      <c r="W617" s="3" t="s">
        <v>3601</v>
      </c>
      <c r="X617" t="s">
        <v>2645</v>
      </c>
      <c r="Y617">
        <v>6</v>
      </c>
      <c r="Z617">
        <v>0</v>
      </c>
      <c r="AA617">
        <f>IF('Στατιστικά'!$C$6,1,IFERROR(INDEX('Στατιστικά'!$C$10:$C$83,MATCH(G617,'Στατιστικά'!$B$10:$B$83,0))*1,0))</f>
        <v>1</v>
      </c>
    </row>
    <row r="618" spans="1:27">
      <c r="A618" s="2">
        <v>46184</v>
      </c>
      <c r="B618" t="s">
        <v>182</v>
      </c>
      <c r="C618" t="s">
        <v>1</v>
      </c>
      <c r="D618" t="s">
        <v>1</v>
      </c>
      <c r="E618" t="s">
        <v>3602</v>
      </c>
      <c r="F618" t="s">
        <v>332</v>
      </c>
      <c r="G618" t="s">
        <v>412</v>
      </c>
      <c r="H618" t="s">
        <v>3603</v>
      </c>
      <c r="I618">
        <v>15</v>
      </c>
      <c r="J618">
        <v>4</v>
      </c>
      <c r="K618">
        <v>2</v>
      </c>
      <c r="L618">
        <v>1</v>
      </c>
      <c r="M618" t="s">
        <v>3604</v>
      </c>
      <c r="N618" t="s">
        <v>1</v>
      </c>
      <c r="O618" t="s">
        <v>1</v>
      </c>
      <c r="P618" t="s">
        <v>4855</v>
      </c>
      <c r="Q618">
        <v>1</v>
      </c>
      <c r="R618" t="s">
        <v>7</v>
      </c>
      <c r="S618" t="s">
        <v>80</v>
      </c>
      <c r="T618" t="s">
        <v>3605</v>
      </c>
      <c r="U618" s="3" t="s">
        <v>1</v>
      </c>
      <c r="V618" s="3" t="s">
        <v>3606</v>
      </c>
      <c r="W618" s="3" t="s">
        <v>4856</v>
      </c>
      <c r="X618" t="s">
        <v>2645</v>
      </c>
      <c r="Y618">
        <v>6</v>
      </c>
      <c r="Z618">
        <v>0</v>
      </c>
      <c r="AA618">
        <f>IF('Στατιστικά'!$C$6,1,IFERROR(INDEX('Στατιστικά'!$C$10:$C$83,MATCH(G618,'Στατιστικά'!$B$10:$B$83,0))*1,0))</f>
        <v>1</v>
      </c>
    </row>
    <row r="619" spans="1:27">
      <c r="A619" s="2">
        <v>46183</v>
      </c>
      <c r="B619" t="s">
        <v>3608</v>
      </c>
      <c r="C619" t="s">
        <v>3609</v>
      </c>
      <c r="D619" t="s">
        <v>1</v>
      </c>
      <c r="E619" t="s">
        <v>3610</v>
      </c>
      <c r="F619" t="s">
        <v>450</v>
      </c>
      <c r="G619" t="s">
        <v>465</v>
      </c>
      <c r="H619" t="s">
        <v>1</v>
      </c>
      <c r="I619">
        <v>36</v>
      </c>
      <c r="J619">
        <v>10</v>
      </c>
      <c r="K619">
        <v>2</v>
      </c>
      <c r="L619">
        <v>2</v>
      </c>
      <c r="M619" t="s">
        <v>2905</v>
      </c>
      <c r="N619" t="s">
        <v>419</v>
      </c>
      <c r="O619" t="s">
        <v>1</v>
      </c>
      <c r="Q619">
        <v>1</v>
      </c>
      <c r="R619" t="s">
        <v>7</v>
      </c>
      <c r="S619" t="s">
        <v>107</v>
      </c>
      <c r="T619" t="s">
        <v>3611</v>
      </c>
      <c r="U619" s="3" t="s">
        <v>1</v>
      </c>
      <c r="V619" s="3" t="s">
        <v>3612</v>
      </c>
      <c r="W619" s="3" t="s">
        <v>3613</v>
      </c>
      <c r="X619" t="s">
        <v>3614</v>
      </c>
      <c r="Y619">
        <v>6</v>
      </c>
      <c r="Z619">
        <v>0</v>
      </c>
      <c r="AA619">
        <f>IF('Στατιστικά'!$C$6,1,IFERROR(INDEX('Στατιστικά'!$C$10:$C$83,MATCH(G619,'Στατιστικά'!$B$10:$B$83,0))*1,0))</f>
        <v>1</v>
      </c>
    </row>
    <row r="620" spans="1:27">
      <c r="A620" s="2">
        <v>46183</v>
      </c>
      <c r="B620" t="s">
        <v>1</v>
      </c>
      <c r="C620" t="s">
        <v>1</v>
      </c>
      <c r="D620" t="s">
        <v>1</v>
      </c>
      <c r="E620" t="s">
        <v>3615</v>
      </c>
      <c r="F620" t="s">
        <v>347</v>
      </c>
      <c r="G620" t="s">
        <v>325</v>
      </c>
      <c r="H620" t="s">
        <v>1</v>
      </c>
      <c r="M620" t="s">
        <v>1</v>
      </c>
      <c r="N620" t="s">
        <v>1</v>
      </c>
      <c r="O620" t="s">
        <v>1</v>
      </c>
      <c r="P620">
        <v>1</v>
      </c>
      <c r="R620" t="s">
        <v>1</v>
      </c>
      <c r="S620" t="s">
        <v>1</v>
      </c>
      <c r="T620" t="s">
        <v>1</v>
      </c>
      <c r="U620" s="3" t="s">
        <v>1</v>
      </c>
      <c r="V620" s="3" t="s">
        <v>533</v>
      </c>
      <c r="W620" s="3" t="s">
        <v>3616</v>
      </c>
      <c r="X620" t="s">
        <v>3617</v>
      </c>
      <c r="Y620">
        <v>6</v>
      </c>
      <c r="Z620">
        <v>1</v>
      </c>
      <c r="AA620">
        <f>IF('Στατιστικά'!$C$6,1,IFERROR(INDEX('Στατιστικά'!$C$10:$C$83,MATCH(G620,'Στατιστικά'!$B$10:$B$83,0))*1,0))</f>
        <v>1</v>
      </c>
    </row>
    <row r="621" spans="1:27">
      <c r="A621" s="2">
        <v>46182</v>
      </c>
      <c r="B621" t="s">
        <v>3618</v>
      </c>
      <c r="C621" t="s">
        <v>1</v>
      </c>
      <c r="D621" t="s">
        <v>1</v>
      </c>
      <c r="E621" t="s">
        <v>3619</v>
      </c>
      <c r="F621" t="s">
        <v>53</v>
      </c>
      <c r="G621" t="s">
        <v>130</v>
      </c>
      <c r="H621" t="s">
        <v>1</v>
      </c>
      <c r="I621">
        <v>56</v>
      </c>
      <c r="J621">
        <v>15</v>
      </c>
      <c r="K621">
        <v>2</v>
      </c>
      <c r="L621">
        <v>1</v>
      </c>
      <c r="M621" t="s">
        <v>3620</v>
      </c>
      <c r="N621" t="s">
        <v>1</v>
      </c>
      <c r="O621" t="s">
        <v>1</v>
      </c>
      <c r="Q621">
        <v>1</v>
      </c>
      <c r="R621" t="s">
        <v>7</v>
      </c>
      <c r="S621" t="s">
        <v>80</v>
      </c>
      <c r="T621" t="s">
        <v>3621</v>
      </c>
      <c r="U621" s="3" t="s">
        <v>1</v>
      </c>
      <c r="V621" s="3" t="s">
        <v>3622</v>
      </c>
      <c r="W621" s="3" t="s">
        <v>3623</v>
      </c>
      <c r="X621" t="s">
        <v>3614</v>
      </c>
      <c r="Y621">
        <v>6</v>
      </c>
      <c r="Z621">
        <v>0</v>
      </c>
      <c r="AA621">
        <f>IF('Στατιστικά'!$C$6,1,IFERROR(INDEX('Στατιστικά'!$C$10:$C$83,MATCH(G621,'Στατιστικά'!$B$10:$B$83,0))*1,0))</f>
        <v>1</v>
      </c>
    </row>
    <row r="622" spans="1:27">
      <c r="A622" s="2">
        <v>46182</v>
      </c>
      <c r="B622" t="s">
        <v>1</v>
      </c>
      <c r="C622" t="s">
        <v>1</v>
      </c>
      <c r="D622" t="s">
        <v>1</v>
      </c>
      <c r="E622" t="s">
        <v>3624</v>
      </c>
      <c r="F622" t="s">
        <v>15</v>
      </c>
      <c r="G622" t="s">
        <v>15</v>
      </c>
      <c r="H622" t="s">
        <v>1</v>
      </c>
      <c r="M622" t="s">
        <v>1</v>
      </c>
      <c r="N622" t="s">
        <v>1</v>
      </c>
      <c r="O622" t="s">
        <v>1</v>
      </c>
      <c r="P622">
        <v>64</v>
      </c>
      <c r="Q622">
        <v>2</v>
      </c>
      <c r="R622" t="s">
        <v>17</v>
      </c>
      <c r="S622" t="s">
        <v>1</v>
      </c>
      <c r="T622" t="s">
        <v>1</v>
      </c>
      <c r="U622" s="3" t="s">
        <v>1</v>
      </c>
      <c r="V622" s="3" t="s">
        <v>533</v>
      </c>
      <c r="W622" s="3" t="s">
        <v>3625</v>
      </c>
      <c r="X622" t="s">
        <v>3617</v>
      </c>
      <c r="Y622">
        <v>6</v>
      </c>
      <c r="Z622">
        <v>64</v>
      </c>
      <c r="AA622">
        <f>IF('Στατιστικά'!$C$6,1,IFERROR(INDEX('Στατιστικά'!$C$10:$C$83,MATCH(G622,'Στατιστικά'!$B$10:$B$83,0))*1,0))</f>
        <v>1</v>
      </c>
    </row>
    <row r="623" spans="1:27">
      <c r="A623" s="2">
        <v>46181</v>
      </c>
      <c r="B623" t="s">
        <v>668</v>
      </c>
      <c r="C623" t="s">
        <v>3626</v>
      </c>
      <c r="D623" t="s">
        <v>1</v>
      </c>
      <c r="E623" t="s">
        <v>3627</v>
      </c>
      <c r="F623" t="s">
        <v>1003</v>
      </c>
      <c r="G623" t="s">
        <v>481</v>
      </c>
      <c r="H623" t="s">
        <v>2436</v>
      </c>
      <c r="I623">
        <v>100</v>
      </c>
      <c r="J623">
        <v>30</v>
      </c>
      <c r="K623">
        <v>3</v>
      </c>
      <c r="L623">
        <v>5</v>
      </c>
      <c r="M623" t="s">
        <v>3628</v>
      </c>
      <c r="N623" t="s">
        <v>1</v>
      </c>
      <c r="O623" t="s">
        <v>1</v>
      </c>
      <c r="P623">
        <v>12</v>
      </c>
      <c r="Q623">
        <v>2</v>
      </c>
      <c r="R623" t="s">
        <v>17</v>
      </c>
      <c r="S623" t="s">
        <v>107</v>
      </c>
      <c r="T623" t="s">
        <v>3629</v>
      </c>
      <c r="U623" s="3" t="s">
        <v>1</v>
      </c>
      <c r="V623" s="3" t="s">
        <v>3630</v>
      </c>
      <c r="W623" s="3" t="s">
        <v>3631</v>
      </c>
      <c r="X623" t="s">
        <v>3614</v>
      </c>
      <c r="Y623">
        <v>6</v>
      </c>
      <c r="Z623">
        <v>12</v>
      </c>
      <c r="AA623">
        <f>IF('Στατιστικά'!$C$6,1,IFERROR(INDEX('Στατιστικά'!$C$10:$C$83,MATCH(G623,'Στατιστικά'!$B$10:$B$83,0))*1,0))</f>
        <v>1</v>
      </c>
    </row>
    <row r="624" spans="1:27">
      <c r="A624" s="2">
        <v>46176</v>
      </c>
      <c r="B624" t="s">
        <v>679</v>
      </c>
      <c r="C624" t="s">
        <v>1</v>
      </c>
      <c r="D624" t="s">
        <v>1</v>
      </c>
      <c r="E624" t="s">
        <v>3632</v>
      </c>
      <c r="F624" t="s">
        <v>15</v>
      </c>
      <c r="G624" t="s">
        <v>15</v>
      </c>
      <c r="H624" t="s">
        <v>475</v>
      </c>
      <c r="I624">
        <v>108</v>
      </c>
      <c r="J624">
        <v>32</v>
      </c>
      <c r="L624">
        <v>5</v>
      </c>
      <c r="M624" t="s">
        <v>3633</v>
      </c>
      <c r="N624" t="s">
        <v>3634</v>
      </c>
      <c r="O624" t="s">
        <v>1</v>
      </c>
      <c r="Q624">
        <v>1</v>
      </c>
      <c r="R624" t="s">
        <v>7</v>
      </c>
      <c r="S624" t="s">
        <v>107</v>
      </c>
      <c r="T624" t="s">
        <v>3635</v>
      </c>
      <c r="U624" s="3" t="s">
        <v>1</v>
      </c>
      <c r="V624" s="3" t="s">
        <v>3636</v>
      </c>
      <c r="W624" s="3" t="s">
        <v>3637</v>
      </c>
      <c r="X624" t="s">
        <v>3614</v>
      </c>
      <c r="Y624">
        <v>6</v>
      </c>
      <c r="Z624">
        <v>0</v>
      </c>
      <c r="AA624">
        <f>IF('Στατιστικά'!$C$6,1,IFERROR(INDEX('Στατιστικά'!$C$10:$C$83,MATCH(G624,'Στατιστικά'!$B$10:$B$83,0))*1,0))</f>
        <v>1</v>
      </c>
    </row>
    <row r="625" spans="1:27">
      <c r="A625" s="2">
        <v>46176</v>
      </c>
      <c r="B625" t="s">
        <v>422</v>
      </c>
      <c r="C625" t="s">
        <v>1</v>
      </c>
      <c r="D625" t="s">
        <v>1</v>
      </c>
      <c r="E625" t="s">
        <v>3638</v>
      </c>
      <c r="F625" t="s">
        <v>450</v>
      </c>
      <c r="G625" t="s">
        <v>451</v>
      </c>
      <c r="H625" t="s">
        <v>3639</v>
      </c>
      <c r="I625">
        <v>27</v>
      </c>
      <c r="J625">
        <v>9</v>
      </c>
      <c r="K625">
        <v>2</v>
      </c>
      <c r="M625" t="s">
        <v>3640</v>
      </c>
      <c r="N625" t="s">
        <v>3641</v>
      </c>
      <c r="O625" t="s">
        <v>1</v>
      </c>
      <c r="Q625">
        <v>1</v>
      </c>
      <c r="R625" t="s">
        <v>7</v>
      </c>
      <c r="S625" t="s">
        <v>8</v>
      </c>
      <c r="T625" t="s">
        <v>3642</v>
      </c>
      <c r="U625" s="3" t="s">
        <v>1</v>
      </c>
      <c r="V625" s="3" t="s">
        <v>3643</v>
      </c>
      <c r="W625" s="3" t="s">
        <v>3644</v>
      </c>
      <c r="X625" t="s">
        <v>3614</v>
      </c>
      <c r="Y625">
        <v>6</v>
      </c>
      <c r="Z625">
        <v>0</v>
      </c>
      <c r="AA625">
        <f>IF('Στατιστικά'!$C$6,1,IFERROR(INDEX('Στατιστικά'!$C$10:$C$83,MATCH(G625,'Στατιστικά'!$B$10:$B$83,0))*1,0))</f>
        <v>1</v>
      </c>
    </row>
    <row r="626" spans="1:27">
      <c r="A626" s="2">
        <v>46174</v>
      </c>
      <c r="B626" t="s">
        <v>1</v>
      </c>
      <c r="C626" t="s">
        <v>1</v>
      </c>
      <c r="D626" t="s">
        <v>1</v>
      </c>
      <c r="E626" t="s">
        <v>3645</v>
      </c>
      <c r="F626" t="s">
        <v>1003</v>
      </c>
      <c r="G626" t="s">
        <v>481</v>
      </c>
      <c r="H626" t="s">
        <v>2436</v>
      </c>
      <c r="I626">
        <v>19</v>
      </c>
      <c r="J626">
        <v>5</v>
      </c>
      <c r="M626" t="s">
        <v>1</v>
      </c>
      <c r="N626" t="s">
        <v>1</v>
      </c>
      <c r="O626" t="s">
        <v>1</v>
      </c>
      <c r="P626" t="s">
        <v>4857</v>
      </c>
      <c r="R626" t="s">
        <v>1</v>
      </c>
      <c r="S626" t="s">
        <v>58</v>
      </c>
      <c r="T626" t="s">
        <v>1</v>
      </c>
      <c r="U626" s="3" t="s">
        <v>1</v>
      </c>
      <c r="V626" s="3" t="s">
        <v>3646</v>
      </c>
      <c r="W626" s="3" t="s">
        <v>4858</v>
      </c>
      <c r="X626" t="s">
        <v>2645</v>
      </c>
      <c r="Y626">
        <v>6</v>
      </c>
      <c r="Z626">
        <v>0</v>
      </c>
      <c r="AA626">
        <f>IF('Στατιστικά'!$C$6,1,IFERROR(INDEX('Στατιστικά'!$C$10:$C$83,MATCH(G626,'Στατιστικά'!$B$10:$B$83,0))*1,0))</f>
        <v>1</v>
      </c>
    </row>
    <row r="627" spans="1:27">
      <c r="A627" s="2">
        <v>46174</v>
      </c>
      <c r="B627" t="s">
        <v>1</v>
      </c>
      <c r="C627" t="s">
        <v>1</v>
      </c>
      <c r="D627" t="s">
        <v>1</v>
      </c>
      <c r="E627" t="s">
        <v>3648</v>
      </c>
      <c r="F627" t="s">
        <v>450</v>
      </c>
      <c r="G627" t="s">
        <v>174</v>
      </c>
      <c r="H627" t="s">
        <v>713</v>
      </c>
      <c r="I627">
        <v>12</v>
      </c>
      <c r="J627">
        <v>4</v>
      </c>
      <c r="M627" t="s">
        <v>1</v>
      </c>
      <c r="N627" t="s">
        <v>1</v>
      </c>
      <c r="O627" t="s">
        <v>1</v>
      </c>
      <c r="P627" t="s">
        <v>4859</v>
      </c>
      <c r="R627" t="s">
        <v>1</v>
      </c>
      <c r="S627" t="s">
        <v>8</v>
      </c>
      <c r="T627" t="s">
        <v>1</v>
      </c>
      <c r="U627" s="3" t="s">
        <v>1</v>
      </c>
      <c r="V627" s="3" t="s">
        <v>3649</v>
      </c>
      <c r="W627" s="3" t="s">
        <v>4860</v>
      </c>
      <c r="X627" t="s">
        <v>3614</v>
      </c>
      <c r="Y627">
        <v>6</v>
      </c>
      <c r="Z627">
        <v>0</v>
      </c>
      <c r="AA627">
        <f>IF('Στατιστικά'!$C$6,1,IFERROR(INDEX('Στατιστικά'!$C$10:$C$83,MATCH(G627,'Στατιστικά'!$B$10:$B$83,0))*1,0))</f>
        <v>1</v>
      </c>
    </row>
    <row r="628" spans="1:27">
      <c r="A628" s="2">
        <v>46173</v>
      </c>
      <c r="B628" t="s">
        <v>2347</v>
      </c>
      <c r="C628" t="s">
        <v>1</v>
      </c>
      <c r="D628" t="s">
        <v>1</v>
      </c>
      <c r="E628" t="s">
        <v>3651</v>
      </c>
      <c r="F628" t="s">
        <v>53</v>
      </c>
      <c r="G628" t="s">
        <v>130</v>
      </c>
      <c r="H628" t="s">
        <v>3338</v>
      </c>
      <c r="I628">
        <v>18</v>
      </c>
      <c r="J628">
        <v>7</v>
      </c>
      <c r="M628" t="s">
        <v>1</v>
      </c>
      <c r="N628" t="s">
        <v>1</v>
      </c>
      <c r="O628" t="s">
        <v>1</v>
      </c>
      <c r="P628" t="s">
        <v>4861</v>
      </c>
      <c r="Q628">
        <v>1</v>
      </c>
      <c r="R628" t="s">
        <v>7</v>
      </c>
      <c r="S628" t="s">
        <v>8</v>
      </c>
      <c r="T628" t="s">
        <v>1</v>
      </c>
      <c r="U628" s="3" t="s">
        <v>1</v>
      </c>
      <c r="V628" s="3" t="s">
        <v>3652</v>
      </c>
      <c r="W628" s="3" t="s">
        <v>4862</v>
      </c>
      <c r="X628" t="s">
        <v>3614</v>
      </c>
      <c r="Y628">
        <v>5</v>
      </c>
      <c r="Z628">
        <v>0</v>
      </c>
      <c r="AA628">
        <f>IF('Στατιστικά'!$C$6,1,IFERROR(INDEX('Στατιστικά'!$C$10:$C$83,MATCH(G628,'Στατιστικά'!$B$10:$B$83,0))*1,0))</f>
        <v>1</v>
      </c>
    </row>
    <row r="629" spans="1:27">
      <c r="A629" s="2">
        <v>46173</v>
      </c>
      <c r="B629" t="s">
        <v>1</v>
      </c>
      <c r="C629" t="s">
        <v>1</v>
      </c>
      <c r="D629" t="s">
        <v>1</v>
      </c>
      <c r="E629" t="s">
        <v>475</v>
      </c>
      <c r="F629" t="s">
        <v>15</v>
      </c>
      <c r="G629" t="s">
        <v>15</v>
      </c>
      <c r="H629" t="s">
        <v>475</v>
      </c>
      <c r="M629" t="s">
        <v>1</v>
      </c>
      <c r="N629" t="s">
        <v>1</v>
      </c>
      <c r="O629" t="s">
        <v>1</v>
      </c>
      <c r="Q629">
        <v>1</v>
      </c>
      <c r="R629" t="s">
        <v>7</v>
      </c>
      <c r="S629" t="s">
        <v>8</v>
      </c>
      <c r="T629" t="s">
        <v>1</v>
      </c>
      <c r="U629" s="3" t="s">
        <v>1</v>
      </c>
      <c r="V629" s="3" t="s">
        <v>3654</v>
      </c>
      <c r="W629" s="3" t="s">
        <v>3655</v>
      </c>
      <c r="X629" t="s">
        <v>3617</v>
      </c>
      <c r="Y629">
        <v>5</v>
      </c>
      <c r="Z629">
        <v>0</v>
      </c>
      <c r="AA629">
        <f>IF('Στατιστικά'!$C$6,1,IFERROR(INDEX('Στατιστικά'!$C$10:$C$83,MATCH(G629,'Στατιστικά'!$B$10:$B$83,0))*1,0))</f>
        <v>1</v>
      </c>
    </row>
    <row r="630" spans="1:27">
      <c r="A630" s="2">
        <v>46172</v>
      </c>
      <c r="B630" t="s">
        <v>1</v>
      </c>
      <c r="C630" t="s">
        <v>1</v>
      </c>
      <c r="D630" t="s">
        <v>1</v>
      </c>
      <c r="E630" t="s">
        <v>3656</v>
      </c>
      <c r="F630" t="s">
        <v>15</v>
      </c>
      <c r="G630" t="s">
        <v>15</v>
      </c>
      <c r="H630" t="s">
        <v>3657</v>
      </c>
      <c r="M630" t="s">
        <v>1</v>
      </c>
      <c r="N630" t="s">
        <v>1</v>
      </c>
      <c r="O630" t="s">
        <v>1</v>
      </c>
      <c r="P630">
        <v>2</v>
      </c>
      <c r="Q630">
        <v>1</v>
      </c>
      <c r="R630" t="s">
        <v>7</v>
      </c>
      <c r="S630" t="s">
        <v>107</v>
      </c>
      <c r="T630" t="s">
        <v>3658</v>
      </c>
      <c r="U630" s="3" t="s">
        <v>1</v>
      </c>
      <c r="V630" s="3" t="s">
        <v>3659</v>
      </c>
      <c r="W630" s="3" t="s">
        <v>3660</v>
      </c>
      <c r="X630" t="s">
        <v>3614</v>
      </c>
      <c r="Y630">
        <v>5</v>
      </c>
      <c r="Z630">
        <v>2</v>
      </c>
      <c r="AA630">
        <f>IF('Στατιστικά'!$C$6,1,IFERROR(INDEX('Στατιστικά'!$C$10:$C$83,MATCH(G630,'Στατιστικά'!$B$10:$B$83,0))*1,0))</f>
        <v>1</v>
      </c>
    </row>
    <row r="631" spans="1:27">
      <c r="A631" s="2">
        <v>46142</v>
      </c>
      <c r="B631" t="s">
        <v>3661</v>
      </c>
      <c r="C631" t="s">
        <v>1</v>
      </c>
      <c r="D631" t="s">
        <v>1</v>
      </c>
      <c r="E631" t="s">
        <v>3662</v>
      </c>
      <c r="F631" t="s">
        <v>15</v>
      </c>
      <c r="G631" t="s">
        <v>15</v>
      </c>
      <c r="H631" t="s">
        <v>1</v>
      </c>
      <c r="I631">
        <v>95</v>
      </c>
      <c r="J631">
        <v>22</v>
      </c>
      <c r="K631">
        <v>4</v>
      </c>
      <c r="M631" t="s">
        <v>3663</v>
      </c>
      <c r="N631" t="s">
        <v>419</v>
      </c>
      <c r="O631" t="s">
        <v>1417</v>
      </c>
      <c r="R631" t="s">
        <v>1</v>
      </c>
      <c r="S631" t="s">
        <v>80</v>
      </c>
      <c r="T631" t="s">
        <v>3664</v>
      </c>
      <c r="U631" s="3" t="s">
        <v>1</v>
      </c>
      <c r="V631" s="3" t="s">
        <v>3665</v>
      </c>
      <c r="W631" s="3" t="s">
        <v>3666</v>
      </c>
      <c r="X631" t="s">
        <v>2645</v>
      </c>
      <c r="Y631">
        <v>4</v>
      </c>
      <c r="Z631">
        <v>0</v>
      </c>
      <c r="AA631">
        <f>IF('Στατιστικά'!$C$6,1,IFERROR(INDEX('Στατιστικά'!$C$10:$C$83,MATCH(G631,'Στατιστικά'!$B$10:$B$83,0))*1,0))</f>
        <v>1</v>
      </c>
    </row>
    <row r="632" spans="1:27">
      <c r="A632" s="2">
        <v>46132</v>
      </c>
      <c r="B632" t="s">
        <v>1</v>
      </c>
      <c r="C632" t="s">
        <v>1</v>
      </c>
      <c r="D632" t="s">
        <v>1</v>
      </c>
      <c r="E632" t="s">
        <v>847</v>
      </c>
      <c r="F632" t="s">
        <v>15</v>
      </c>
      <c r="G632" t="s">
        <v>15</v>
      </c>
      <c r="H632" t="s">
        <v>1</v>
      </c>
      <c r="I632">
        <v>10</v>
      </c>
      <c r="J632">
        <v>4</v>
      </c>
      <c r="M632" t="s">
        <v>1</v>
      </c>
      <c r="N632" t="s">
        <v>1</v>
      </c>
      <c r="O632" t="s">
        <v>1</v>
      </c>
      <c r="P632" t="s">
        <v>4863</v>
      </c>
      <c r="R632" t="s">
        <v>1</v>
      </c>
      <c r="S632" t="s">
        <v>58</v>
      </c>
      <c r="T632" t="s">
        <v>3667</v>
      </c>
      <c r="U632" s="3" t="s">
        <v>1</v>
      </c>
      <c r="V632" s="3" t="s">
        <v>3668</v>
      </c>
      <c r="W632" s="3" t="s">
        <v>4864</v>
      </c>
      <c r="X632" t="s">
        <v>2645</v>
      </c>
      <c r="Y632">
        <v>4</v>
      </c>
      <c r="Z632">
        <v>0</v>
      </c>
      <c r="AA632">
        <f>IF('Στατιστικά'!$C$6,1,IFERROR(INDEX('Στατιστικά'!$C$10:$C$83,MATCH(G632,'Στατιστικά'!$B$10:$B$83,0))*1,0))</f>
        <v>1</v>
      </c>
    </row>
    <row r="633" spans="1:27">
      <c r="A633" s="2">
        <v>46132</v>
      </c>
      <c r="B633" t="s">
        <v>1</v>
      </c>
      <c r="C633" t="s">
        <v>1</v>
      </c>
      <c r="D633" t="s">
        <v>1</v>
      </c>
      <c r="E633" t="s">
        <v>3670</v>
      </c>
      <c r="F633" t="s">
        <v>1064</v>
      </c>
      <c r="G633" t="s">
        <v>188</v>
      </c>
      <c r="H633" t="s">
        <v>1</v>
      </c>
      <c r="I633">
        <v>39</v>
      </c>
      <c r="J633">
        <v>14</v>
      </c>
      <c r="K633">
        <v>2</v>
      </c>
      <c r="M633" t="s">
        <v>3671</v>
      </c>
      <c r="N633" t="s">
        <v>3051</v>
      </c>
      <c r="O633" t="s">
        <v>1</v>
      </c>
      <c r="P633">
        <v>1.5</v>
      </c>
      <c r="R633" t="s">
        <v>1</v>
      </c>
      <c r="S633" t="s">
        <v>80</v>
      </c>
      <c r="T633" t="s">
        <v>1</v>
      </c>
      <c r="U633" s="3" t="s">
        <v>1</v>
      </c>
      <c r="V633" s="3" t="s">
        <v>3672</v>
      </c>
      <c r="W633" s="3" t="s">
        <v>3673</v>
      </c>
      <c r="X633" t="s">
        <v>3614</v>
      </c>
      <c r="Y633">
        <v>4</v>
      </c>
      <c r="Z633">
        <v>1.5</v>
      </c>
      <c r="AA633">
        <f>IF('Στατιστικά'!$C$6,1,IFERROR(INDEX('Στατιστικά'!$C$10:$C$83,MATCH(G633,'Στατιστικά'!$B$10:$B$83,0))*1,0))</f>
        <v>1</v>
      </c>
    </row>
    <row r="634" spans="1:27">
      <c r="A634" s="2">
        <v>46131</v>
      </c>
      <c r="B634" t="s">
        <v>3674</v>
      </c>
      <c r="C634" t="s">
        <v>1</v>
      </c>
      <c r="D634" t="s">
        <v>1</v>
      </c>
      <c r="E634" t="s">
        <v>3675</v>
      </c>
      <c r="F634" t="s">
        <v>1064</v>
      </c>
      <c r="G634" t="s">
        <v>188</v>
      </c>
      <c r="H634" t="s">
        <v>1</v>
      </c>
      <c r="I634">
        <v>15</v>
      </c>
      <c r="J634">
        <v>4</v>
      </c>
      <c r="K634">
        <v>1</v>
      </c>
      <c r="M634" t="s">
        <v>1415</v>
      </c>
      <c r="N634" t="s">
        <v>3676</v>
      </c>
      <c r="O634" t="s">
        <v>1</v>
      </c>
      <c r="P634" t="s">
        <v>4865</v>
      </c>
      <c r="R634" t="s">
        <v>1</v>
      </c>
      <c r="S634" t="s">
        <v>80</v>
      </c>
      <c r="T634" t="s">
        <v>1</v>
      </c>
      <c r="U634" s="3" t="s">
        <v>1</v>
      </c>
      <c r="V634" s="3" t="s">
        <v>3677</v>
      </c>
      <c r="W634" s="3" t="s">
        <v>4866</v>
      </c>
      <c r="X634" t="s">
        <v>3614</v>
      </c>
      <c r="Y634">
        <v>4</v>
      </c>
      <c r="Z634">
        <v>0</v>
      </c>
      <c r="AA634">
        <f>IF('Στατιστικά'!$C$6,1,IFERROR(INDEX('Στατιστικά'!$C$10:$C$83,MATCH(G634,'Στατιστικά'!$B$10:$B$83,0))*1,0))</f>
        <v>1</v>
      </c>
    </row>
    <row r="635" spans="1:27">
      <c r="A635" s="2">
        <v>46091</v>
      </c>
      <c r="B635" t="s">
        <v>881</v>
      </c>
      <c r="C635" t="s">
        <v>1</v>
      </c>
      <c r="D635" t="s">
        <v>1</v>
      </c>
      <c r="E635" t="s">
        <v>3679</v>
      </c>
      <c r="F635" t="s">
        <v>332</v>
      </c>
      <c r="G635" t="s">
        <v>218</v>
      </c>
      <c r="H635" t="s">
        <v>1</v>
      </c>
      <c r="I635">
        <v>22</v>
      </c>
      <c r="J635">
        <v>4</v>
      </c>
      <c r="M635" t="s">
        <v>3680</v>
      </c>
      <c r="N635" t="s">
        <v>1</v>
      </c>
      <c r="O635" t="s">
        <v>1</v>
      </c>
      <c r="P635" t="s">
        <v>4867</v>
      </c>
      <c r="R635" t="s">
        <v>1</v>
      </c>
      <c r="S635" t="s">
        <v>107</v>
      </c>
      <c r="T635" t="s">
        <v>1</v>
      </c>
      <c r="U635" s="3" t="s">
        <v>1</v>
      </c>
      <c r="V635" s="3" t="s">
        <v>3681</v>
      </c>
      <c r="W635" s="3" t="s">
        <v>4868</v>
      </c>
      <c r="X635" t="s">
        <v>3617</v>
      </c>
      <c r="Y635">
        <v>3</v>
      </c>
      <c r="Z635">
        <v>0</v>
      </c>
      <c r="AA635">
        <f>IF('Στατιστικά'!$C$6,1,IFERROR(INDEX('Στατιστικά'!$C$10:$C$83,MATCH(G635,'Στατιστικά'!$B$10:$B$83,0))*1,0))</f>
        <v>1</v>
      </c>
    </row>
    <row r="636" spans="1:27">
      <c r="A636" s="2">
        <v>46091</v>
      </c>
      <c r="B636" t="s">
        <v>881</v>
      </c>
      <c r="C636" t="s">
        <v>1</v>
      </c>
      <c r="D636" t="s">
        <v>1</v>
      </c>
      <c r="E636" t="s">
        <v>3683</v>
      </c>
      <c r="F636" t="s">
        <v>1003</v>
      </c>
      <c r="G636" t="s">
        <v>481</v>
      </c>
      <c r="H636" t="s">
        <v>1</v>
      </c>
      <c r="I636">
        <v>32</v>
      </c>
      <c r="J636">
        <v>8</v>
      </c>
      <c r="M636" t="s">
        <v>3684</v>
      </c>
      <c r="N636" t="s">
        <v>1</v>
      </c>
      <c r="O636" t="s">
        <v>1</v>
      </c>
      <c r="R636" t="s">
        <v>1</v>
      </c>
      <c r="S636" t="s">
        <v>107</v>
      </c>
      <c r="T636" t="s">
        <v>1</v>
      </c>
      <c r="U636" s="3" t="s">
        <v>1</v>
      </c>
      <c r="V636" s="3" t="s">
        <v>3685</v>
      </c>
      <c r="W636" s="3" t="s">
        <v>3686</v>
      </c>
      <c r="X636" t="s">
        <v>3617</v>
      </c>
      <c r="Y636">
        <v>3</v>
      </c>
      <c r="Z636">
        <v>0</v>
      </c>
      <c r="AA636">
        <f>IF('Στατιστικά'!$C$6,1,IFERROR(INDEX('Στατιστικά'!$C$10:$C$83,MATCH(G636,'Στατιστικά'!$B$10:$B$83,0))*1,0))</f>
        <v>1</v>
      </c>
    </row>
    <row r="637" spans="1:27">
      <c r="A637" s="2">
        <v>46088</v>
      </c>
      <c r="B637" t="s">
        <v>182</v>
      </c>
      <c r="C637" t="s">
        <v>1</v>
      </c>
      <c r="D637" t="s">
        <v>1</v>
      </c>
      <c r="E637" t="s">
        <v>3687</v>
      </c>
      <c r="F637" t="s">
        <v>1003</v>
      </c>
      <c r="G637" t="s">
        <v>481</v>
      </c>
      <c r="H637" t="s">
        <v>1</v>
      </c>
      <c r="M637" t="s">
        <v>1</v>
      </c>
      <c r="N637" t="s">
        <v>1</v>
      </c>
      <c r="O637" t="s">
        <v>1</v>
      </c>
      <c r="R637" t="s">
        <v>1</v>
      </c>
      <c r="S637" t="s">
        <v>107</v>
      </c>
      <c r="T637" t="s">
        <v>1</v>
      </c>
      <c r="U637" s="3" t="s">
        <v>1</v>
      </c>
      <c r="V637" s="3" t="s">
        <v>3688</v>
      </c>
      <c r="W637" s="3" t="s">
        <v>3689</v>
      </c>
      <c r="X637" t="s">
        <v>3614</v>
      </c>
      <c r="Y637">
        <v>3</v>
      </c>
      <c r="Z637">
        <v>0</v>
      </c>
      <c r="AA637">
        <f>IF('Στατιστικά'!$C$6,1,IFERROR(INDEX('Στατιστικά'!$C$10:$C$83,MATCH(G637,'Στατιστικά'!$B$10:$B$83,0))*1,0))</f>
        <v>1</v>
      </c>
    </row>
    <row r="638" spans="1:27">
      <c r="A638" s="2">
        <v>46083</v>
      </c>
      <c r="B638" t="s">
        <v>1</v>
      </c>
      <c r="C638" t="s">
        <v>1</v>
      </c>
      <c r="D638" t="s">
        <v>1</v>
      </c>
      <c r="E638" t="s">
        <v>3690</v>
      </c>
      <c r="F638" t="s">
        <v>28</v>
      </c>
      <c r="G638" t="s">
        <v>103</v>
      </c>
      <c r="H638" t="s">
        <v>1</v>
      </c>
      <c r="M638" t="s">
        <v>1</v>
      </c>
      <c r="N638" t="s">
        <v>1</v>
      </c>
      <c r="O638" t="s">
        <v>1</v>
      </c>
      <c r="R638" t="s">
        <v>1</v>
      </c>
      <c r="S638" t="s">
        <v>8</v>
      </c>
      <c r="T638" t="s">
        <v>1</v>
      </c>
      <c r="U638" s="3" t="s">
        <v>1</v>
      </c>
      <c r="V638" s="3" t="s">
        <v>1</v>
      </c>
      <c r="W638" s="3" t="s">
        <v>3691</v>
      </c>
      <c r="X638" t="s">
        <v>3617</v>
      </c>
      <c r="Y638">
        <v>3</v>
      </c>
      <c r="Z638">
        <v>0</v>
      </c>
      <c r="AA638">
        <f>IF('Στατιστικά'!$C$6,1,IFERROR(INDEX('Στατιστικά'!$C$10:$C$83,MATCH(G638,'Στατιστικά'!$B$10:$B$83,0))*1,0))</f>
        <v>1</v>
      </c>
    </row>
    <row r="639" spans="1:27">
      <c r="A639" s="2">
        <v>46082</v>
      </c>
      <c r="B639" t="s">
        <v>1</v>
      </c>
      <c r="C639" t="s">
        <v>1</v>
      </c>
      <c r="D639" t="s">
        <v>1</v>
      </c>
      <c r="E639" t="s">
        <v>3692</v>
      </c>
      <c r="F639" t="s">
        <v>347</v>
      </c>
      <c r="G639" t="s">
        <v>730</v>
      </c>
      <c r="H639" t="s">
        <v>1</v>
      </c>
      <c r="M639" t="s">
        <v>1</v>
      </c>
      <c r="N639" t="s">
        <v>1</v>
      </c>
      <c r="O639" t="s">
        <v>1</v>
      </c>
      <c r="P639">
        <v>620</v>
      </c>
      <c r="R639" t="s">
        <v>1</v>
      </c>
      <c r="S639" t="s">
        <v>8</v>
      </c>
      <c r="T639" t="s">
        <v>3693</v>
      </c>
      <c r="U639" s="3" t="s">
        <v>1</v>
      </c>
      <c r="V639" s="3" t="s">
        <v>3694</v>
      </c>
      <c r="W639" s="3" t="s">
        <v>3695</v>
      </c>
      <c r="X639" t="s">
        <v>3617</v>
      </c>
      <c r="Y639">
        <v>3</v>
      </c>
      <c r="Z639">
        <v>620</v>
      </c>
      <c r="AA639">
        <f>IF('Στατιστικά'!$C$6,1,IFERROR(INDEX('Στατιστικά'!$C$10:$C$83,MATCH(G639,'Στατιστικά'!$B$10:$B$83,0))*1,0))</f>
        <v>1</v>
      </c>
    </row>
    <row r="640" spans="1:27">
      <c r="A640" s="2">
        <v>46027</v>
      </c>
      <c r="B640" t="s">
        <v>1</v>
      </c>
      <c r="C640" t="s">
        <v>1</v>
      </c>
      <c r="D640" t="s">
        <v>1</v>
      </c>
      <c r="E640" t="s">
        <v>3696</v>
      </c>
      <c r="F640" t="s">
        <v>450</v>
      </c>
      <c r="G640" t="s">
        <v>174</v>
      </c>
      <c r="H640" t="s">
        <v>1</v>
      </c>
      <c r="M640" t="s">
        <v>1</v>
      </c>
      <c r="N640" t="s">
        <v>1</v>
      </c>
      <c r="O640" t="s">
        <v>1</v>
      </c>
      <c r="R640" t="s">
        <v>1</v>
      </c>
      <c r="S640" t="s">
        <v>107</v>
      </c>
      <c r="T640" t="s">
        <v>1</v>
      </c>
      <c r="U640" s="3" t="s">
        <v>1</v>
      </c>
      <c r="V640" s="3" t="s">
        <v>3697</v>
      </c>
      <c r="W640" s="3" t="s">
        <v>3698</v>
      </c>
      <c r="X640" t="s">
        <v>3617</v>
      </c>
      <c r="Y640">
        <v>1</v>
      </c>
      <c r="Z640">
        <v>0</v>
      </c>
      <c r="AA640">
        <f>IF('Στατιστικά'!$C$6,1,IFERROR(INDEX('Στατιστικά'!$C$10:$C$83,MATCH(G640,'Στατιστικά'!$B$10:$B$83,0))*1,0))</f>
        <v>1</v>
      </c>
    </row>
  </sheetData>
  <conditionalFormatting sqref="Q2:Q640">
    <cfRule type="cellIs" dxfId="0" priority="1" operator="equal">
      <formula>1</formula>
    </cfRule>
    <cfRule type="cellIs" dxfId="1" priority="2" operator="equal">
      <formula>2</formula>
    </cfRule>
    <cfRule type="cellIs" dxfId="2" priority="3" operator="equal">
      <formula>3</formula>
    </cfRule>
    <cfRule type="cellIs" dxfId="3" priority="4" operator="equal">
      <formula>4</formula>
    </cfRule>
    <cfRule type="cellIs" dxfId="4" priority="5" operator="equal">
      <formula>5</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X166"/>
  <sheetViews>
    <sheetView workbookViewId="0">
      <pane ySplit="1" topLeftCell="A2" activePane="bottomLeft" state="frozen"/>
      <selection pane="bottomLeft"/>
    </sheetView>
  </sheetViews>
  <sheetFormatPr defaultRowHeight="15"/>
  <cols>
    <col min="1" max="1" width="12.7109375" customWidth="1"/>
    <col min="2" max="3" width="10.7109375" customWidth="1"/>
    <col min="4" max="4" width="11.7109375" customWidth="1"/>
    <col min="5" max="5" width="28.7109375" customWidth="1"/>
    <col min="6" max="6" width="20.7109375" customWidth="1"/>
    <col min="7" max="7" width="16.7109375" customWidth="1"/>
    <col min="8" max="8" width="18.7109375" customWidth="1"/>
    <col min="9" max="12" width="9.7109375" customWidth="1"/>
    <col min="13" max="14" width="22.7109375" customWidth="1"/>
    <col min="15" max="15" width="12.7109375" customWidth="1"/>
    <col min="16" max="17" width="9.7109375" customWidth="1"/>
    <col min="18" max="18" width="16.7109375" customWidth="1"/>
    <col min="19" max="19" width="13.7109375" customWidth="1"/>
    <col min="20" max="20" width="22.7109375" customWidth="1"/>
    <col min="21" max="21" width="46.7109375" customWidth="1"/>
    <col min="22" max="22" width="40.7109375" customWidth="1"/>
    <col min="23" max="23" width="50.7109375" customWidth="1"/>
    <col min="24" max="24" width="12.7109375" customWidth="1"/>
  </cols>
  <sheetData>
    <row r="1" spans="1:24">
      <c r="A1" s="1" t="s">
        <v>3699</v>
      </c>
      <c r="B1" s="1" t="s">
        <v>3700</v>
      </c>
      <c r="C1" s="1" t="s">
        <v>3701</v>
      </c>
      <c r="D1" s="1" t="s">
        <v>3702</v>
      </c>
      <c r="E1" s="1" t="s">
        <v>3703</v>
      </c>
      <c r="F1" s="1" t="s">
        <v>3704</v>
      </c>
      <c r="G1" s="1" t="s">
        <v>3705</v>
      </c>
      <c r="H1" s="1" t="s">
        <v>3706</v>
      </c>
      <c r="I1" s="1" t="s">
        <v>3707</v>
      </c>
      <c r="J1" s="1" t="s">
        <v>3708</v>
      </c>
      <c r="K1" s="1" t="s">
        <v>3709</v>
      </c>
      <c r="L1" s="1" t="s">
        <v>3710</v>
      </c>
      <c r="M1" s="1" t="s">
        <v>3711</v>
      </c>
      <c r="N1" s="1" t="s">
        <v>3712</v>
      </c>
      <c r="O1" s="1" t="s">
        <v>850</v>
      </c>
      <c r="P1" s="1" t="s">
        <v>3713</v>
      </c>
      <c r="Q1" s="1" t="s">
        <v>3714</v>
      </c>
      <c r="R1" s="1" t="s">
        <v>3715</v>
      </c>
      <c r="S1" s="1" t="s">
        <v>3716</v>
      </c>
      <c r="T1" s="1" t="s">
        <v>3717</v>
      </c>
      <c r="U1" s="1" t="s">
        <v>3718</v>
      </c>
      <c r="V1" s="1" t="s">
        <v>3719</v>
      </c>
      <c r="W1" s="1" t="s">
        <v>3720</v>
      </c>
      <c r="X1" s="1" t="s">
        <v>3721</v>
      </c>
    </row>
    <row r="2" spans="1:24">
      <c r="A2" s="2">
        <v>46285</v>
      </c>
      <c r="B2" t="s">
        <v>1</v>
      </c>
      <c r="C2" t="s">
        <v>1</v>
      </c>
      <c r="D2" t="s">
        <v>1</v>
      </c>
      <c r="E2" t="s">
        <v>3725</v>
      </c>
      <c r="F2" t="s">
        <v>3726</v>
      </c>
      <c r="G2" t="s">
        <v>1</v>
      </c>
      <c r="H2" t="s">
        <v>3727</v>
      </c>
      <c r="J2">
        <v>9</v>
      </c>
      <c r="K2">
        <v>0</v>
      </c>
      <c r="L2">
        <v>0</v>
      </c>
      <c r="M2" t="s">
        <v>3728</v>
      </c>
      <c r="N2" t="s">
        <v>1</v>
      </c>
      <c r="O2" t="s">
        <v>3729</v>
      </c>
      <c r="P2">
        <v>1.5</v>
      </c>
      <c r="R2" t="s">
        <v>1</v>
      </c>
      <c r="S2" t="s">
        <v>107</v>
      </c>
      <c r="T2" t="s">
        <v>3730</v>
      </c>
      <c r="U2" s="3" t="s">
        <v>1</v>
      </c>
      <c r="V2" s="3" t="s">
        <v>3731</v>
      </c>
      <c r="W2" s="3" t="s">
        <v>3732</v>
      </c>
      <c r="X2" t="s">
        <v>12</v>
      </c>
    </row>
    <row r="3" spans="1:24">
      <c r="A3" s="2">
        <v>46285</v>
      </c>
      <c r="B3" t="s">
        <v>1</v>
      </c>
      <c r="C3" t="s">
        <v>1</v>
      </c>
      <c r="D3" t="s">
        <v>1</v>
      </c>
      <c r="E3" t="s">
        <v>3733</v>
      </c>
      <c r="F3" t="s">
        <v>3734</v>
      </c>
      <c r="G3" t="s">
        <v>1</v>
      </c>
      <c r="H3" t="s">
        <v>3735</v>
      </c>
      <c r="M3" t="s">
        <v>1</v>
      </c>
      <c r="N3" t="s">
        <v>1</v>
      </c>
      <c r="O3" t="s">
        <v>1</v>
      </c>
      <c r="P3">
        <v>0.4</v>
      </c>
      <c r="R3" t="s">
        <v>1</v>
      </c>
      <c r="S3" t="s">
        <v>107</v>
      </c>
      <c r="T3" t="s">
        <v>98</v>
      </c>
      <c r="U3" s="3" t="s">
        <v>1</v>
      </c>
      <c r="V3" s="3" t="s">
        <v>3736</v>
      </c>
      <c r="W3" s="3" t="s">
        <v>3737</v>
      </c>
      <c r="X3" t="s">
        <v>12</v>
      </c>
    </row>
    <row r="4" spans="1:24">
      <c r="A4" s="2">
        <v>46285</v>
      </c>
      <c r="B4" t="s">
        <v>1</v>
      </c>
      <c r="C4" t="s">
        <v>1</v>
      </c>
      <c r="D4" t="s">
        <v>1</v>
      </c>
      <c r="E4" t="s">
        <v>3733</v>
      </c>
      <c r="F4" t="s">
        <v>3734</v>
      </c>
      <c r="G4" t="s">
        <v>3738</v>
      </c>
      <c r="H4" t="s">
        <v>3735</v>
      </c>
      <c r="J4">
        <v>5</v>
      </c>
      <c r="M4" t="s">
        <v>1</v>
      </c>
      <c r="N4" t="s">
        <v>1</v>
      </c>
      <c r="O4" t="s">
        <v>1</v>
      </c>
      <c r="P4">
        <v>4</v>
      </c>
      <c r="R4" t="s">
        <v>1</v>
      </c>
      <c r="S4" t="s">
        <v>58</v>
      </c>
      <c r="T4" t="s">
        <v>98</v>
      </c>
      <c r="U4" s="3" t="s">
        <v>1</v>
      </c>
      <c r="V4" s="3" t="s">
        <v>3739</v>
      </c>
      <c r="W4" s="3" t="s">
        <v>3740</v>
      </c>
      <c r="X4" t="s">
        <v>12</v>
      </c>
    </row>
    <row r="5" spans="1:24">
      <c r="A5" s="2">
        <v>46272</v>
      </c>
      <c r="B5" t="s">
        <v>1</v>
      </c>
      <c r="C5" t="s">
        <v>1</v>
      </c>
      <c r="D5" t="s">
        <v>1</v>
      </c>
      <c r="E5" t="s">
        <v>3741</v>
      </c>
      <c r="F5" t="s">
        <v>3742</v>
      </c>
      <c r="G5" t="s">
        <v>1</v>
      </c>
      <c r="H5" t="s">
        <v>1</v>
      </c>
      <c r="I5">
        <v>866</v>
      </c>
      <c r="J5">
        <v>181</v>
      </c>
      <c r="K5">
        <v>5</v>
      </c>
      <c r="L5">
        <v>10</v>
      </c>
      <c r="M5" t="s">
        <v>1</v>
      </c>
      <c r="N5" t="s">
        <v>3743</v>
      </c>
      <c r="O5" t="s">
        <v>1</v>
      </c>
      <c r="P5">
        <v>132</v>
      </c>
      <c r="R5" t="s">
        <v>1</v>
      </c>
      <c r="S5" t="s">
        <v>8</v>
      </c>
      <c r="T5" t="s">
        <v>1</v>
      </c>
      <c r="U5" s="3" t="s">
        <v>1</v>
      </c>
      <c r="V5" s="3" t="s">
        <v>3744</v>
      </c>
      <c r="W5" s="3" t="s">
        <v>3745</v>
      </c>
      <c r="X5" t="s">
        <v>12</v>
      </c>
    </row>
    <row r="6" spans="1:24">
      <c r="A6" s="2">
        <v>46256</v>
      </c>
      <c r="B6" t="s">
        <v>1</v>
      </c>
      <c r="C6" t="s">
        <v>1</v>
      </c>
      <c r="D6" t="s">
        <v>1</v>
      </c>
      <c r="E6" t="s">
        <v>3746</v>
      </c>
      <c r="F6" t="s">
        <v>3747</v>
      </c>
      <c r="G6" t="s">
        <v>1</v>
      </c>
      <c r="H6" t="s">
        <v>3748</v>
      </c>
      <c r="I6">
        <v>124</v>
      </c>
      <c r="J6">
        <v>39</v>
      </c>
      <c r="K6">
        <v>1</v>
      </c>
      <c r="L6">
        <v>4</v>
      </c>
      <c r="M6" t="s">
        <v>3749</v>
      </c>
      <c r="N6" t="s">
        <v>1</v>
      </c>
      <c r="O6" t="s">
        <v>1</v>
      </c>
      <c r="P6">
        <v>3500</v>
      </c>
      <c r="R6" t="s">
        <v>1</v>
      </c>
      <c r="S6" t="s">
        <v>80</v>
      </c>
      <c r="T6" t="s">
        <v>3750</v>
      </c>
      <c r="U6" s="3" t="s">
        <v>1</v>
      </c>
      <c r="V6" s="3" t="s">
        <v>3751</v>
      </c>
      <c r="W6" s="3" t="s">
        <v>3752</v>
      </c>
      <c r="X6" t="s">
        <v>685</v>
      </c>
    </row>
    <row r="7" spans="1:24">
      <c r="A7" s="2">
        <v>46256</v>
      </c>
      <c r="B7" t="s">
        <v>1</v>
      </c>
      <c r="C7" t="s">
        <v>1</v>
      </c>
      <c r="D7" t="s">
        <v>1</v>
      </c>
      <c r="E7" t="s">
        <v>3753</v>
      </c>
      <c r="F7" t="s">
        <v>3754</v>
      </c>
      <c r="G7" t="s">
        <v>1</v>
      </c>
      <c r="H7" t="s">
        <v>1</v>
      </c>
      <c r="I7">
        <v>400</v>
      </c>
      <c r="K7">
        <v>1</v>
      </c>
      <c r="L7">
        <v>4</v>
      </c>
      <c r="M7" t="s">
        <v>1</v>
      </c>
      <c r="N7" t="s">
        <v>1</v>
      </c>
      <c r="O7" t="s">
        <v>1</v>
      </c>
      <c r="P7">
        <v>3500</v>
      </c>
      <c r="R7" t="s">
        <v>1</v>
      </c>
      <c r="S7" t="s">
        <v>8</v>
      </c>
      <c r="T7" t="s">
        <v>3755</v>
      </c>
      <c r="U7" s="3" t="s">
        <v>1</v>
      </c>
      <c r="V7" s="3" t="s">
        <v>3756</v>
      </c>
      <c r="W7" s="3" t="s">
        <v>3757</v>
      </c>
      <c r="X7" t="s">
        <v>761</v>
      </c>
    </row>
    <row r="8" spans="1:24">
      <c r="A8" s="2">
        <v>46255</v>
      </c>
      <c r="B8" t="s">
        <v>1</v>
      </c>
      <c r="C8" t="s">
        <v>1</v>
      </c>
      <c r="D8" t="s">
        <v>1</v>
      </c>
      <c r="E8" t="s">
        <v>3758</v>
      </c>
      <c r="F8" t="s">
        <v>3759</v>
      </c>
      <c r="G8" t="s">
        <v>1</v>
      </c>
      <c r="H8" t="s">
        <v>3760</v>
      </c>
      <c r="I8">
        <v>124</v>
      </c>
      <c r="L8">
        <v>4</v>
      </c>
      <c r="M8" t="s">
        <v>3761</v>
      </c>
      <c r="N8" t="s">
        <v>1</v>
      </c>
      <c r="O8" t="s">
        <v>1</v>
      </c>
      <c r="R8" t="s">
        <v>1</v>
      </c>
      <c r="S8" t="s">
        <v>8</v>
      </c>
      <c r="T8" t="s">
        <v>1</v>
      </c>
      <c r="U8" s="3" t="s">
        <v>1</v>
      </c>
      <c r="V8" s="3" t="s">
        <v>3762</v>
      </c>
      <c r="W8" s="3" t="s">
        <v>3763</v>
      </c>
      <c r="X8" t="s">
        <v>791</v>
      </c>
    </row>
    <row r="9" spans="1:24">
      <c r="A9" s="2">
        <v>46252</v>
      </c>
      <c r="B9" t="s">
        <v>1</v>
      </c>
      <c r="C9" t="s">
        <v>158</v>
      </c>
      <c r="D9" t="s">
        <v>1</v>
      </c>
      <c r="E9" t="s">
        <v>3764</v>
      </c>
      <c r="F9" t="s">
        <v>3765</v>
      </c>
      <c r="G9" t="s">
        <v>1</v>
      </c>
      <c r="H9" t="s">
        <v>3766</v>
      </c>
      <c r="I9">
        <v>1000</v>
      </c>
      <c r="K9">
        <v>40</v>
      </c>
      <c r="M9" t="s">
        <v>1</v>
      </c>
      <c r="N9" t="s">
        <v>1</v>
      </c>
      <c r="O9" t="s">
        <v>3767</v>
      </c>
      <c r="P9">
        <v>17500</v>
      </c>
      <c r="R9" t="s">
        <v>1</v>
      </c>
      <c r="S9" t="s">
        <v>107</v>
      </c>
      <c r="T9" t="s">
        <v>3768</v>
      </c>
      <c r="U9" s="3" t="s">
        <v>1</v>
      </c>
      <c r="V9" s="3" t="s">
        <v>3769</v>
      </c>
      <c r="W9" s="3" t="s">
        <v>3770</v>
      </c>
      <c r="X9" t="s">
        <v>761</v>
      </c>
    </row>
    <row r="10" spans="1:24">
      <c r="A10" s="2">
        <v>46250</v>
      </c>
      <c r="B10" t="s">
        <v>1</v>
      </c>
      <c r="C10" t="s">
        <v>1</v>
      </c>
      <c r="D10" t="s">
        <v>1</v>
      </c>
      <c r="E10" t="s">
        <v>3766</v>
      </c>
      <c r="F10" t="s">
        <v>3771</v>
      </c>
      <c r="G10" t="s">
        <v>1</v>
      </c>
      <c r="H10" t="s">
        <v>1</v>
      </c>
      <c r="M10" t="s">
        <v>1</v>
      </c>
      <c r="N10" t="s">
        <v>1</v>
      </c>
      <c r="O10" t="s">
        <v>1</v>
      </c>
      <c r="P10">
        <v>17500</v>
      </c>
      <c r="R10" t="s">
        <v>1</v>
      </c>
      <c r="S10" t="s">
        <v>8</v>
      </c>
      <c r="T10" t="s">
        <v>1</v>
      </c>
      <c r="U10" s="3" t="s">
        <v>1</v>
      </c>
      <c r="V10" s="3" t="s">
        <v>3772</v>
      </c>
      <c r="W10" s="3" t="s">
        <v>3773</v>
      </c>
      <c r="X10" t="s">
        <v>3774</v>
      </c>
    </row>
    <row r="11" spans="1:24">
      <c r="A11" s="2">
        <v>46250</v>
      </c>
      <c r="B11" t="s">
        <v>1</v>
      </c>
      <c r="C11" t="s">
        <v>158</v>
      </c>
      <c r="D11" t="s">
        <v>1</v>
      </c>
      <c r="E11" t="s">
        <v>3766</v>
      </c>
      <c r="F11" t="s">
        <v>3775</v>
      </c>
      <c r="G11" t="s">
        <v>3776</v>
      </c>
      <c r="H11" t="s">
        <v>1</v>
      </c>
      <c r="I11">
        <v>1000</v>
      </c>
      <c r="K11">
        <v>40</v>
      </c>
      <c r="M11" t="s">
        <v>1</v>
      </c>
      <c r="N11" t="s">
        <v>1</v>
      </c>
      <c r="O11" t="s">
        <v>1</v>
      </c>
      <c r="P11">
        <v>18244</v>
      </c>
      <c r="R11" t="s">
        <v>1</v>
      </c>
      <c r="S11" t="s">
        <v>107</v>
      </c>
      <c r="T11" t="s">
        <v>3777</v>
      </c>
      <c r="U11" s="3" t="s">
        <v>1</v>
      </c>
      <c r="V11" s="3" t="s">
        <v>3778</v>
      </c>
      <c r="W11" s="3" t="s">
        <v>3779</v>
      </c>
      <c r="X11" t="s">
        <v>992</v>
      </c>
    </row>
    <row r="12" spans="1:24">
      <c r="A12" s="2">
        <v>46249</v>
      </c>
      <c r="B12" t="s">
        <v>1459</v>
      </c>
      <c r="C12" t="s">
        <v>373</v>
      </c>
      <c r="D12" t="s">
        <v>373</v>
      </c>
      <c r="E12" t="s">
        <v>3780</v>
      </c>
      <c r="F12" t="s">
        <v>3734</v>
      </c>
      <c r="G12" t="s">
        <v>1</v>
      </c>
      <c r="H12" t="s">
        <v>1</v>
      </c>
      <c r="I12">
        <v>81</v>
      </c>
      <c r="J12">
        <v>18</v>
      </c>
      <c r="K12">
        <v>9</v>
      </c>
      <c r="M12" t="s">
        <v>1462</v>
      </c>
      <c r="N12" t="s">
        <v>1</v>
      </c>
      <c r="O12" t="s">
        <v>1</v>
      </c>
      <c r="P12">
        <v>7</v>
      </c>
      <c r="R12" t="s">
        <v>1</v>
      </c>
      <c r="S12" t="s">
        <v>58</v>
      </c>
      <c r="T12" t="s">
        <v>3781</v>
      </c>
      <c r="U12" s="3" t="s">
        <v>1</v>
      </c>
      <c r="V12" s="3" t="s">
        <v>3782</v>
      </c>
      <c r="W12" s="3" t="s">
        <v>3783</v>
      </c>
      <c r="X12" t="s">
        <v>1115</v>
      </c>
    </row>
    <row r="13" spans="1:24">
      <c r="A13" s="2">
        <v>46249</v>
      </c>
      <c r="B13" t="s">
        <v>1459</v>
      </c>
      <c r="C13" t="s">
        <v>373</v>
      </c>
      <c r="D13" t="s">
        <v>1</v>
      </c>
      <c r="E13" t="s">
        <v>3784</v>
      </c>
      <c r="F13" t="s">
        <v>3785</v>
      </c>
      <c r="G13" t="s">
        <v>1</v>
      </c>
      <c r="H13" t="s">
        <v>1461</v>
      </c>
      <c r="I13">
        <v>81</v>
      </c>
      <c r="J13">
        <v>18</v>
      </c>
      <c r="K13">
        <v>9</v>
      </c>
      <c r="M13" t="s">
        <v>3786</v>
      </c>
      <c r="N13" t="s">
        <v>1</v>
      </c>
      <c r="O13" t="s">
        <v>1</v>
      </c>
      <c r="P13">
        <v>7</v>
      </c>
      <c r="R13" t="s">
        <v>1</v>
      </c>
      <c r="S13" t="s">
        <v>58</v>
      </c>
      <c r="T13" t="s">
        <v>98</v>
      </c>
      <c r="U13" s="3" t="s">
        <v>1</v>
      </c>
      <c r="V13" s="3" t="s">
        <v>3787</v>
      </c>
      <c r="W13" s="3" t="s">
        <v>3788</v>
      </c>
      <c r="X13" t="s">
        <v>1115</v>
      </c>
    </row>
    <row r="14" spans="1:24">
      <c r="A14" s="2">
        <v>46249</v>
      </c>
      <c r="B14" t="s">
        <v>1</v>
      </c>
      <c r="C14" t="s">
        <v>1</v>
      </c>
      <c r="D14" t="s">
        <v>1</v>
      </c>
      <c r="E14" t="s">
        <v>3789</v>
      </c>
      <c r="F14" t="s">
        <v>3790</v>
      </c>
      <c r="G14" t="s">
        <v>1</v>
      </c>
      <c r="H14" t="s">
        <v>1</v>
      </c>
      <c r="I14">
        <v>500</v>
      </c>
      <c r="J14">
        <v>120</v>
      </c>
      <c r="K14">
        <v>9</v>
      </c>
      <c r="M14" t="s">
        <v>1</v>
      </c>
      <c r="N14" t="s">
        <v>1</v>
      </c>
      <c r="O14" t="s">
        <v>1</v>
      </c>
      <c r="P14">
        <v>3000</v>
      </c>
      <c r="R14" t="s">
        <v>1</v>
      </c>
      <c r="S14" t="s">
        <v>107</v>
      </c>
      <c r="T14" t="s">
        <v>1425</v>
      </c>
      <c r="U14" s="3" t="s">
        <v>1</v>
      </c>
      <c r="V14" s="3" t="s">
        <v>3791</v>
      </c>
      <c r="W14" s="3" t="s">
        <v>3792</v>
      </c>
      <c r="X14" t="s">
        <v>1099</v>
      </c>
    </row>
    <row r="15" spans="1:24">
      <c r="A15" s="2">
        <v>46249</v>
      </c>
      <c r="B15" t="s">
        <v>1</v>
      </c>
      <c r="C15" t="s">
        <v>1</v>
      </c>
      <c r="D15" t="s">
        <v>1</v>
      </c>
      <c r="E15" t="s">
        <v>3793</v>
      </c>
      <c r="F15" t="s">
        <v>3794</v>
      </c>
      <c r="G15" t="s">
        <v>1</v>
      </c>
      <c r="H15" t="s">
        <v>3795</v>
      </c>
      <c r="I15">
        <v>1800</v>
      </c>
      <c r="L15">
        <v>4</v>
      </c>
      <c r="M15" t="s">
        <v>1</v>
      </c>
      <c r="N15" t="s">
        <v>1</v>
      </c>
      <c r="O15" t="s">
        <v>1</v>
      </c>
      <c r="P15">
        <v>300</v>
      </c>
      <c r="R15" t="s">
        <v>1</v>
      </c>
      <c r="S15" t="s">
        <v>58</v>
      </c>
      <c r="T15" t="s">
        <v>3796</v>
      </c>
      <c r="U15" s="3" t="s">
        <v>1</v>
      </c>
      <c r="V15" s="3" t="s">
        <v>3797</v>
      </c>
      <c r="W15" s="3" t="s">
        <v>3798</v>
      </c>
      <c r="X15" t="s">
        <v>1099</v>
      </c>
    </row>
    <row r="16" spans="1:24">
      <c r="A16" s="2">
        <v>46248</v>
      </c>
      <c r="B16" t="s">
        <v>1</v>
      </c>
      <c r="C16" t="s">
        <v>1</v>
      </c>
      <c r="D16" t="s">
        <v>1</v>
      </c>
      <c r="E16" t="s">
        <v>3799</v>
      </c>
      <c r="F16" t="s">
        <v>3800</v>
      </c>
      <c r="G16" t="s">
        <v>1</v>
      </c>
      <c r="H16" t="s">
        <v>1</v>
      </c>
      <c r="I16">
        <v>1000</v>
      </c>
      <c r="M16" t="s">
        <v>1</v>
      </c>
      <c r="N16" t="s">
        <v>1</v>
      </c>
      <c r="O16" t="s">
        <v>1</v>
      </c>
      <c r="P16">
        <v>17500</v>
      </c>
      <c r="R16" t="s">
        <v>1</v>
      </c>
      <c r="S16" t="s">
        <v>107</v>
      </c>
      <c r="T16" t="s">
        <v>9</v>
      </c>
      <c r="U16" s="3" t="s">
        <v>1</v>
      </c>
      <c r="V16" s="3" t="s">
        <v>3801</v>
      </c>
      <c r="W16" s="3" t="s">
        <v>3802</v>
      </c>
      <c r="X16" t="s">
        <v>1162</v>
      </c>
    </row>
    <row r="17" spans="1:24">
      <c r="A17" s="2">
        <v>46248</v>
      </c>
      <c r="B17" t="s">
        <v>1</v>
      </c>
      <c r="C17" t="s">
        <v>1</v>
      </c>
      <c r="D17" t="s">
        <v>1</v>
      </c>
      <c r="E17" t="s">
        <v>3799</v>
      </c>
      <c r="F17" t="s">
        <v>3800</v>
      </c>
      <c r="G17" t="s">
        <v>3803</v>
      </c>
      <c r="H17" t="s">
        <v>1</v>
      </c>
      <c r="I17">
        <v>1000</v>
      </c>
      <c r="K17">
        <v>40</v>
      </c>
      <c r="M17" t="s">
        <v>1</v>
      </c>
      <c r="N17" t="s">
        <v>1</v>
      </c>
      <c r="O17" t="s">
        <v>1</v>
      </c>
      <c r="P17">
        <v>18646</v>
      </c>
      <c r="R17" t="s">
        <v>1</v>
      </c>
      <c r="S17" t="s">
        <v>58</v>
      </c>
      <c r="T17" t="s">
        <v>3804</v>
      </c>
      <c r="U17" s="3" t="s">
        <v>1</v>
      </c>
      <c r="V17" s="3" t="s">
        <v>3805</v>
      </c>
      <c r="W17" s="3" t="s">
        <v>3806</v>
      </c>
      <c r="X17" t="s">
        <v>1099</v>
      </c>
    </row>
    <row r="18" spans="1:24">
      <c r="A18" s="2">
        <v>46248</v>
      </c>
      <c r="B18" t="s">
        <v>1</v>
      </c>
      <c r="C18" t="s">
        <v>1</v>
      </c>
      <c r="D18" t="s">
        <v>1</v>
      </c>
      <c r="E18" t="s">
        <v>3799</v>
      </c>
      <c r="F18" t="s">
        <v>3800</v>
      </c>
      <c r="G18" t="s">
        <v>3776</v>
      </c>
      <c r="H18" t="s">
        <v>1</v>
      </c>
      <c r="M18" t="s">
        <v>1</v>
      </c>
      <c r="N18" t="s">
        <v>1</v>
      </c>
      <c r="O18" t="s">
        <v>1</v>
      </c>
      <c r="R18" t="s">
        <v>1</v>
      </c>
      <c r="S18" t="s">
        <v>1</v>
      </c>
      <c r="T18" t="s">
        <v>1</v>
      </c>
      <c r="U18" s="3" t="s">
        <v>1</v>
      </c>
      <c r="V18" s="3" t="s">
        <v>3807</v>
      </c>
      <c r="W18" s="3" t="s">
        <v>3808</v>
      </c>
      <c r="X18" t="s">
        <v>1115</v>
      </c>
    </row>
    <row r="19" spans="1:24">
      <c r="A19" s="2">
        <v>46248</v>
      </c>
      <c r="B19" t="s">
        <v>1</v>
      </c>
      <c r="C19" t="s">
        <v>1</v>
      </c>
      <c r="D19" t="s">
        <v>1</v>
      </c>
      <c r="E19" t="s">
        <v>3809</v>
      </c>
      <c r="F19" t="s">
        <v>3810</v>
      </c>
      <c r="G19" t="s">
        <v>1</v>
      </c>
      <c r="H19" t="s">
        <v>3809</v>
      </c>
      <c r="I19">
        <v>1800</v>
      </c>
      <c r="L19">
        <v>4</v>
      </c>
      <c r="M19" t="s">
        <v>1</v>
      </c>
      <c r="N19" t="s">
        <v>1</v>
      </c>
      <c r="O19" t="s">
        <v>1</v>
      </c>
      <c r="P19">
        <v>300</v>
      </c>
      <c r="R19" t="s">
        <v>1</v>
      </c>
      <c r="S19" t="s">
        <v>58</v>
      </c>
      <c r="T19" t="s">
        <v>3811</v>
      </c>
      <c r="U19" s="3" t="s">
        <v>1</v>
      </c>
      <c r="V19" s="3" t="s">
        <v>3812</v>
      </c>
      <c r="W19" s="3" t="s">
        <v>3813</v>
      </c>
      <c r="X19" t="s">
        <v>1099</v>
      </c>
    </row>
    <row r="20" spans="1:24">
      <c r="A20" s="2">
        <v>46248</v>
      </c>
      <c r="B20" t="s">
        <v>1</v>
      </c>
      <c r="C20" t="s">
        <v>1</v>
      </c>
      <c r="D20" t="s">
        <v>1</v>
      </c>
      <c r="E20" t="s">
        <v>3814</v>
      </c>
      <c r="F20" t="s">
        <v>3815</v>
      </c>
      <c r="G20" t="s">
        <v>1</v>
      </c>
      <c r="H20" t="s">
        <v>3809</v>
      </c>
      <c r="I20">
        <v>1800</v>
      </c>
      <c r="L20">
        <v>10</v>
      </c>
      <c r="M20" t="s">
        <v>1</v>
      </c>
      <c r="N20" t="s">
        <v>1</v>
      </c>
      <c r="O20" t="s">
        <v>1</v>
      </c>
      <c r="P20">
        <v>300</v>
      </c>
      <c r="R20" t="s">
        <v>1</v>
      </c>
      <c r="S20" t="s">
        <v>58</v>
      </c>
      <c r="T20" t="s">
        <v>98</v>
      </c>
      <c r="U20" s="3" t="s">
        <v>1</v>
      </c>
      <c r="V20" s="3" t="s">
        <v>3816</v>
      </c>
      <c r="W20" s="3" t="s">
        <v>3817</v>
      </c>
      <c r="X20" t="s">
        <v>1099</v>
      </c>
    </row>
    <row r="21" spans="1:24">
      <c r="A21" s="2">
        <v>46248</v>
      </c>
      <c r="B21" t="s">
        <v>1</v>
      </c>
      <c r="C21" t="s">
        <v>1</v>
      </c>
      <c r="D21" t="s">
        <v>1</v>
      </c>
      <c r="E21" t="s">
        <v>3818</v>
      </c>
      <c r="F21" t="s">
        <v>3819</v>
      </c>
      <c r="G21" t="s">
        <v>1</v>
      </c>
      <c r="H21" t="s">
        <v>3820</v>
      </c>
      <c r="I21">
        <v>1800</v>
      </c>
      <c r="L21">
        <v>10</v>
      </c>
      <c r="M21" t="s">
        <v>1</v>
      </c>
      <c r="N21" t="s">
        <v>1</v>
      </c>
      <c r="O21" t="s">
        <v>1</v>
      </c>
      <c r="P21">
        <v>300</v>
      </c>
      <c r="R21" t="s">
        <v>1</v>
      </c>
      <c r="S21" t="s">
        <v>58</v>
      </c>
      <c r="T21" t="s">
        <v>3811</v>
      </c>
      <c r="U21" s="3" t="s">
        <v>1</v>
      </c>
      <c r="V21" s="3" t="s">
        <v>3821</v>
      </c>
      <c r="W21" s="3" t="s">
        <v>3822</v>
      </c>
      <c r="X21" t="s">
        <v>1099</v>
      </c>
    </row>
    <row r="22" spans="1:24">
      <c r="A22" s="2">
        <v>46248</v>
      </c>
      <c r="B22" t="s">
        <v>1</v>
      </c>
      <c r="C22" t="s">
        <v>1</v>
      </c>
      <c r="D22" t="s">
        <v>1</v>
      </c>
      <c r="E22" t="s">
        <v>3823</v>
      </c>
      <c r="F22" t="s">
        <v>3824</v>
      </c>
      <c r="G22" t="s">
        <v>1</v>
      </c>
      <c r="H22" t="s">
        <v>3825</v>
      </c>
      <c r="I22">
        <v>500</v>
      </c>
      <c r="J22">
        <v>120</v>
      </c>
      <c r="K22">
        <v>9</v>
      </c>
      <c r="L22">
        <v>3</v>
      </c>
      <c r="M22" t="s">
        <v>1</v>
      </c>
      <c r="N22" t="s">
        <v>1</v>
      </c>
      <c r="O22" t="s">
        <v>1</v>
      </c>
      <c r="P22">
        <v>3000</v>
      </c>
      <c r="R22" t="s">
        <v>1</v>
      </c>
      <c r="S22" t="s">
        <v>80</v>
      </c>
      <c r="T22" t="s">
        <v>3826</v>
      </c>
      <c r="U22" s="3" t="s">
        <v>1</v>
      </c>
      <c r="V22" s="3" t="s">
        <v>3827</v>
      </c>
      <c r="W22" s="3" t="s">
        <v>3828</v>
      </c>
      <c r="X22" t="s">
        <v>1099</v>
      </c>
    </row>
    <row r="23" spans="1:24">
      <c r="A23" s="2">
        <v>46248</v>
      </c>
      <c r="B23" t="s">
        <v>1</v>
      </c>
      <c r="C23" t="s">
        <v>1</v>
      </c>
      <c r="D23" t="s">
        <v>1</v>
      </c>
      <c r="E23" t="s">
        <v>3829</v>
      </c>
      <c r="F23" t="s">
        <v>3830</v>
      </c>
      <c r="G23" t="s">
        <v>1</v>
      </c>
      <c r="H23" t="s">
        <v>3829</v>
      </c>
      <c r="I23">
        <v>300</v>
      </c>
      <c r="J23">
        <v>83</v>
      </c>
      <c r="K23">
        <v>8</v>
      </c>
      <c r="M23" t="s">
        <v>1</v>
      </c>
      <c r="N23" t="s">
        <v>1</v>
      </c>
      <c r="O23" t="s">
        <v>1</v>
      </c>
      <c r="P23">
        <v>1000</v>
      </c>
      <c r="R23" t="s">
        <v>1</v>
      </c>
      <c r="S23" t="s">
        <v>58</v>
      </c>
      <c r="T23" t="s">
        <v>3831</v>
      </c>
      <c r="U23" s="3" t="s">
        <v>1</v>
      </c>
      <c r="V23" s="3" t="s">
        <v>3832</v>
      </c>
      <c r="W23" s="3" t="s">
        <v>3833</v>
      </c>
      <c r="X23" t="s">
        <v>1099</v>
      </c>
    </row>
    <row r="24" spans="1:24">
      <c r="A24" s="2">
        <v>46248</v>
      </c>
      <c r="B24" t="s">
        <v>1</v>
      </c>
      <c r="C24" t="s">
        <v>1</v>
      </c>
      <c r="D24" t="s">
        <v>1</v>
      </c>
      <c r="E24" t="s">
        <v>3834</v>
      </c>
      <c r="F24" t="s">
        <v>3815</v>
      </c>
      <c r="G24" t="s">
        <v>1</v>
      </c>
      <c r="H24" t="s">
        <v>3809</v>
      </c>
      <c r="I24">
        <v>1800</v>
      </c>
      <c r="L24">
        <v>10</v>
      </c>
      <c r="M24" t="s">
        <v>1</v>
      </c>
      <c r="N24" t="s">
        <v>1</v>
      </c>
      <c r="O24" t="s">
        <v>1</v>
      </c>
      <c r="P24">
        <v>300</v>
      </c>
      <c r="R24" t="s">
        <v>1</v>
      </c>
      <c r="S24" t="s">
        <v>58</v>
      </c>
      <c r="T24" t="s">
        <v>98</v>
      </c>
      <c r="U24" s="3" t="s">
        <v>1</v>
      </c>
      <c r="V24" s="3" t="s">
        <v>3835</v>
      </c>
      <c r="W24" s="3" t="s">
        <v>3836</v>
      </c>
      <c r="X24" t="s">
        <v>1099</v>
      </c>
    </row>
    <row r="25" spans="1:24">
      <c r="A25" s="2">
        <v>46248</v>
      </c>
      <c r="B25" t="s">
        <v>1</v>
      </c>
      <c r="C25" t="s">
        <v>1</v>
      </c>
      <c r="D25" t="s">
        <v>1</v>
      </c>
      <c r="E25" t="s">
        <v>3837</v>
      </c>
      <c r="F25" t="s">
        <v>3838</v>
      </c>
      <c r="G25" t="s">
        <v>1</v>
      </c>
      <c r="H25" t="s">
        <v>1</v>
      </c>
      <c r="I25">
        <v>500</v>
      </c>
      <c r="J25">
        <v>120</v>
      </c>
      <c r="K25">
        <v>9</v>
      </c>
      <c r="L25">
        <v>3</v>
      </c>
      <c r="M25" t="s">
        <v>1</v>
      </c>
      <c r="N25" t="s">
        <v>1</v>
      </c>
      <c r="O25" t="s">
        <v>1</v>
      </c>
      <c r="P25">
        <v>3000</v>
      </c>
      <c r="R25" t="s">
        <v>1</v>
      </c>
      <c r="S25" t="s">
        <v>107</v>
      </c>
      <c r="T25" t="s">
        <v>3826</v>
      </c>
      <c r="U25" s="3" t="s">
        <v>1</v>
      </c>
      <c r="V25" s="3" t="s">
        <v>3839</v>
      </c>
      <c r="W25" s="3" t="s">
        <v>3840</v>
      </c>
      <c r="X25" t="s">
        <v>1162</v>
      </c>
    </row>
    <row r="26" spans="1:24">
      <c r="A26" s="2">
        <v>46248</v>
      </c>
      <c r="B26" t="s">
        <v>1</v>
      </c>
      <c r="C26" t="s">
        <v>1</v>
      </c>
      <c r="D26" t="s">
        <v>1</v>
      </c>
      <c r="E26" t="s">
        <v>3841</v>
      </c>
      <c r="F26" t="s">
        <v>3838</v>
      </c>
      <c r="G26" t="s">
        <v>1</v>
      </c>
      <c r="H26" t="s">
        <v>3842</v>
      </c>
      <c r="I26">
        <v>500</v>
      </c>
      <c r="J26">
        <v>120</v>
      </c>
      <c r="K26">
        <v>9</v>
      </c>
      <c r="L26">
        <v>3</v>
      </c>
      <c r="M26" t="s">
        <v>1</v>
      </c>
      <c r="N26" t="s">
        <v>1</v>
      </c>
      <c r="O26" t="s">
        <v>1</v>
      </c>
      <c r="P26">
        <v>3000</v>
      </c>
      <c r="R26" t="s">
        <v>1</v>
      </c>
      <c r="S26" t="s">
        <v>107</v>
      </c>
      <c r="T26" t="s">
        <v>98</v>
      </c>
      <c r="U26" s="3" t="s">
        <v>1</v>
      </c>
      <c r="V26" s="3" t="s">
        <v>3843</v>
      </c>
      <c r="W26" s="3" t="s">
        <v>3844</v>
      </c>
      <c r="X26" t="s">
        <v>1162</v>
      </c>
    </row>
    <row r="27" spans="1:24">
      <c r="A27" s="2">
        <v>46248</v>
      </c>
      <c r="B27" t="s">
        <v>1</v>
      </c>
      <c r="C27" t="s">
        <v>1</v>
      </c>
      <c r="D27" t="s">
        <v>1</v>
      </c>
      <c r="E27" t="s">
        <v>3845</v>
      </c>
      <c r="F27" t="s">
        <v>3846</v>
      </c>
      <c r="G27" t="s">
        <v>1</v>
      </c>
      <c r="H27" t="s">
        <v>3847</v>
      </c>
      <c r="I27">
        <v>550</v>
      </c>
      <c r="K27">
        <v>6</v>
      </c>
      <c r="L27">
        <v>3</v>
      </c>
      <c r="M27" t="s">
        <v>1</v>
      </c>
      <c r="N27" t="s">
        <v>1</v>
      </c>
      <c r="O27" t="s">
        <v>1</v>
      </c>
      <c r="P27">
        <v>1700</v>
      </c>
      <c r="R27" t="s">
        <v>1</v>
      </c>
      <c r="S27" t="s">
        <v>80</v>
      </c>
      <c r="T27" t="s">
        <v>3848</v>
      </c>
      <c r="U27" s="3" t="s">
        <v>1</v>
      </c>
      <c r="V27" s="3" t="s">
        <v>3849</v>
      </c>
      <c r="W27" s="3" t="s">
        <v>3850</v>
      </c>
      <c r="X27" t="s">
        <v>1099</v>
      </c>
    </row>
    <row r="28" spans="1:24">
      <c r="A28" s="2">
        <v>46248</v>
      </c>
      <c r="B28" t="s">
        <v>1</v>
      </c>
      <c r="C28" t="s">
        <v>1</v>
      </c>
      <c r="D28" t="s">
        <v>1</v>
      </c>
      <c r="E28" t="s">
        <v>3851</v>
      </c>
      <c r="F28" t="s">
        <v>3852</v>
      </c>
      <c r="G28" t="s">
        <v>1</v>
      </c>
      <c r="H28" t="s">
        <v>3853</v>
      </c>
      <c r="I28">
        <v>500</v>
      </c>
      <c r="J28">
        <v>120</v>
      </c>
      <c r="K28">
        <v>9</v>
      </c>
      <c r="L28">
        <v>3</v>
      </c>
      <c r="M28" t="s">
        <v>1</v>
      </c>
      <c r="N28" t="s">
        <v>1</v>
      </c>
      <c r="O28" t="s">
        <v>1</v>
      </c>
      <c r="P28">
        <v>3000</v>
      </c>
      <c r="R28" t="s">
        <v>1</v>
      </c>
      <c r="S28" t="s">
        <v>107</v>
      </c>
      <c r="T28" t="s">
        <v>98</v>
      </c>
      <c r="U28" s="3" t="s">
        <v>1</v>
      </c>
      <c r="V28" s="3" t="s">
        <v>3854</v>
      </c>
      <c r="W28" s="3" t="s">
        <v>3855</v>
      </c>
      <c r="X28" t="s">
        <v>1115</v>
      </c>
    </row>
    <row r="29" spans="1:24">
      <c r="A29" s="2">
        <v>46247</v>
      </c>
      <c r="B29" t="s">
        <v>2369</v>
      </c>
      <c r="C29" t="s">
        <v>182</v>
      </c>
      <c r="D29" t="s">
        <v>1</v>
      </c>
      <c r="E29" t="s">
        <v>3856</v>
      </c>
      <c r="F29" t="s">
        <v>3857</v>
      </c>
      <c r="G29" t="s">
        <v>3858</v>
      </c>
      <c r="H29" t="s">
        <v>3859</v>
      </c>
      <c r="I29">
        <v>253</v>
      </c>
      <c r="J29">
        <v>83</v>
      </c>
      <c r="K29">
        <v>8</v>
      </c>
      <c r="M29" t="s">
        <v>1</v>
      </c>
      <c r="N29" t="s">
        <v>1</v>
      </c>
      <c r="O29" t="s">
        <v>1</v>
      </c>
      <c r="P29">
        <v>1000</v>
      </c>
      <c r="R29" t="s">
        <v>1</v>
      </c>
      <c r="S29" t="s">
        <v>58</v>
      </c>
      <c r="T29" t="s">
        <v>1</v>
      </c>
      <c r="U29" s="3" t="s">
        <v>1</v>
      </c>
      <c r="V29" s="3" t="s">
        <v>3860</v>
      </c>
      <c r="W29" s="3" t="s">
        <v>3861</v>
      </c>
      <c r="X29" t="s">
        <v>1115</v>
      </c>
    </row>
    <row r="30" spans="1:24">
      <c r="A30" s="2">
        <v>46247</v>
      </c>
      <c r="B30" t="s">
        <v>2369</v>
      </c>
      <c r="C30" t="s">
        <v>1</v>
      </c>
      <c r="D30" t="s">
        <v>1</v>
      </c>
      <c r="E30" t="s">
        <v>3862</v>
      </c>
      <c r="F30" t="s">
        <v>3863</v>
      </c>
      <c r="G30" t="s">
        <v>1</v>
      </c>
      <c r="H30" t="s">
        <v>3859</v>
      </c>
      <c r="I30">
        <v>300</v>
      </c>
      <c r="J30">
        <v>83</v>
      </c>
      <c r="K30">
        <v>8</v>
      </c>
      <c r="M30" t="s">
        <v>1</v>
      </c>
      <c r="N30" t="s">
        <v>1</v>
      </c>
      <c r="O30" t="s">
        <v>1</v>
      </c>
      <c r="P30">
        <v>1000</v>
      </c>
      <c r="R30" t="s">
        <v>1</v>
      </c>
      <c r="S30" t="s">
        <v>58</v>
      </c>
      <c r="T30" t="s">
        <v>1</v>
      </c>
      <c r="U30" s="3" t="s">
        <v>1</v>
      </c>
      <c r="V30" s="3" t="s">
        <v>3864</v>
      </c>
      <c r="W30" s="3" t="s">
        <v>3865</v>
      </c>
      <c r="X30" t="s">
        <v>1162</v>
      </c>
    </row>
    <row r="31" spans="1:24">
      <c r="A31" s="2">
        <v>46247</v>
      </c>
      <c r="B31" t="s">
        <v>2369</v>
      </c>
      <c r="C31" t="s">
        <v>1</v>
      </c>
      <c r="D31" t="s">
        <v>1</v>
      </c>
      <c r="E31" t="s">
        <v>3866</v>
      </c>
      <c r="F31" t="s">
        <v>3857</v>
      </c>
      <c r="G31" t="s">
        <v>1</v>
      </c>
      <c r="H31" t="s">
        <v>3856</v>
      </c>
      <c r="I31">
        <v>286</v>
      </c>
      <c r="J31">
        <v>93</v>
      </c>
      <c r="K31">
        <v>7</v>
      </c>
      <c r="M31" t="s">
        <v>1</v>
      </c>
      <c r="N31" t="s">
        <v>1</v>
      </c>
      <c r="O31" t="s">
        <v>1</v>
      </c>
      <c r="P31">
        <v>1000</v>
      </c>
      <c r="R31" t="s">
        <v>1</v>
      </c>
      <c r="S31" t="s">
        <v>58</v>
      </c>
      <c r="T31" t="s">
        <v>3867</v>
      </c>
      <c r="U31" s="3" t="s">
        <v>1</v>
      </c>
      <c r="V31" s="3" t="s">
        <v>3868</v>
      </c>
      <c r="W31" s="3" t="s">
        <v>3869</v>
      </c>
      <c r="X31" t="s">
        <v>1162</v>
      </c>
    </row>
    <row r="32" spans="1:24">
      <c r="A32" s="2">
        <v>46247</v>
      </c>
      <c r="B32" t="s">
        <v>2369</v>
      </c>
      <c r="C32" t="s">
        <v>1</v>
      </c>
      <c r="D32" t="s">
        <v>1</v>
      </c>
      <c r="E32" t="s">
        <v>3870</v>
      </c>
      <c r="F32" t="s">
        <v>3863</v>
      </c>
      <c r="G32" t="s">
        <v>1</v>
      </c>
      <c r="H32" t="s">
        <v>1</v>
      </c>
      <c r="I32">
        <v>253</v>
      </c>
      <c r="J32">
        <v>83</v>
      </c>
      <c r="K32">
        <v>8</v>
      </c>
      <c r="M32" t="s">
        <v>1</v>
      </c>
      <c r="N32" t="s">
        <v>1</v>
      </c>
      <c r="O32" t="s">
        <v>1</v>
      </c>
      <c r="P32">
        <v>1000</v>
      </c>
      <c r="R32" t="s">
        <v>1</v>
      </c>
      <c r="S32" t="s">
        <v>58</v>
      </c>
      <c r="T32" t="s">
        <v>3867</v>
      </c>
      <c r="U32" s="3" t="s">
        <v>1</v>
      </c>
      <c r="V32" s="3" t="s">
        <v>3871</v>
      </c>
      <c r="W32" s="3" t="s">
        <v>3872</v>
      </c>
      <c r="X32" t="s">
        <v>1162</v>
      </c>
    </row>
    <row r="33" spans="1:24">
      <c r="A33" s="2">
        <v>46247</v>
      </c>
      <c r="B33" t="s">
        <v>2369</v>
      </c>
      <c r="C33" t="s">
        <v>1</v>
      </c>
      <c r="D33" t="s">
        <v>1</v>
      </c>
      <c r="E33" t="s">
        <v>3873</v>
      </c>
      <c r="F33" t="s">
        <v>3830</v>
      </c>
      <c r="G33" t="s">
        <v>1</v>
      </c>
      <c r="H33" t="s">
        <v>1</v>
      </c>
      <c r="I33">
        <v>253</v>
      </c>
      <c r="J33">
        <v>83</v>
      </c>
      <c r="K33">
        <v>8</v>
      </c>
      <c r="M33" t="s">
        <v>1</v>
      </c>
      <c r="N33" t="s">
        <v>1</v>
      </c>
      <c r="O33" t="s">
        <v>1</v>
      </c>
      <c r="P33">
        <v>1000</v>
      </c>
      <c r="R33" t="s">
        <v>1</v>
      </c>
      <c r="S33" t="s">
        <v>58</v>
      </c>
      <c r="T33" t="s">
        <v>3867</v>
      </c>
      <c r="U33" s="3" t="s">
        <v>1</v>
      </c>
      <c r="V33" s="3" t="s">
        <v>3871</v>
      </c>
      <c r="W33" s="3" t="s">
        <v>3874</v>
      </c>
      <c r="X33" t="s">
        <v>1162</v>
      </c>
    </row>
    <row r="34" spans="1:24">
      <c r="A34" s="2">
        <v>46247</v>
      </c>
      <c r="B34" t="s">
        <v>118</v>
      </c>
      <c r="C34" t="s">
        <v>1</v>
      </c>
      <c r="D34" t="s">
        <v>3875</v>
      </c>
      <c r="E34" t="s">
        <v>3876</v>
      </c>
      <c r="F34" t="s">
        <v>3877</v>
      </c>
      <c r="G34" t="s">
        <v>1</v>
      </c>
      <c r="H34" t="s">
        <v>3878</v>
      </c>
      <c r="I34">
        <v>100</v>
      </c>
      <c r="J34">
        <v>30</v>
      </c>
      <c r="M34" t="s">
        <v>3879</v>
      </c>
      <c r="N34" t="s">
        <v>1</v>
      </c>
      <c r="O34" t="s">
        <v>1</v>
      </c>
      <c r="P34">
        <v>202</v>
      </c>
      <c r="R34" t="s">
        <v>1</v>
      </c>
      <c r="S34" t="s">
        <v>58</v>
      </c>
      <c r="T34" t="s">
        <v>98</v>
      </c>
      <c r="U34" s="3" t="s">
        <v>1</v>
      </c>
      <c r="V34" s="3" t="s">
        <v>3880</v>
      </c>
      <c r="W34" s="3" t="s">
        <v>3881</v>
      </c>
      <c r="X34" t="s">
        <v>1115</v>
      </c>
    </row>
    <row r="35" spans="1:24">
      <c r="A35" s="2">
        <v>46247</v>
      </c>
      <c r="B35" t="s">
        <v>2624</v>
      </c>
      <c r="C35" t="s">
        <v>1</v>
      </c>
      <c r="D35" t="s">
        <v>1</v>
      </c>
      <c r="E35" t="s">
        <v>3882</v>
      </c>
      <c r="F35" t="s">
        <v>3815</v>
      </c>
      <c r="G35" t="s">
        <v>1</v>
      </c>
      <c r="H35" t="s">
        <v>3883</v>
      </c>
      <c r="I35">
        <v>1800</v>
      </c>
      <c r="M35" t="s">
        <v>1</v>
      </c>
      <c r="N35" t="s">
        <v>1</v>
      </c>
      <c r="O35" t="s">
        <v>1</v>
      </c>
      <c r="P35">
        <v>300</v>
      </c>
      <c r="R35" t="s">
        <v>1</v>
      </c>
      <c r="S35" t="s">
        <v>58</v>
      </c>
      <c r="T35" t="s">
        <v>587</v>
      </c>
      <c r="U35" s="3" t="s">
        <v>1</v>
      </c>
      <c r="V35" s="3" t="s">
        <v>3884</v>
      </c>
      <c r="W35" s="3" t="s">
        <v>3885</v>
      </c>
      <c r="X35" t="s">
        <v>1162</v>
      </c>
    </row>
    <row r="36" spans="1:24">
      <c r="A36" s="2">
        <v>46247</v>
      </c>
      <c r="B36" t="s">
        <v>1</v>
      </c>
      <c r="C36" t="s">
        <v>1</v>
      </c>
      <c r="D36" t="s">
        <v>1</v>
      </c>
      <c r="E36" t="s">
        <v>3886</v>
      </c>
      <c r="F36" t="s">
        <v>3887</v>
      </c>
      <c r="G36" t="s">
        <v>1</v>
      </c>
      <c r="H36" t="s">
        <v>1</v>
      </c>
      <c r="I36">
        <v>1000</v>
      </c>
      <c r="M36" t="s">
        <v>1</v>
      </c>
      <c r="N36" t="s">
        <v>1</v>
      </c>
      <c r="O36" t="s">
        <v>1</v>
      </c>
      <c r="P36">
        <v>17500</v>
      </c>
      <c r="R36" t="s">
        <v>1</v>
      </c>
      <c r="S36" t="s">
        <v>8</v>
      </c>
      <c r="T36" t="s">
        <v>9</v>
      </c>
      <c r="U36" s="3" t="s">
        <v>1</v>
      </c>
      <c r="V36" s="3" t="s">
        <v>3888</v>
      </c>
      <c r="W36" s="3" t="s">
        <v>3889</v>
      </c>
      <c r="X36" t="s">
        <v>1162</v>
      </c>
    </row>
    <row r="37" spans="1:24">
      <c r="A37" s="2">
        <v>46247</v>
      </c>
      <c r="B37" t="s">
        <v>1</v>
      </c>
      <c r="C37" t="s">
        <v>1</v>
      </c>
      <c r="D37" t="s">
        <v>1</v>
      </c>
      <c r="E37" t="s">
        <v>3890</v>
      </c>
      <c r="F37" t="s">
        <v>3846</v>
      </c>
      <c r="G37" t="s">
        <v>1</v>
      </c>
      <c r="H37" t="s">
        <v>3847</v>
      </c>
      <c r="I37">
        <v>550</v>
      </c>
      <c r="K37">
        <v>8</v>
      </c>
      <c r="L37">
        <v>2</v>
      </c>
      <c r="M37" t="s">
        <v>3891</v>
      </c>
      <c r="N37" t="s">
        <v>1</v>
      </c>
      <c r="O37" t="s">
        <v>1</v>
      </c>
      <c r="P37">
        <v>1580</v>
      </c>
      <c r="R37" t="s">
        <v>1</v>
      </c>
      <c r="S37" t="s">
        <v>80</v>
      </c>
      <c r="T37" t="s">
        <v>3892</v>
      </c>
      <c r="U37" s="3" t="s">
        <v>1</v>
      </c>
      <c r="V37" s="3" t="s">
        <v>3893</v>
      </c>
      <c r="W37" s="3" t="s">
        <v>3894</v>
      </c>
      <c r="X37" t="s">
        <v>1162</v>
      </c>
    </row>
    <row r="38" spans="1:24">
      <c r="A38" s="2">
        <v>46244</v>
      </c>
      <c r="B38" t="s">
        <v>1</v>
      </c>
      <c r="C38" t="s">
        <v>1</v>
      </c>
      <c r="D38" t="s">
        <v>1</v>
      </c>
      <c r="E38" t="s">
        <v>3895</v>
      </c>
      <c r="F38" t="s">
        <v>3896</v>
      </c>
      <c r="G38" t="s">
        <v>1</v>
      </c>
      <c r="H38" t="s">
        <v>3897</v>
      </c>
      <c r="K38">
        <v>2</v>
      </c>
      <c r="L38">
        <v>1</v>
      </c>
      <c r="M38" t="s">
        <v>1</v>
      </c>
      <c r="N38" t="s">
        <v>1</v>
      </c>
      <c r="O38" t="s">
        <v>3898</v>
      </c>
      <c r="P38">
        <v>1000.0</v>
      </c>
      <c r="R38" t="s">
        <v>1</v>
      </c>
      <c r="S38" t="s">
        <v>107</v>
      </c>
      <c r="T38" t="s">
        <v>9</v>
      </c>
      <c r="U38" s="3" t="s">
        <v>1</v>
      </c>
      <c r="V38" s="3" t="s">
        <v>3899</v>
      </c>
      <c r="W38" s="3" t="s">
        <v>4953</v>
      </c>
      <c r="X38" t="s">
        <v>3774</v>
      </c>
    </row>
    <row r="39" spans="1:24">
      <c r="A39" s="2">
        <v>46244</v>
      </c>
      <c r="B39" t="s">
        <v>1</v>
      </c>
      <c r="C39" t="s">
        <v>1</v>
      </c>
      <c r="D39" t="s">
        <v>1</v>
      </c>
      <c r="E39" t="s">
        <v>3901</v>
      </c>
      <c r="F39" t="s">
        <v>3902</v>
      </c>
      <c r="G39" t="s">
        <v>1</v>
      </c>
      <c r="H39" t="s">
        <v>3903</v>
      </c>
      <c r="K39">
        <v>2</v>
      </c>
      <c r="L39">
        <v>1</v>
      </c>
      <c r="M39" t="s">
        <v>3904</v>
      </c>
      <c r="N39" t="s">
        <v>1</v>
      </c>
      <c r="O39" t="s">
        <v>3898</v>
      </c>
      <c r="P39">
        <v>0</v>
      </c>
      <c r="R39" t="s">
        <v>1</v>
      </c>
      <c r="S39" t="s">
        <v>107</v>
      </c>
      <c r="T39" t="s">
        <v>3905</v>
      </c>
      <c r="U39" s="3" t="s">
        <v>1</v>
      </c>
      <c r="V39" s="3" t="s">
        <v>3906</v>
      </c>
      <c r="W39" s="3" t="s">
        <v>4954</v>
      </c>
      <c r="X39" t="s">
        <v>3774</v>
      </c>
    </row>
    <row r="40" spans="1:24">
      <c r="A40" s="2">
        <v>46244</v>
      </c>
      <c r="B40" t="s">
        <v>1</v>
      </c>
      <c r="C40" t="s">
        <v>1</v>
      </c>
      <c r="D40" t="s">
        <v>1</v>
      </c>
      <c r="E40" t="s">
        <v>3908</v>
      </c>
      <c r="F40" t="s">
        <v>3909</v>
      </c>
      <c r="G40" t="s">
        <v>1</v>
      </c>
      <c r="H40" t="s">
        <v>3910</v>
      </c>
      <c r="K40">
        <v>2</v>
      </c>
      <c r="L40">
        <v>1</v>
      </c>
      <c r="M40" t="s">
        <v>3904</v>
      </c>
      <c r="N40" t="s">
        <v>1</v>
      </c>
      <c r="O40" t="s">
        <v>3898</v>
      </c>
      <c r="P40">
        <v>0</v>
      </c>
      <c r="R40" t="s">
        <v>1</v>
      </c>
      <c r="S40" t="s">
        <v>107</v>
      </c>
      <c r="T40" t="s">
        <v>3905</v>
      </c>
      <c r="U40" s="3" t="s">
        <v>1</v>
      </c>
      <c r="V40" s="3" t="s">
        <v>3911</v>
      </c>
      <c r="W40" s="3" t="s">
        <v>4955</v>
      </c>
      <c r="X40" t="s">
        <v>3774</v>
      </c>
    </row>
    <row r="41" spans="1:24">
      <c r="A41" s="2">
        <v>46244</v>
      </c>
      <c r="B41" t="s">
        <v>1</v>
      </c>
      <c r="C41" t="s">
        <v>1</v>
      </c>
      <c r="D41" t="s">
        <v>1</v>
      </c>
      <c r="E41" t="s">
        <v>3913</v>
      </c>
      <c r="F41" t="s">
        <v>3914</v>
      </c>
      <c r="G41" t="s">
        <v>1</v>
      </c>
      <c r="H41" t="s">
        <v>3910</v>
      </c>
      <c r="K41">
        <v>1</v>
      </c>
      <c r="L41">
        <v>1</v>
      </c>
      <c r="M41" t="s">
        <v>3904</v>
      </c>
      <c r="N41" t="s">
        <v>1</v>
      </c>
      <c r="O41" t="s">
        <v>1</v>
      </c>
      <c r="P41">
        <v>0</v>
      </c>
      <c r="R41" t="s">
        <v>1</v>
      </c>
      <c r="S41" t="s">
        <v>107</v>
      </c>
      <c r="T41" t="s">
        <v>3905</v>
      </c>
      <c r="U41" s="3" t="s">
        <v>1</v>
      </c>
      <c r="V41" s="3" t="s">
        <v>3915</v>
      </c>
      <c r="W41" s="3" t="s">
        <v>4956</v>
      </c>
      <c r="X41" t="s">
        <v>3774</v>
      </c>
    </row>
    <row r="42" spans="1:24">
      <c r="A42" s="2">
        <v>46244</v>
      </c>
      <c r="B42" t="s">
        <v>1</v>
      </c>
      <c r="C42" t="s">
        <v>3917</v>
      </c>
      <c r="D42" t="s">
        <v>1</v>
      </c>
      <c r="E42" t="s">
        <v>3918</v>
      </c>
      <c r="F42" t="s">
        <v>3919</v>
      </c>
      <c r="G42" t="s">
        <v>1</v>
      </c>
      <c r="H42" t="s">
        <v>3920</v>
      </c>
      <c r="K42">
        <v>7</v>
      </c>
      <c r="M42" t="s">
        <v>3921</v>
      </c>
      <c r="N42" t="s">
        <v>1</v>
      </c>
      <c r="O42" t="s">
        <v>1</v>
      </c>
      <c r="P42">
        <v>970</v>
      </c>
      <c r="R42" t="s">
        <v>1</v>
      </c>
      <c r="S42" t="s">
        <v>58</v>
      </c>
      <c r="T42" t="s">
        <v>3922</v>
      </c>
      <c r="U42" s="3" t="s">
        <v>1</v>
      </c>
      <c r="V42" s="3" t="s">
        <v>3923</v>
      </c>
      <c r="W42" s="3" t="s">
        <v>3924</v>
      </c>
      <c r="X42" t="s">
        <v>3774</v>
      </c>
    </row>
    <row r="43" spans="1:24">
      <c r="A43" s="2">
        <v>46244</v>
      </c>
      <c r="B43" t="s">
        <v>1</v>
      </c>
      <c r="C43" t="s">
        <v>1</v>
      </c>
      <c r="D43" t="s">
        <v>1</v>
      </c>
      <c r="E43" t="s">
        <v>3925</v>
      </c>
      <c r="F43" t="s">
        <v>3926</v>
      </c>
      <c r="G43" t="s">
        <v>1</v>
      </c>
      <c r="H43" t="s">
        <v>3927</v>
      </c>
      <c r="I43">
        <v>1116</v>
      </c>
      <c r="J43">
        <v>337</v>
      </c>
      <c r="K43">
        <v>33</v>
      </c>
      <c r="M43" t="s">
        <v>3928</v>
      </c>
      <c r="N43" t="s">
        <v>1</v>
      </c>
      <c r="O43" t="s">
        <v>1</v>
      </c>
      <c r="P43">
        <v>0</v>
      </c>
      <c r="R43" t="s">
        <v>1</v>
      </c>
      <c r="S43" t="s">
        <v>107</v>
      </c>
      <c r="T43" t="s">
        <v>3929</v>
      </c>
      <c r="U43" s="3" t="s">
        <v>1</v>
      </c>
      <c r="V43" s="3" t="s">
        <v>3930</v>
      </c>
      <c r="W43" s="3" t="s">
        <v>4928</v>
      </c>
      <c r="X43" t="s">
        <v>3774</v>
      </c>
    </row>
    <row r="44" spans="1:24">
      <c r="A44" s="2">
        <v>46244</v>
      </c>
      <c r="B44" t="s">
        <v>1</v>
      </c>
      <c r="C44" t="s">
        <v>3932</v>
      </c>
      <c r="D44" t="s">
        <v>1</v>
      </c>
      <c r="E44" t="s">
        <v>3933</v>
      </c>
      <c r="F44" t="s">
        <v>3934</v>
      </c>
      <c r="G44" t="s">
        <v>1</v>
      </c>
      <c r="H44" t="s">
        <v>3935</v>
      </c>
      <c r="I44">
        <v>300</v>
      </c>
      <c r="J44">
        <v>50</v>
      </c>
      <c r="K44">
        <v>21</v>
      </c>
      <c r="M44" t="s">
        <v>1</v>
      </c>
      <c r="N44" t="s">
        <v>1</v>
      </c>
      <c r="O44" t="s">
        <v>1</v>
      </c>
      <c r="P44">
        <v>0</v>
      </c>
      <c r="R44" t="s">
        <v>1</v>
      </c>
      <c r="S44" t="s">
        <v>80</v>
      </c>
      <c r="T44" t="s">
        <v>1</v>
      </c>
      <c r="U44" s="3" t="s">
        <v>1</v>
      </c>
      <c r="V44" s="3" t="s">
        <v>3936</v>
      </c>
      <c r="W44" s="3" t="s">
        <v>4958</v>
      </c>
      <c r="X44" t="s">
        <v>3774</v>
      </c>
    </row>
    <row r="45" spans="1:24">
      <c r="A45" s="2">
        <v>46244</v>
      </c>
      <c r="B45" t="s">
        <v>1</v>
      </c>
      <c r="C45" t="s">
        <v>1</v>
      </c>
      <c r="D45" t="s">
        <v>1</v>
      </c>
      <c r="E45" t="s">
        <v>3938</v>
      </c>
      <c r="F45" t="s">
        <v>3939</v>
      </c>
      <c r="G45" t="s">
        <v>1</v>
      </c>
      <c r="H45" t="s">
        <v>1</v>
      </c>
      <c r="M45" t="s">
        <v>1</v>
      </c>
      <c r="N45" t="s">
        <v>1</v>
      </c>
      <c r="O45" t="s">
        <v>1</v>
      </c>
      <c r="P45">
        <v>10000</v>
      </c>
      <c r="R45" t="s">
        <v>1</v>
      </c>
      <c r="S45" t="s">
        <v>8</v>
      </c>
      <c r="T45" t="s">
        <v>1</v>
      </c>
      <c r="U45" s="3" t="s">
        <v>1</v>
      </c>
      <c r="V45" s="3" t="s">
        <v>3940</v>
      </c>
      <c r="W45" s="3" t="s">
        <v>3941</v>
      </c>
      <c r="X45" t="s">
        <v>1334</v>
      </c>
    </row>
    <row r="46" spans="1:24">
      <c r="A46" s="2">
        <v>46243</v>
      </c>
      <c r="B46" t="s">
        <v>1</v>
      </c>
      <c r="C46" t="s">
        <v>1</v>
      </c>
      <c r="D46" t="s">
        <v>1</v>
      </c>
      <c r="E46" t="s">
        <v>3942</v>
      </c>
      <c r="F46" t="s">
        <v>3943</v>
      </c>
      <c r="G46" t="s">
        <v>1</v>
      </c>
      <c r="H46" t="s">
        <v>3944</v>
      </c>
      <c r="I46">
        <v>875</v>
      </c>
      <c r="J46">
        <v>352</v>
      </c>
      <c r="K46">
        <v>33</v>
      </c>
      <c r="M46" t="s">
        <v>3945</v>
      </c>
      <c r="N46" t="s">
        <v>1</v>
      </c>
      <c r="O46" t="s">
        <v>1</v>
      </c>
      <c r="P46">
        <v>0</v>
      </c>
      <c r="R46" t="s">
        <v>1</v>
      </c>
      <c r="S46" t="s">
        <v>80</v>
      </c>
      <c r="T46" t="s">
        <v>3946</v>
      </c>
      <c r="U46" s="3" t="s">
        <v>1</v>
      </c>
      <c r="V46" s="3" t="s">
        <v>3947</v>
      </c>
      <c r="W46" s="3" t="s">
        <v>4882</v>
      </c>
      <c r="X46" t="s">
        <v>1355</v>
      </c>
    </row>
    <row r="47" spans="1:24">
      <c r="A47" s="2">
        <v>46243</v>
      </c>
      <c r="B47" t="s">
        <v>1</v>
      </c>
      <c r="C47" t="s">
        <v>1</v>
      </c>
      <c r="D47" t="s">
        <v>1</v>
      </c>
      <c r="E47" t="s">
        <v>3949</v>
      </c>
      <c r="F47" t="s">
        <v>3950</v>
      </c>
      <c r="G47" t="s">
        <v>1</v>
      </c>
      <c r="H47" t="s">
        <v>1</v>
      </c>
      <c r="I47">
        <v>875</v>
      </c>
      <c r="J47">
        <v>352</v>
      </c>
      <c r="K47">
        <v>33</v>
      </c>
      <c r="M47" t="s">
        <v>3951</v>
      </c>
      <c r="N47" t="s">
        <v>1</v>
      </c>
      <c r="O47" t="s">
        <v>1</v>
      </c>
      <c r="P47">
        <v>0</v>
      </c>
      <c r="R47" t="s">
        <v>1</v>
      </c>
      <c r="S47" t="s">
        <v>80</v>
      </c>
      <c r="T47" t="s">
        <v>3946</v>
      </c>
      <c r="U47" s="3" t="s">
        <v>1</v>
      </c>
      <c r="V47" s="3" t="s">
        <v>3952</v>
      </c>
      <c r="W47" s="3" t="s">
        <v>4929</v>
      </c>
      <c r="X47" t="s">
        <v>1355</v>
      </c>
    </row>
    <row r="48" spans="1:24">
      <c r="A48" s="2">
        <v>46243</v>
      </c>
      <c r="B48" t="s">
        <v>1</v>
      </c>
      <c r="C48" t="s">
        <v>1</v>
      </c>
      <c r="D48" t="s">
        <v>1</v>
      </c>
      <c r="E48" t="s">
        <v>3954</v>
      </c>
      <c r="F48" t="s">
        <v>3955</v>
      </c>
      <c r="G48" t="s">
        <v>1</v>
      </c>
      <c r="H48" t="s">
        <v>3956</v>
      </c>
      <c r="I48">
        <v>875</v>
      </c>
      <c r="J48">
        <v>352</v>
      </c>
      <c r="K48">
        <v>33</v>
      </c>
      <c r="L48">
        <v>0</v>
      </c>
      <c r="M48" t="s">
        <v>3957</v>
      </c>
      <c r="N48" t="s">
        <v>1</v>
      </c>
      <c r="O48" t="s">
        <v>1</v>
      </c>
      <c r="P48">
        <v>0</v>
      </c>
      <c r="R48" t="s">
        <v>1</v>
      </c>
      <c r="S48" t="s">
        <v>80</v>
      </c>
      <c r="T48" t="s">
        <v>3958</v>
      </c>
      <c r="U48" s="3" t="s">
        <v>1</v>
      </c>
      <c r="V48" s="3" t="s">
        <v>3959</v>
      </c>
      <c r="W48" s="3" t="s">
        <v>4883</v>
      </c>
      <c r="X48" t="s">
        <v>1355</v>
      </c>
    </row>
    <row r="49" spans="1:24">
      <c r="A49" s="2">
        <v>46243</v>
      </c>
      <c r="B49" t="s">
        <v>1</v>
      </c>
      <c r="C49" t="s">
        <v>1</v>
      </c>
      <c r="D49" t="s">
        <v>1</v>
      </c>
      <c r="E49" t="s">
        <v>3961</v>
      </c>
      <c r="F49" t="s">
        <v>3962</v>
      </c>
      <c r="G49" t="s">
        <v>3963</v>
      </c>
      <c r="H49" t="s">
        <v>3964</v>
      </c>
      <c r="I49">
        <v>875</v>
      </c>
      <c r="J49">
        <v>352</v>
      </c>
      <c r="K49">
        <v>33</v>
      </c>
      <c r="M49" t="s">
        <v>3951</v>
      </c>
      <c r="N49" t="s">
        <v>1</v>
      </c>
      <c r="O49" t="s">
        <v>1</v>
      </c>
      <c r="P49">
        <v>0</v>
      </c>
      <c r="R49" t="s">
        <v>1</v>
      </c>
      <c r="S49" t="s">
        <v>80</v>
      </c>
      <c r="T49" t="s">
        <v>3946</v>
      </c>
      <c r="U49" s="3" t="s">
        <v>1</v>
      </c>
      <c r="V49" s="3" t="s">
        <v>3965</v>
      </c>
      <c r="W49" s="3" t="s">
        <v>4930</v>
      </c>
      <c r="X49" t="s">
        <v>1355</v>
      </c>
    </row>
    <row r="50" spans="1:24">
      <c r="A50" s="2">
        <v>46242</v>
      </c>
      <c r="B50" t="s">
        <v>1</v>
      </c>
      <c r="C50" t="s">
        <v>1</v>
      </c>
      <c r="D50" t="s">
        <v>1</v>
      </c>
      <c r="E50" t="s">
        <v>3967</v>
      </c>
      <c r="F50" t="s">
        <v>3968</v>
      </c>
      <c r="G50" t="s">
        <v>1</v>
      </c>
      <c r="H50" t="s">
        <v>3967</v>
      </c>
      <c r="I50">
        <v>875</v>
      </c>
      <c r="K50">
        <v>33</v>
      </c>
      <c r="M50" t="s">
        <v>3969</v>
      </c>
      <c r="N50" t="s">
        <v>1</v>
      </c>
      <c r="O50" t="s">
        <v>1</v>
      </c>
      <c r="P50">
        <v>20784.0</v>
      </c>
      <c r="R50" t="s">
        <v>1</v>
      </c>
      <c r="S50" t="s">
        <v>107</v>
      </c>
      <c r="T50" t="s">
        <v>1</v>
      </c>
      <c r="U50" s="3" t="s">
        <v>1</v>
      </c>
      <c r="V50" s="3" t="s">
        <v>3970</v>
      </c>
      <c r="W50" s="3" t="s">
        <v>4927</v>
      </c>
      <c r="X50" t="s">
        <v>1334</v>
      </c>
    </row>
    <row r="51" spans="1:24">
      <c r="A51" s="2">
        <v>46242</v>
      </c>
      <c r="B51" t="s">
        <v>1</v>
      </c>
      <c r="C51" t="s">
        <v>3932</v>
      </c>
      <c r="D51" t="s">
        <v>1</v>
      </c>
      <c r="E51" t="s">
        <v>3972</v>
      </c>
      <c r="F51" t="s">
        <v>3973</v>
      </c>
      <c r="G51" t="s">
        <v>1</v>
      </c>
      <c r="H51" t="s">
        <v>3974</v>
      </c>
      <c r="I51">
        <v>300</v>
      </c>
      <c r="J51">
        <v>50</v>
      </c>
      <c r="K51">
        <v>19</v>
      </c>
      <c r="M51" t="s">
        <v>3975</v>
      </c>
      <c r="N51" t="s">
        <v>1</v>
      </c>
      <c r="O51" t="s">
        <v>1</v>
      </c>
      <c r="P51">
        <v>810.0</v>
      </c>
      <c r="R51" t="s">
        <v>1</v>
      </c>
      <c r="S51" t="s">
        <v>58</v>
      </c>
      <c r="T51" t="s">
        <v>3976</v>
      </c>
      <c r="U51" s="3" t="s">
        <v>1</v>
      </c>
      <c r="V51" s="3" t="s">
        <v>3977</v>
      </c>
      <c r="W51" s="3" t="s">
        <v>4957</v>
      </c>
      <c r="X51" t="s">
        <v>1334</v>
      </c>
    </row>
    <row r="52" spans="1:24">
      <c r="A52" s="2">
        <v>46241</v>
      </c>
      <c r="B52" t="s">
        <v>1</v>
      </c>
      <c r="C52" t="s">
        <v>1</v>
      </c>
      <c r="D52" t="s">
        <v>1</v>
      </c>
      <c r="E52" t="s">
        <v>3979</v>
      </c>
      <c r="F52" t="s">
        <v>3980</v>
      </c>
      <c r="G52" t="s">
        <v>1</v>
      </c>
      <c r="H52" t="s">
        <v>3981</v>
      </c>
      <c r="M52" t="s">
        <v>1</v>
      </c>
      <c r="N52" t="s">
        <v>1</v>
      </c>
      <c r="O52" t="s">
        <v>1</v>
      </c>
      <c r="R52" t="s">
        <v>1</v>
      </c>
      <c r="S52" t="s">
        <v>8</v>
      </c>
      <c r="T52" t="s">
        <v>1</v>
      </c>
      <c r="U52" s="3" t="s">
        <v>1</v>
      </c>
      <c r="V52" s="3" t="s">
        <v>3982</v>
      </c>
      <c r="W52" s="3" t="s">
        <v>3983</v>
      </c>
      <c r="X52" t="s">
        <v>1694</v>
      </c>
    </row>
    <row r="53" spans="1:24">
      <c r="A53" s="2">
        <v>46241</v>
      </c>
      <c r="B53" t="s">
        <v>1</v>
      </c>
      <c r="C53" t="s">
        <v>1</v>
      </c>
      <c r="D53" t="s">
        <v>1</v>
      </c>
      <c r="E53" t="s">
        <v>3925</v>
      </c>
      <c r="F53" t="s">
        <v>3926</v>
      </c>
      <c r="G53" t="s">
        <v>1</v>
      </c>
      <c r="H53" t="s">
        <v>3984</v>
      </c>
      <c r="I53">
        <v>1116</v>
      </c>
      <c r="J53">
        <v>337</v>
      </c>
      <c r="K53">
        <v>33</v>
      </c>
      <c r="M53" t="s">
        <v>1</v>
      </c>
      <c r="N53" t="s">
        <v>1</v>
      </c>
      <c r="O53" t="s">
        <v>1</v>
      </c>
      <c r="P53">
        <v>0</v>
      </c>
      <c r="R53" t="s">
        <v>1</v>
      </c>
      <c r="S53" t="s">
        <v>107</v>
      </c>
      <c r="T53" t="s">
        <v>3929</v>
      </c>
      <c r="U53" s="3" t="s">
        <v>1</v>
      </c>
      <c r="V53" s="3" t="s">
        <v>3985</v>
      </c>
      <c r="W53" s="3" t="s">
        <v>4931</v>
      </c>
      <c r="X53" t="s">
        <v>1442</v>
      </c>
    </row>
    <row r="54" spans="1:24">
      <c r="A54" s="2">
        <v>46240</v>
      </c>
      <c r="B54" t="s">
        <v>1</v>
      </c>
      <c r="C54" t="s">
        <v>1</v>
      </c>
      <c r="D54" t="s">
        <v>1</v>
      </c>
      <c r="E54" t="s">
        <v>3987</v>
      </c>
      <c r="F54" t="s">
        <v>3988</v>
      </c>
      <c r="G54" t="s">
        <v>3989</v>
      </c>
      <c r="H54" t="s">
        <v>3990</v>
      </c>
      <c r="M54" t="s">
        <v>1</v>
      </c>
      <c r="N54" t="s">
        <v>1</v>
      </c>
      <c r="O54" t="s">
        <v>1</v>
      </c>
      <c r="R54" t="s">
        <v>1</v>
      </c>
      <c r="S54" t="s">
        <v>1</v>
      </c>
      <c r="T54" t="s">
        <v>1</v>
      </c>
      <c r="U54" s="3" t="s">
        <v>1</v>
      </c>
      <c r="V54" s="3" t="s">
        <v>3991</v>
      </c>
      <c r="W54" s="3" t="s">
        <v>1</v>
      </c>
      <c r="X54" t="s">
        <v>1886</v>
      </c>
    </row>
    <row r="55" spans="1:24">
      <c r="A55" s="2">
        <v>46239</v>
      </c>
      <c r="B55" t="s">
        <v>1</v>
      </c>
      <c r="C55" t="s">
        <v>1</v>
      </c>
      <c r="D55" t="s">
        <v>1</v>
      </c>
      <c r="E55" t="s">
        <v>3992</v>
      </c>
      <c r="F55" t="s">
        <v>3993</v>
      </c>
      <c r="G55" t="s">
        <v>1</v>
      </c>
      <c r="H55" t="s">
        <v>3994</v>
      </c>
      <c r="M55" t="s">
        <v>1</v>
      </c>
      <c r="N55" t="s">
        <v>1</v>
      </c>
      <c r="O55" t="s">
        <v>1</v>
      </c>
      <c r="P55">
        <v>0</v>
      </c>
      <c r="R55" t="s">
        <v>1</v>
      </c>
      <c r="S55" t="s">
        <v>107</v>
      </c>
      <c r="T55" t="s">
        <v>3995</v>
      </c>
      <c r="U55" s="3" t="s">
        <v>1</v>
      </c>
      <c r="V55" s="3" t="s">
        <v>3996</v>
      </c>
      <c r="W55" s="3" t="s">
        <v>4920</v>
      </c>
      <c r="X55" t="s">
        <v>1694</v>
      </c>
    </row>
    <row r="56" spans="1:24">
      <c r="A56" s="2">
        <v>46239</v>
      </c>
      <c r="B56" t="s">
        <v>1</v>
      </c>
      <c r="C56" t="s">
        <v>1</v>
      </c>
      <c r="D56" t="s">
        <v>1</v>
      </c>
      <c r="E56" t="s">
        <v>3998</v>
      </c>
      <c r="F56" t="s">
        <v>3999</v>
      </c>
      <c r="G56" t="s">
        <v>1</v>
      </c>
      <c r="H56" t="s">
        <v>4000</v>
      </c>
      <c r="I56">
        <v>1500</v>
      </c>
      <c r="K56">
        <v>6</v>
      </c>
      <c r="L56">
        <v>5</v>
      </c>
      <c r="M56" t="s">
        <v>1</v>
      </c>
      <c r="N56" t="s">
        <v>1</v>
      </c>
      <c r="O56" t="s">
        <v>1</v>
      </c>
      <c r="P56">
        <v>0</v>
      </c>
      <c r="R56" t="s">
        <v>1</v>
      </c>
      <c r="S56" t="s">
        <v>107</v>
      </c>
      <c r="T56" t="s">
        <v>4001</v>
      </c>
      <c r="U56" s="3" t="s">
        <v>1</v>
      </c>
      <c r="V56" s="3" t="s">
        <v>4002</v>
      </c>
      <c r="W56" s="3" t="s">
        <v>4939</v>
      </c>
      <c r="X56" t="s">
        <v>1617</v>
      </c>
    </row>
    <row r="57" spans="1:24">
      <c r="A57" s="2">
        <v>46238</v>
      </c>
      <c r="B57" t="s">
        <v>1138</v>
      </c>
      <c r="C57" t="s">
        <v>1</v>
      </c>
      <c r="D57" t="s">
        <v>1</v>
      </c>
      <c r="E57" t="s">
        <v>4004</v>
      </c>
      <c r="F57" t="s">
        <v>4005</v>
      </c>
      <c r="G57" t="s">
        <v>1</v>
      </c>
      <c r="H57" t="s">
        <v>4006</v>
      </c>
      <c r="I57">
        <v>300</v>
      </c>
      <c r="L57">
        <v>2</v>
      </c>
      <c r="M57" t="s">
        <v>1</v>
      </c>
      <c r="N57" t="s">
        <v>1</v>
      </c>
      <c r="O57" t="s">
        <v>1</v>
      </c>
      <c r="P57">
        <v>100</v>
      </c>
      <c r="R57" t="s">
        <v>1</v>
      </c>
      <c r="S57" t="s">
        <v>80</v>
      </c>
      <c r="T57" t="s">
        <v>4007</v>
      </c>
      <c r="U57" s="3" t="s">
        <v>4008</v>
      </c>
      <c r="V57" s="3" t="s">
        <v>4009</v>
      </c>
      <c r="W57" s="3" t="s">
        <v>4010</v>
      </c>
      <c r="X57" t="s">
        <v>1785</v>
      </c>
    </row>
    <row r="58" spans="1:24">
      <c r="A58" s="2">
        <v>46238</v>
      </c>
      <c r="B58" t="s">
        <v>1</v>
      </c>
      <c r="C58" t="s">
        <v>1</v>
      </c>
      <c r="D58" t="s">
        <v>1</v>
      </c>
      <c r="E58" t="s">
        <v>3994</v>
      </c>
      <c r="F58" t="s">
        <v>4011</v>
      </c>
      <c r="G58" t="s">
        <v>1</v>
      </c>
      <c r="H58" t="s">
        <v>3994</v>
      </c>
      <c r="J58">
        <v>62</v>
      </c>
      <c r="K58">
        <v>42</v>
      </c>
      <c r="M58" t="s">
        <v>1</v>
      </c>
      <c r="N58" t="s">
        <v>1</v>
      </c>
      <c r="O58" t="s">
        <v>1</v>
      </c>
      <c r="P58">
        <v>50000.0</v>
      </c>
      <c r="R58" t="s">
        <v>1</v>
      </c>
      <c r="S58" t="s">
        <v>80</v>
      </c>
      <c r="T58" t="s">
        <v>4012</v>
      </c>
      <c r="U58" s="3" t="s">
        <v>1</v>
      </c>
      <c r="V58" s="3" t="s">
        <v>4013</v>
      </c>
      <c r="W58" s="3" t="s">
        <v>4919</v>
      </c>
      <c r="X58" t="s">
        <v>1785</v>
      </c>
    </row>
    <row r="59" spans="1:24">
      <c r="A59" s="2">
        <v>46238</v>
      </c>
      <c r="B59" t="s">
        <v>1</v>
      </c>
      <c r="C59" t="s">
        <v>1</v>
      </c>
      <c r="D59" t="s">
        <v>1</v>
      </c>
      <c r="E59" t="s">
        <v>4015</v>
      </c>
      <c r="F59" t="s">
        <v>4016</v>
      </c>
      <c r="G59" t="s">
        <v>1</v>
      </c>
      <c r="H59" t="s">
        <v>4017</v>
      </c>
      <c r="I59">
        <v>1500</v>
      </c>
      <c r="M59" t="s">
        <v>1</v>
      </c>
      <c r="N59" t="s">
        <v>1</v>
      </c>
      <c r="O59" t="s">
        <v>1</v>
      </c>
      <c r="P59">
        <v>0</v>
      </c>
      <c r="R59" t="s">
        <v>1</v>
      </c>
      <c r="S59" t="s">
        <v>58</v>
      </c>
      <c r="T59" t="s">
        <v>4018</v>
      </c>
      <c r="U59" s="3" t="s">
        <v>1</v>
      </c>
      <c r="V59" s="3" t="s">
        <v>4019</v>
      </c>
      <c r="W59" s="3" t="s">
        <v>4940</v>
      </c>
      <c r="X59" t="s">
        <v>1617</v>
      </c>
    </row>
    <row r="60" spans="1:24">
      <c r="A60" s="2">
        <v>46237</v>
      </c>
      <c r="B60" t="s">
        <v>1</v>
      </c>
      <c r="C60" t="s">
        <v>1</v>
      </c>
      <c r="D60" t="s">
        <v>1</v>
      </c>
      <c r="E60" t="s">
        <v>4021</v>
      </c>
      <c r="F60" t="s">
        <v>4022</v>
      </c>
      <c r="G60" t="s">
        <v>4023</v>
      </c>
      <c r="H60" t="s">
        <v>1</v>
      </c>
      <c r="I60">
        <v>1500</v>
      </c>
      <c r="K60">
        <v>6</v>
      </c>
      <c r="L60">
        <v>5</v>
      </c>
      <c r="M60" t="s">
        <v>1</v>
      </c>
      <c r="N60" t="s">
        <v>1</v>
      </c>
      <c r="O60" t="s">
        <v>1</v>
      </c>
      <c r="P60">
        <v>0</v>
      </c>
      <c r="R60" t="s">
        <v>1</v>
      </c>
      <c r="S60" t="s">
        <v>107</v>
      </c>
      <c r="T60" t="s">
        <v>1</v>
      </c>
      <c r="U60" s="3" t="s">
        <v>1</v>
      </c>
      <c r="V60" s="3" t="s">
        <v>4024</v>
      </c>
      <c r="W60" s="3" t="s">
        <v>4941</v>
      </c>
      <c r="X60" t="s">
        <v>1886</v>
      </c>
    </row>
    <row r="61" spans="1:24">
      <c r="A61" s="2">
        <v>46237</v>
      </c>
      <c r="B61" t="s">
        <v>1</v>
      </c>
      <c r="C61" t="s">
        <v>1</v>
      </c>
      <c r="D61" t="s">
        <v>1</v>
      </c>
      <c r="E61" t="s">
        <v>4026</v>
      </c>
      <c r="F61" t="s">
        <v>4027</v>
      </c>
      <c r="G61" t="s">
        <v>1</v>
      </c>
      <c r="H61" t="s">
        <v>4028</v>
      </c>
      <c r="M61" t="s">
        <v>1</v>
      </c>
      <c r="N61" t="s">
        <v>1</v>
      </c>
      <c r="O61" t="s">
        <v>1</v>
      </c>
      <c r="R61" t="s">
        <v>1</v>
      </c>
      <c r="S61" t="s">
        <v>4029</v>
      </c>
      <c r="T61" t="s">
        <v>1</v>
      </c>
      <c r="U61" s="3" t="s">
        <v>1</v>
      </c>
      <c r="V61" s="3" t="s">
        <v>1966</v>
      </c>
      <c r="W61" s="3" t="s">
        <v>4030</v>
      </c>
      <c r="X61" t="s">
        <v>1886</v>
      </c>
    </row>
    <row r="62" spans="1:24">
      <c r="A62" s="2">
        <v>46237</v>
      </c>
      <c r="B62" t="s">
        <v>1</v>
      </c>
      <c r="C62" t="s">
        <v>1</v>
      </c>
      <c r="D62" t="s">
        <v>1</v>
      </c>
      <c r="E62" t="s">
        <v>4031</v>
      </c>
      <c r="F62" t="s">
        <v>4031</v>
      </c>
      <c r="G62" t="s">
        <v>1</v>
      </c>
      <c r="H62" t="s">
        <v>1</v>
      </c>
      <c r="M62" t="s">
        <v>1</v>
      </c>
      <c r="N62" t="s">
        <v>1</v>
      </c>
      <c r="O62" t="s">
        <v>1</v>
      </c>
      <c r="R62" t="s">
        <v>1</v>
      </c>
      <c r="S62" t="s">
        <v>1</v>
      </c>
      <c r="T62" t="s">
        <v>1</v>
      </c>
      <c r="U62" s="3" t="s">
        <v>1</v>
      </c>
      <c r="V62" s="3" t="s">
        <v>1966</v>
      </c>
      <c r="W62" s="3" t="s">
        <v>1</v>
      </c>
      <c r="X62" t="s">
        <v>1886</v>
      </c>
    </row>
    <row r="63" spans="1:24">
      <c r="A63" s="2">
        <v>46236</v>
      </c>
      <c r="B63" t="s">
        <v>1</v>
      </c>
      <c r="C63" t="s">
        <v>1</v>
      </c>
      <c r="D63" t="s">
        <v>1</v>
      </c>
      <c r="E63" t="s">
        <v>4032</v>
      </c>
      <c r="F63" t="s">
        <v>4022</v>
      </c>
      <c r="G63" t="s">
        <v>1</v>
      </c>
      <c r="H63" t="s">
        <v>4023</v>
      </c>
      <c r="I63">
        <v>1300</v>
      </c>
      <c r="M63" t="s">
        <v>1</v>
      </c>
      <c r="N63" t="s">
        <v>1</v>
      </c>
      <c r="O63" t="s">
        <v>1</v>
      </c>
      <c r="P63">
        <v>5700.0</v>
      </c>
      <c r="R63" t="s">
        <v>1</v>
      </c>
      <c r="S63" t="s">
        <v>107</v>
      </c>
      <c r="T63" t="s">
        <v>4033</v>
      </c>
      <c r="U63" s="3" t="s">
        <v>1</v>
      </c>
      <c r="V63" s="3" t="s">
        <v>4034</v>
      </c>
      <c r="W63" s="3" t="s">
        <v>4938</v>
      </c>
      <c r="X63" t="s">
        <v>1774</v>
      </c>
    </row>
    <row r="64" spans="1:24">
      <c r="A64" s="2">
        <v>46235</v>
      </c>
      <c r="B64" t="s">
        <v>1</v>
      </c>
      <c r="C64" t="s">
        <v>1</v>
      </c>
      <c r="D64" t="s">
        <v>1</v>
      </c>
      <c r="E64" t="s">
        <v>4036</v>
      </c>
      <c r="F64" t="s">
        <v>217</v>
      </c>
      <c r="G64" t="s">
        <v>4037</v>
      </c>
      <c r="H64" t="s">
        <v>4038</v>
      </c>
      <c r="M64" t="s">
        <v>1</v>
      </c>
      <c r="N64" t="s">
        <v>1</v>
      </c>
      <c r="O64" t="s">
        <v>1</v>
      </c>
      <c r="P64">
        <v>0</v>
      </c>
      <c r="R64" t="s">
        <v>1</v>
      </c>
      <c r="S64" t="s">
        <v>1965</v>
      </c>
      <c r="T64" t="s">
        <v>1</v>
      </c>
      <c r="U64" s="3" t="s">
        <v>4039</v>
      </c>
      <c r="V64" s="3" t="s">
        <v>4040</v>
      </c>
      <c r="W64" s="3" t="s">
        <v>4886</v>
      </c>
      <c r="X64" t="s">
        <v>4042</v>
      </c>
    </row>
    <row r="65" spans="1:24">
      <c r="A65" s="2">
        <v>46234</v>
      </c>
      <c r="B65" t="s">
        <v>4043</v>
      </c>
      <c r="C65" t="s">
        <v>1</v>
      </c>
      <c r="D65" t="s">
        <v>1</v>
      </c>
      <c r="E65" t="s">
        <v>4044</v>
      </c>
      <c r="F65" t="s">
        <v>1</v>
      </c>
      <c r="G65" t="s">
        <v>1</v>
      </c>
      <c r="H65" t="s">
        <v>1</v>
      </c>
      <c r="M65" t="s">
        <v>1</v>
      </c>
      <c r="N65" t="s">
        <v>1</v>
      </c>
      <c r="O65" t="s">
        <v>1</v>
      </c>
      <c r="R65" t="s">
        <v>1</v>
      </c>
      <c r="S65" t="s">
        <v>1</v>
      </c>
      <c r="T65" t="s">
        <v>1</v>
      </c>
      <c r="U65" s="3" t="s">
        <v>1</v>
      </c>
      <c r="V65" s="3" t="s">
        <v>4045</v>
      </c>
      <c r="W65" s="3" t="s">
        <v>4046</v>
      </c>
      <c r="X65" t="s">
        <v>4042</v>
      </c>
    </row>
    <row r="66" spans="1:24">
      <c r="A66" s="2">
        <v>46234</v>
      </c>
      <c r="B66" t="s">
        <v>2018</v>
      </c>
      <c r="C66" t="s">
        <v>1</v>
      </c>
      <c r="D66" t="s">
        <v>1</v>
      </c>
      <c r="E66" t="s">
        <v>4047</v>
      </c>
      <c r="F66" t="s">
        <v>74</v>
      </c>
      <c r="G66" t="s">
        <v>2176</v>
      </c>
      <c r="H66" t="s">
        <v>1</v>
      </c>
      <c r="M66" t="s">
        <v>1</v>
      </c>
      <c r="N66" t="s">
        <v>1</v>
      </c>
      <c r="O66" t="s">
        <v>1</v>
      </c>
      <c r="P66">
        <v>0</v>
      </c>
      <c r="Q66">
        <v>4</v>
      </c>
      <c r="R66" t="s">
        <v>137</v>
      </c>
      <c r="S66" t="s">
        <v>4048</v>
      </c>
      <c r="T66" t="s">
        <v>1</v>
      </c>
      <c r="U66" s="3" t="s">
        <v>1</v>
      </c>
      <c r="V66" s="3" t="s">
        <v>2021</v>
      </c>
      <c r="W66" s="3" t="s">
        <v>4887</v>
      </c>
      <c r="X66" t="s">
        <v>4050</v>
      </c>
    </row>
    <row r="67" spans="1:24">
      <c r="A67" s="2">
        <v>46234</v>
      </c>
      <c r="B67" t="s">
        <v>1413</v>
      </c>
      <c r="C67" t="s">
        <v>1</v>
      </c>
      <c r="D67" t="s">
        <v>1</v>
      </c>
      <c r="E67" t="s">
        <v>4051</v>
      </c>
      <c r="F67" t="s">
        <v>44</v>
      </c>
      <c r="G67" t="s">
        <v>4052</v>
      </c>
      <c r="H67" t="s">
        <v>4053</v>
      </c>
      <c r="I67">
        <v>220</v>
      </c>
      <c r="M67" t="s">
        <v>1</v>
      </c>
      <c r="N67" t="s">
        <v>1</v>
      </c>
      <c r="O67" t="s">
        <v>1</v>
      </c>
      <c r="P67">
        <v>0</v>
      </c>
      <c r="Q67">
        <v>4</v>
      </c>
      <c r="R67" t="s">
        <v>137</v>
      </c>
      <c r="S67" t="s">
        <v>4048</v>
      </c>
      <c r="T67" t="s">
        <v>1</v>
      </c>
      <c r="U67" s="3" t="s">
        <v>4054</v>
      </c>
      <c r="V67" s="3" t="s">
        <v>4055</v>
      </c>
      <c r="W67" s="3" t="s">
        <v>4888</v>
      </c>
      <c r="X67" t="s">
        <v>4050</v>
      </c>
    </row>
    <row r="68" spans="1:24">
      <c r="A68" s="2">
        <v>46234</v>
      </c>
      <c r="B68" t="s">
        <v>1</v>
      </c>
      <c r="C68" t="s">
        <v>1</v>
      </c>
      <c r="D68" t="s">
        <v>1</v>
      </c>
      <c r="E68" t="s">
        <v>4057</v>
      </c>
      <c r="F68" t="s">
        <v>44</v>
      </c>
      <c r="G68" t="s">
        <v>4058</v>
      </c>
      <c r="H68" t="s">
        <v>95</v>
      </c>
      <c r="I68">
        <v>35</v>
      </c>
      <c r="J68">
        <v>12</v>
      </c>
      <c r="M68" t="s">
        <v>1</v>
      </c>
      <c r="N68" t="s">
        <v>1</v>
      </c>
      <c r="O68" t="s">
        <v>1</v>
      </c>
      <c r="P68">
        <v>0</v>
      </c>
      <c r="Q68">
        <v>4</v>
      </c>
      <c r="R68" t="s">
        <v>137</v>
      </c>
      <c r="S68" t="s">
        <v>1</v>
      </c>
      <c r="T68" t="s">
        <v>1</v>
      </c>
      <c r="U68" s="3" t="s">
        <v>4059</v>
      </c>
      <c r="V68" s="3" t="s">
        <v>4060</v>
      </c>
      <c r="W68" s="3" t="s">
        <v>4889</v>
      </c>
      <c r="X68" t="s">
        <v>4050</v>
      </c>
    </row>
    <row r="69" spans="1:24">
      <c r="A69" s="2">
        <v>46234</v>
      </c>
      <c r="B69" t="s">
        <v>1</v>
      </c>
      <c r="C69" t="s">
        <v>1</v>
      </c>
      <c r="D69" t="s">
        <v>1</v>
      </c>
      <c r="E69" t="s">
        <v>1665</v>
      </c>
      <c r="F69" t="s">
        <v>3</v>
      </c>
      <c r="G69" t="s">
        <v>3325</v>
      </c>
      <c r="H69" t="s">
        <v>3266</v>
      </c>
      <c r="M69" t="s">
        <v>1</v>
      </c>
      <c r="N69" t="s">
        <v>1</v>
      </c>
      <c r="O69" t="s">
        <v>1</v>
      </c>
      <c r="P69">
        <v>0</v>
      </c>
      <c r="R69" t="s">
        <v>1</v>
      </c>
      <c r="S69" t="s">
        <v>1</v>
      </c>
      <c r="T69" t="s">
        <v>1</v>
      </c>
      <c r="U69" s="3" t="s">
        <v>4062</v>
      </c>
      <c r="V69" s="3" t="s">
        <v>4060</v>
      </c>
      <c r="W69" s="3" t="s">
        <v>4890</v>
      </c>
      <c r="X69" t="s">
        <v>4050</v>
      </c>
    </row>
    <row r="70" spans="1:24">
      <c r="A70" s="2">
        <v>46234</v>
      </c>
      <c r="B70" t="s">
        <v>1</v>
      </c>
      <c r="C70" t="s">
        <v>1</v>
      </c>
      <c r="D70" t="s">
        <v>1</v>
      </c>
      <c r="E70" t="s">
        <v>4064</v>
      </c>
      <c r="F70" t="s">
        <v>44</v>
      </c>
      <c r="G70" t="s">
        <v>4065</v>
      </c>
      <c r="H70" t="s">
        <v>4066</v>
      </c>
      <c r="M70" t="s">
        <v>1</v>
      </c>
      <c r="N70" t="s">
        <v>1</v>
      </c>
      <c r="O70" t="s">
        <v>1</v>
      </c>
      <c r="P70">
        <v>0</v>
      </c>
      <c r="Q70">
        <v>3</v>
      </c>
      <c r="R70" t="s">
        <v>79</v>
      </c>
      <c r="S70" t="s">
        <v>1</v>
      </c>
      <c r="T70" t="s">
        <v>1</v>
      </c>
      <c r="U70" s="3" t="s">
        <v>1</v>
      </c>
      <c r="V70" s="3" t="s">
        <v>4067</v>
      </c>
      <c r="W70" s="3" t="s">
        <v>4891</v>
      </c>
      <c r="X70" t="s">
        <v>4042</v>
      </c>
    </row>
    <row r="71" spans="1:24">
      <c r="A71" s="2">
        <v>46234</v>
      </c>
      <c r="B71" t="s">
        <v>1</v>
      </c>
      <c r="C71" t="s">
        <v>1</v>
      </c>
      <c r="D71" t="s">
        <v>1</v>
      </c>
      <c r="E71" t="s">
        <v>4069</v>
      </c>
      <c r="F71" t="s">
        <v>217</v>
      </c>
      <c r="G71" t="s">
        <v>4037</v>
      </c>
      <c r="H71" t="s">
        <v>4070</v>
      </c>
      <c r="M71" t="s">
        <v>1</v>
      </c>
      <c r="N71" t="s">
        <v>1</v>
      </c>
      <c r="O71" t="s">
        <v>1</v>
      </c>
      <c r="P71">
        <v>0</v>
      </c>
      <c r="Q71">
        <v>4</v>
      </c>
      <c r="R71" t="s">
        <v>137</v>
      </c>
      <c r="S71" t="s">
        <v>4071</v>
      </c>
      <c r="T71" t="s">
        <v>1</v>
      </c>
      <c r="U71" s="3" t="s">
        <v>4072</v>
      </c>
      <c r="V71" s="3" t="s">
        <v>4073</v>
      </c>
      <c r="W71" s="3" t="s">
        <v>4892</v>
      </c>
      <c r="X71" t="s">
        <v>4042</v>
      </c>
    </row>
    <row r="72" spans="1:24">
      <c r="A72" s="2">
        <v>46234</v>
      </c>
      <c r="B72" t="s">
        <v>1</v>
      </c>
      <c r="C72" t="s">
        <v>1</v>
      </c>
      <c r="D72" t="s">
        <v>1</v>
      </c>
      <c r="E72" t="s">
        <v>4075</v>
      </c>
      <c r="F72" t="s">
        <v>44</v>
      </c>
      <c r="G72" t="s">
        <v>4052</v>
      </c>
      <c r="H72" t="s">
        <v>4053</v>
      </c>
      <c r="I72">
        <v>325</v>
      </c>
      <c r="J72">
        <v>92</v>
      </c>
      <c r="K72">
        <v>13</v>
      </c>
      <c r="L72">
        <v>4</v>
      </c>
      <c r="M72" t="s">
        <v>4076</v>
      </c>
      <c r="N72" t="s">
        <v>1</v>
      </c>
      <c r="O72" t="s">
        <v>1</v>
      </c>
      <c r="P72">
        <v>0</v>
      </c>
      <c r="Q72">
        <v>4</v>
      </c>
      <c r="R72" t="s">
        <v>137</v>
      </c>
      <c r="S72" t="s">
        <v>4048</v>
      </c>
      <c r="T72" t="s">
        <v>1</v>
      </c>
      <c r="U72" s="3" t="s">
        <v>4077</v>
      </c>
      <c r="V72" s="3" t="s">
        <v>4078</v>
      </c>
      <c r="W72" s="3" t="s">
        <v>4893</v>
      </c>
      <c r="X72" t="s">
        <v>4042</v>
      </c>
    </row>
    <row r="73" spans="1:24">
      <c r="A73" s="2">
        <v>46234</v>
      </c>
      <c r="B73" t="s">
        <v>1</v>
      </c>
      <c r="C73" t="s">
        <v>1</v>
      </c>
      <c r="D73" t="s">
        <v>1</v>
      </c>
      <c r="E73" t="s">
        <v>2036</v>
      </c>
      <c r="F73" t="s">
        <v>1</v>
      </c>
      <c r="G73" t="s">
        <v>1846</v>
      </c>
      <c r="H73" t="s">
        <v>1</v>
      </c>
      <c r="M73" t="s">
        <v>4080</v>
      </c>
      <c r="N73" t="s">
        <v>1</v>
      </c>
      <c r="O73" t="s">
        <v>4081</v>
      </c>
      <c r="R73" t="s">
        <v>1</v>
      </c>
      <c r="S73" t="s">
        <v>1</v>
      </c>
      <c r="T73" t="s">
        <v>1</v>
      </c>
      <c r="U73" s="3" t="s">
        <v>1</v>
      </c>
      <c r="V73" s="3" t="s">
        <v>4082</v>
      </c>
      <c r="W73" s="3" t="s">
        <v>4083</v>
      </c>
      <c r="X73" t="s">
        <v>1886</v>
      </c>
    </row>
    <row r="74" spans="1:24">
      <c r="A74" s="2">
        <v>46234</v>
      </c>
      <c r="B74" t="s">
        <v>1</v>
      </c>
      <c r="C74" t="s">
        <v>1</v>
      </c>
      <c r="D74" t="s">
        <v>1</v>
      </c>
      <c r="E74" t="s">
        <v>4084</v>
      </c>
      <c r="F74" t="s">
        <v>38</v>
      </c>
      <c r="G74" t="s">
        <v>38</v>
      </c>
      <c r="H74" t="s">
        <v>4085</v>
      </c>
      <c r="M74" t="s">
        <v>1</v>
      </c>
      <c r="N74" t="s">
        <v>1</v>
      </c>
      <c r="O74" t="s">
        <v>1</v>
      </c>
      <c r="P74">
        <v>0</v>
      </c>
      <c r="Q74">
        <v>4</v>
      </c>
      <c r="R74" t="s">
        <v>137</v>
      </c>
      <c r="S74" t="s">
        <v>1</v>
      </c>
      <c r="T74" t="s">
        <v>1</v>
      </c>
      <c r="U74" s="3" t="s">
        <v>1</v>
      </c>
      <c r="V74" s="3" t="s">
        <v>4060</v>
      </c>
      <c r="W74" s="3" t="s">
        <v>4894</v>
      </c>
      <c r="X74" t="s">
        <v>4050</v>
      </c>
    </row>
    <row r="75" spans="1:24">
      <c r="A75" s="2">
        <v>46234</v>
      </c>
      <c r="B75" t="s">
        <v>1</v>
      </c>
      <c r="C75" t="s">
        <v>1</v>
      </c>
      <c r="D75" t="s">
        <v>1</v>
      </c>
      <c r="E75" t="s">
        <v>4087</v>
      </c>
      <c r="F75" t="s">
        <v>38</v>
      </c>
      <c r="G75" t="s">
        <v>38</v>
      </c>
      <c r="H75" t="s">
        <v>4085</v>
      </c>
      <c r="I75">
        <v>108</v>
      </c>
      <c r="J75">
        <v>27</v>
      </c>
      <c r="K75">
        <v>5</v>
      </c>
      <c r="L75">
        <v>6</v>
      </c>
      <c r="M75" t="s">
        <v>1454</v>
      </c>
      <c r="N75" t="s">
        <v>1</v>
      </c>
      <c r="O75" t="s">
        <v>1</v>
      </c>
      <c r="P75">
        <v>0</v>
      </c>
      <c r="Q75">
        <v>4</v>
      </c>
      <c r="R75" t="s">
        <v>137</v>
      </c>
      <c r="S75" t="s">
        <v>1</v>
      </c>
      <c r="T75" t="s">
        <v>1</v>
      </c>
      <c r="U75" s="3" t="s">
        <v>4088</v>
      </c>
      <c r="V75" s="3" t="s">
        <v>4089</v>
      </c>
      <c r="W75" s="3" t="s">
        <v>4895</v>
      </c>
      <c r="X75" t="s">
        <v>4042</v>
      </c>
    </row>
    <row r="76" spans="1:24">
      <c r="A76" s="2">
        <v>46234</v>
      </c>
      <c r="B76" t="s">
        <v>1</v>
      </c>
      <c r="C76" t="s">
        <v>1</v>
      </c>
      <c r="D76" t="s">
        <v>1</v>
      </c>
      <c r="E76" t="s">
        <v>4091</v>
      </c>
      <c r="F76" t="s">
        <v>141</v>
      </c>
      <c r="G76" t="s">
        <v>4092</v>
      </c>
      <c r="H76" t="s">
        <v>1</v>
      </c>
      <c r="M76" t="s">
        <v>1</v>
      </c>
      <c r="N76" t="s">
        <v>1</v>
      </c>
      <c r="O76" t="s">
        <v>1</v>
      </c>
      <c r="P76">
        <v>0</v>
      </c>
      <c r="R76" t="s">
        <v>1</v>
      </c>
      <c r="S76" t="s">
        <v>1</v>
      </c>
      <c r="T76" t="s">
        <v>1</v>
      </c>
      <c r="U76" s="3" t="s">
        <v>1</v>
      </c>
      <c r="V76" s="3" t="s">
        <v>4060</v>
      </c>
      <c r="W76" s="3" t="s">
        <v>4896</v>
      </c>
      <c r="X76" t="s">
        <v>4050</v>
      </c>
    </row>
    <row r="77" spans="1:24">
      <c r="A77" s="2">
        <v>46234</v>
      </c>
      <c r="B77" t="s">
        <v>1</v>
      </c>
      <c r="C77" t="s">
        <v>1</v>
      </c>
      <c r="D77" t="s">
        <v>1</v>
      </c>
      <c r="E77" t="s">
        <v>4094</v>
      </c>
      <c r="F77" t="s">
        <v>4022</v>
      </c>
      <c r="G77" t="s">
        <v>4023</v>
      </c>
      <c r="H77" t="s">
        <v>1</v>
      </c>
      <c r="I77">
        <v>1300</v>
      </c>
      <c r="M77" t="s">
        <v>1</v>
      </c>
      <c r="N77" t="s">
        <v>1</v>
      </c>
      <c r="O77" t="s">
        <v>1</v>
      </c>
      <c r="P77">
        <v>0</v>
      </c>
      <c r="R77" t="s">
        <v>1</v>
      </c>
      <c r="S77" t="s">
        <v>1</v>
      </c>
      <c r="T77" t="s">
        <v>1</v>
      </c>
      <c r="U77" s="3" t="s">
        <v>1</v>
      </c>
      <c r="V77" s="3" t="s">
        <v>4095</v>
      </c>
      <c r="W77" s="3" t="s">
        <v>4942</v>
      </c>
      <c r="X77" t="s">
        <v>1886</v>
      </c>
    </row>
    <row r="78" spans="1:24">
      <c r="A78" s="2">
        <v>46233</v>
      </c>
      <c r="B78" t="s">
        <v>1</v>
      </c>
      <c r="C78" t="s">
        <v>1</v>
      </c>
      <c r="D78" t="s">
        <v>1</v>
      </c>
      <c r="E78" t="s">
        <v>4097</v>
      </c>
      <c r="F78" t="s">
        <v>4098</v>
      </c>
      <c r="G78" t="s">
        <v>4098</v>
      </c>
      <c r="H78" t="s">
        <v>1</v>
      </c>
      <c r="I78">
        <v>90</v>
      </c>
      <c r="M78" t="s">
        <v>1</v>
      </c>
      <c r="N78" t="s">
        <v>1</v>
      </c>
      <c r="O78" t="s">
        <v>1</v>
      </c>
      <c r="R78" t="s">
        <v>1</v>
      </c>
      <c r="S78" t="s">
        <v>4048</v>
      </c>
      <c r="T78" t="s">
        <v>1</v>
      </c>
      <c r="U78" s="3" t="s">
        <v>1</v>
      </c>
      <c r="V78" s="3" t="s">
        <v>4099</v>
      </c>
      <c r="W78" s="3" t="s">
        <v>4100</v>
      </c>
      <c r="X78" t="s">
        <v>4050</v>
      </c>
    </row>
    <row r="79" spans="1:24">
      <c r="A79" s="2">
        <v>46233</v>
      </c>
      <c r="B79" t="s">
        <v>1</v>
      </c>
      <c r="C79" t="s">
        <v>1</v>
      </c>
      <c r="D79" t="s">
        <v>1</v>
      </c>
      <c r="E79" t="s">
        <v>4101</v>
      </c>
      <c r="F79" t="s">
        <v>4102</v>
      </c>
      <c r="G79" t="s">
        <v>1</v>
      </c>
      <c r="H79" t="s">
        <v>1</v>
      </c>
      <c r="I79">
        <v>90</v>
      </c>
      <c r="M79" t="s">
        <v>1</v>
      </c>
      <c r="N79" t="s">
        <v>1</v>
      </c>
      <c r="O79" t="s">
        <v>1</v>
      </c>
      <c r="R79" t="s">
        <v>1</v>
      </c>
      <c r="S79" t="s">
        <v>1</v>
      </c>
      <c r="T79" t="s">
        <v>1</v>
      </c>
      <c r="U79" s="3" t="s">
        <v>1</v>
      </c>
      <c r="V79" s="3" t="s">
        <v>1</v>
      </c>
      <c r="W79" s="3" t="s">
        <v>4959</v>
      </c>
      <c r="X79" t="s">
        <v>4042</v>
      </c>
    </row>
    <row r="80" spans="1:24">
      <c r="A80" s="2">
        <v>46233</v>
      </c>
      <c r="B80" t="s">
        <v>1</v>
      </c>
      <c r="C80" t="s">
        <v>1</v>
      </c>
      <c r="D80" t="s">
        <v>1</v>
      </c>
      <c r="E80" t="s">
        <v>2054</v>
      </c>
      <c r="F80" t="s">
        <v>120</v>
      </c>
      <c r="G80" t="s">
        <v>4104</v>
      </c>
      <c r="H80" t="s">
        <v>458</v>
      </c>
      <c r="M80" t="s">
        <v>1</v>
      </c>
      <c r="N80" t="s">
        <v>1</v>
      </c>
      <c r="O80" t="s">
        <v>1</v>
      </c>
      <c r="P80">
        <v>0</v>
      </c>
      <c r="Q80">
        <v>3</v>
      </c>
      <c r="R80" t="s">
        <v>79</v>
      </c>
      <c r="S80" t="s">
        <v>1</v>
      </c>
      <c r="T80" t="s">
        <v>1</v>
      </c>
      <c r="U80" s="3" t="s">
        <v>4105</v>
      </c>
      <c r="V80" s="3" t="s">
        <v>4106</v>
      </c>
      <c r="W80" s="3" t="s">
        <v>4897</v>
      </c>
      <c r="X80" t="s">
        <v>4042</v>
      </c>
    </row>
    <row r="81" spans="1:24">
      <c r="A81" s="2">
        <v>46233</v>
      </c>
      <c r="B81" t="s">
        <v>1</v>
      </c>
      <c r="C81" t="s">
        <v>1</v>
      </c>
      <c r="D81" t="s">
        <v>1</v>
      </c>
      <c r="E81" t="s">
        <v>4108</v>
      </c>
      <c r="F81" t="s">
        <v>4109</v>
      </c>
      <c r="G81" t="s">
        <v>4108</v>
      </c>
      <c r="H81" t="s">
        <v>1</v>
      </c>
      <c r="M81" t="s">
        <v>1</v>
      </c>
      <c r="N81" t="s">
        <v>1</v>
      </c>
      <c r="O81" t="s">
        <v>1</v>
      </c>
      <c r="R81" t="s">
        <v>1</v>
      </c>
      <c r="S81" t="s">
        <v>1</v>
      </c>
      <c r="T81" t="s">
        <v>1</v>
      </c>
      <c r="U81" s="3" t="s">
        <v>1</v>
      </c>
      <c r="V81" s="3" t="s">
        <v>4110</v>
      </c>
      <c r="W81" s="3" t="s">
        <v>1</v>
      </c>
      <c r="X81" t="s">
        <v>1886</v>
      </c>
    </row>
    <row r="82" spans="1:24">
      <c r="A82" s="2">
        <v>46232</v>
      </c>
      <c r="B82" t="s">
        <v>1</v>
      </c>
      <c r="C82" t="s">
        <v>1</v>
      </c>
      <c r="D82" t="s">
        <v>1</v>
      </c>
      <c r="E82" t="s">
        <v>4111</v>
      </c>
      <c r="F82" t="s">
        <v>141</v>
      </c>
      <c r="G82" t="s">
        <v>4112</v>
      </c>
      <c r="H82" t="s">
        <v>1005</v>
      </c>
      <c r="I82">
        <v>48</v>
      </c>
      <c r="J82">
        <v>13</v>
      </c>
      <c r="K82">
        <v>2</v>
      </c>
      <c r="L82">
        <v>1</v>
      </c>
      <c r="M82" t="s">
        <v>3318</v>
      </c>
      <c r="N82" t="s">
        <v>1</v>
      </c>
      <c r="O82" t="s">
        <v>1</v>
      </c>
      <c r="P82">
        <v>0</v>
      </c>
      <c r="Q82">
        <v>4</v>
      </c>
      <c r="R82" t="s">
        <v>137</v>
      </c>
      <c r="S82" t="s">
        <v>4113</v>
      </c>
      <c r="T82" t="s">
        <v>4114</v>
      </c>
      <c r="U82" s="3" t="s">
        <v>4115</v>
      </c>
      <c r="V82" s="3" t="s">
        <v>4116</v>
      </c>
      <c r="W82" s="3" t="s">
        <v>4898</v>
      </c>
      <c r="X82" t="s">
        <v>4042</v>
      </c>
    </row>
    <row r="83" spans="1:24">
      <c r="A83" s="2">
        <v>46232</v>
      </c>
      <c r="B83" t="s">
        <v>1</v>
      </c>
      <c r="C83" t="s">
        <v>1</v>
      </c>
      <c r="D83" t="s">
        <v>1</v>
      </c>
      <c r="E83" t="s">
        <v>4118</v>
      </c>
      <c r="F83" t="s">
        <v>74</v>
      </c>
      <c r="G83" t="s">
        <v>1527</v>
      </c>
      <c r="H83" t="s">
        <v>1</v>
      </c>
      <c r="M83" t="s">
        <v>1</v>
      </c>
      <c r="N83" t="s">
        <v>1</v>
      </c>
      <c r="O83" t="s">
        <v>1</v>
      </c>
      <c r="P83">
        <v>0</v>
      </c>
      <c r="Q83">
        <v>4</v>
      </c>
      <c r="R83" t="s">
        <v>137</v>
      </c>
      <c r="S83" t="s">
        <v>4119</v>
      </c>
      <c r="T83" t="s">
        <v>1</v>
      </c>
      <c r="U83" s="3" t="s">
        <v>4120</v>
      </c>
      <c r="V83" s="3" t="s">
        <v>4121</v>
      </c>
      <c r="W83" s="3" t="s">
        <v>4899</v>
      </c>
      <c r="X83" t="s">
        <v>4050</v>
      </c>
    </row>
    <row r="84" spans="1:24">
      <c r="A84" s="2">
        <v>46232</v>
      </c>
      <c r="B84" t="s">
        <v>1</v>
      </c>
      <c r="C84" t="s">
        <v>1</v>
      </c>
      <c r="D84" t="s">
        <v>1</v>
      </c>
      <c r="E84" t="s">
        <v>4123</v>
      </c>
      <c r="F84" t="s">
        <v>74</v>
      </c>
      <c r="G84" t="s">
        <v>1527</v>
      </c>
      <c r="H84" t="s">
        <v>1</v>
      </c>
      <c r="I84">
        <v>156</v>
      </c>
      <c r="J84">
        <v>33</v>
      </c>
      <c r="K84">
        <v>4</v>
      </c>
      <c r="L84">
        <v>4</v>
      </c>
      <c r="M84" t="s">
        <v>1</v>
      </c>
      <c r="N84" t="s">
        <v>1</v>
      </c>
      <c r="O84" t="s">
        <v>1</v>
      </c>
      <c r="P84">
        <v>0</v>
      </c>
      <c r="Q84">
        <v>4</v>
      </c>
      <c r="R84" t="s">
        <v>137</v>
      </c>
      <c r="S84" t="s">
        <v>4124</v>
      </c>
      <c r="T84" t="s">
        <v>1</v>
      </c>
      <c r="U84" s="3" t="s">
        <v>1</v>
      </c>
      <c r="V84" s="3" t="s">
        <v>4125</v>
      </c>
      <c r="W84" s="3" t="s">
        <v>4900</v>
      </c>
      <c r="X84" t="s">
        <v>4042</v>
      </c>
    </row>
    <row r="85" spans="1:24">
      <c r="A85" s="2">
        <v>46231</v>
      </c>
      <c r="B85" t="s">
        <v>1</v>
      </c>
      <c r="C85" t="s">
        <v>1</v>
      </c>
      <c r="D85" t="s">
        <v>1</v>
      </c>
      <c r="E85" t="s">
        <v>4127</v>
      </c>
      <c r="F85" t="s">
        <v>120</v>
      </c>
      <c r="G85" t="s">
        <v>4104</v>
      </c>
      <c r="H85" t="s">
        <v>122</v>
      </c>
      <c r="I85">
        <v>66</v>
      </c>
      <c r="K85">
        <v>2</v>
      </c>
      <c r="L85">
        <v>5</v>
      </c>
      <c r="M85" t="s">
        <v>1</v>
      </c>
      <c r="N85" t="s">
        <v>1</v>
      </c>
      <c r="O85" t="s">
        <v>1</v>
      </c>
      <c r="P85">
        <v>0</v>
      </c>
      <c r="Q85">
        <v>3</v>
      </c>
      <c r="R85" t="s">
        <v>79</v>
      </c>
      <c r="S85" t="s">
        <v>4128</v>
      </c>
      <c r="T85" t="s">
        <v>4129</v>
      </c>
      <c r="U85" s="3" t="s">
        <v>4130</v>
      </c>
      <c r="V85" s="3" t="s">
        <v>4131</v>
      </c>
      <c r="W85" s="3" t="s">
        <v>4901</v>
      </c>
      <c r="X85" t="s">
        <v>4050</v>
      </c>
    </row>
    <row r="86" spans="1:24">
      <c r="A86" s="2">
        <v>46231</v>
      </c>
      <c r="B86" t="s">
        <v>1</v>
      </c>
      <c r="C86" t="s">
        <v>1</v>
      </c>
      <c r="D86" t="s">
        <v>1</v>
      </c>
      <c r="E86" t="s">
        <v>4133</v>
      </c>
      <c r="F86" t="s">
        <v>120</v>
      </c>
      <c r="G86" t="s">
        <v>4104</v>
      </c>
      <c r="H86" t="s">
        <v>2155</v>
      </c>
      <c r="I86">
        <v>66</v>
      </c>
      <c r="K86">
        <v>2</v>
      </c>
      <c r="L86">
        <v>5</v>
      </c>
      <c r="M86" t="s">
        <v>1</v>
      </c>
      <c r="N86" t="s">
        <v>1</v>
      </c>
      <c r="O86" t="s">
        <v>1</v>
      </c>
      <c r="P86">
        <v>0</v>
      </c>
      <c r="Q86">
        <v>3</v>
      </c>
      <c r="R86" t="s">
        <v>79</v>
      </c>
      <c r="S86" t="s">
        <v>1965</v>
      </c>
      <c r="T86" t="s">
        <v>4134</v>
      </c>
      <c r="U86" s="3" t="s">
        <v>4135</v>
      </c>
      <c r="V86" s="3" t="s">
        <v>4136</v>
      </c>
      <c r="W86" s="3" t="s">
        <v>4902</v>
      </c>
      <c r="X86" t="s">
        <v>4042</v>
      </c>
    </row>
    <row r="87" spans="1:24">
      <c r="A87" s="2">
        <v>46231</v>
      </c>
      <c r="B87" t="s">
        <v>1</v>
      </c>
      <c r="C87" t="s">
        <v>1</v>
      </c>
      <c r="D87" t="s">
        <v>1</v>
      </c>
      <c r="E87" t="s">
        <v>2150</v>
      </c>
      <c r="F87" t="s">
        <v>160</v>
      </c>
      <c r="G87" t="s">
        <v>4138</v>
      </c>
      <c r="H87" t="s">
        <v>1</v>
      </c>
      <c r="I87">
        <v>26</v>
      </c>
      <c r="J87">
        <v>7</v>
      </c>
      <c r="K87">
        <v>0</v>
      </c>
      <c r="L87">
        <v>1</v>
      </c>
      <c r="M87" t="s">
        <v>1</v>
      </c>
      <c r="N87" t="s">
        <v>1</v>
      </c>
      <c r="O87" t="s">
        <v>1</v>
      </c>
      <c r="P87">
        <v>0</v>
      </c>
      <c r="Q87">
        <v>2</v>
      </c>
      <c r="R87" t="s">
        <v>17</v>
      </c>
      <c r="S87" t="s">
        <v>1</v>
      </c>
      <c r="T87" t="s">
        <v>1903</v>
      </c>
      <c r="U87" s="3" t="s">
        <v>4139</v>
      </c>
      <c r="V87" s="3" t="s">
        <v>4140</v>
      </c>
      <c r="W87" s="3" t="s">
        <v>4903</v>
      </c>
      <c r="X87" t="s">
        <v>4042</v>
      </c>
    </row>
    <row r="88" spans="1:24">
      <c r="A88" s="2">
        <v>46231</v>
      </c>
      <c r="B88" t="s">
        <v>1</v>
      </c>
      <c r="C88" t="s">
        <v>1</v>
      </c>
      <c r="D88" t="s">
        <v>1</v>
      </c>
      <c r="E88" t="s">
        <v>4142</v>
      </c>
      <c r="F88" t="s">
        <v>4143</v>
      </c>
      <c r="G88" t="s">
        <v>1</v>
      </c>
      <c r="H88" t="s">
        <v>1</v>
      </c>
      <c r="M88" t="s">
        <v>1</v>
      </c>
      <c r="N88" t="s">
        <v>1</v>
      </c>
      <c r="O88" t="s">
        <v>1</v>
      </c>
      <c r="R88" t="s">
        <v>1</v>
      </c>
      <c r="S88" t="s">
        <v>1</v>
      </c>
      <c r="T88" t="s">
        <v>1</v>
      </c>
      <c r="U88" s="3" t="s">
        <v>1</v>
      </c>
      <c r="V88" s="3" t="s">
        <v>4144</v>
      </c>
      <c r="W88" s="3" t="s">
        <v>4145</v>
      </c>
      <c r="X88" t="s">
        <v>4042</v>
      </c>
    </row>
    <row r="89" spans="1:24">
      <c r="A89" s="2">
        <v>46231</v>
      </c>
      <c r="B89" t="s">
        <v>1</v>
      </c>
      <c r="C89" t="s">
        <v>1</v>
      </c>
      <c r="D89" t="s">
        <v>1</v>
      </c>
      <c r="E89" t="s">
        <v>4146</v>
      </c>
      <c r="F89" t="s">
        <v>4147</v>
      </c>
      <c r="G89" t="s">
        <v>4148</v>
      </c>
      <c r="H89" t="s">
        <v>4146</v>
      </c>
      <c r="M89" t="s">
        <v>1</v>
      </c>
      <c r="N89" t="s">
        <v>1</v>
      </c>
      <c r="O89" t="s">
        <v>1</v>
      </c>
      <c r="P89">
        <v>6000.0</v>
      </c>
      <c r="R89" t="s">
        <v>1</v>
      </c>
      <c r="S89" t="s">
        <v>4149</v>
      </c>
      <c r="T89" t="s">
        <v>1</v>
      </c>
      <c r="U89" s="3" t="s">
        <v>1</v>
      </c>
      <c r="V89" s="3" t="s">
        <v>4150</v>
      </c>
      <c r="W89" s="3" t="s">
        <v>4935</v>
      </c>
      <c r="X89" t="s">
        <v>4050</v>
      </c>
    </row>
    <row r="90" spans="1:24">
      <c r="A90" s="2">
        <v>46231</v>
      </c>
      <c r="B90" t="s">
        <v>1</v>
      </c>
      <c r="C90" t="s">
        <v>1</v>
      </c>
      <c r="D90" t="s">
        <v>1</v>
      </c>
      <c r="E90" t="s">
        <v>4146</v>
      </c>
      <c r="F90" t="s">
        <v>4147</v>
      </c>
      <c r="G90" t="s">
        <v>1</v>
      </c>
      <c r="H90" t="s">
        <v>4146</v>
      </c>
      <c r="M90" t="s">
        <v>1</v>
      </c>
      <c r="N90" t="s">
        <v>1</v>
      </c>
      <c r="O90" t="s">
        <v>1</v>
      </c>
      <c r="P90">
        <v>0</v>
      </c>
      <c r="R90" t="s">
        <v>1</v>
      </c>
      <c r="S90" t="s">
        <v>1</v>
      </c>
      <c r="T90" t="s">
        <v>1</v>
      </c>
      <c r="U90" s="3" t="s">
        <v>1</v>
      </c>
      <c r="V90" s="3" t="s">
        <v>1</v>
      </c>
      <c r="W90" s="3" t="s">
        <v>4936</v>
      </c>
      <c r="X90" t="s">
        <v>4042</v>
      </c>
    </row>
    <row r="91" spans="1:24">
      <c r="A91" s="2">
        <v>46231</v>
      </c>
      <c r="B91" t="s">
        <v>1</v>
      </c>
      <c r="C91" t="s">
        <v>1</v>
      </c>
      <c r="D91" t="s">
        <v>1</v>
      </c>
      <c r="E91" t="s">
        <v>4153</v>
      </c>
      <c r="F91" t="s">
        <v>4154</v>
      </c>
      <c r="G91" t="s">
        <v>1</v>
      </c>
      <c r="H91" t="s">
        <v>1</v>
      </c>
      <c r="M91" t="s">
        <v>1</v>
      </c>
      <c r="N91" t="s">
        <v>1</v>
      </c>
      <c r="O91" t="s">
        <v>1</v>
      </c>
      <c r="R91" t="s">
        <v>1</v>
      </c>
      <c r="S91" t="s">
        <v>8</v>
      </c>
      <c r="T91" t="s">
        <v>1</v>
      </c>
      <c r="U91" s="3" t="s">
        <v>1</v>
      </c>
      <c r="V91" s="3" t="s">
        <v>4155</v>
      </c>
      <c r="W91" s="3" t="s">
        <v>4960</v>
      </c>
      <c r="X91" t="s">
        <v>2063</v>
      </c>
    </row>
    <row r="92" spans="1:24">
      <c r="A92" s="2">
        <v>46231</v>
      </c>
      <c r="B92" t="s">
        <v>1</v>
      </c>
      <c r="C92" t="s">
        <v>1</v>
      </c>
      <c r="D92" t="s">
        <v>1</v>
      </c>
      <c r="E92" t="s">
        <v>4142</v>
      </c>
      <c r="F92" t="s">
        <v>4143</v>
      </c>
      <c r="G92" t="s">
        <v>1</v>
      </c>
      <c r="H92" t="s">
        <v>1</v>
      </c>
      <c r="M92" t="s">
        <v>1</v>
      </c>
      <c r="N92" t="s">
        <v>1</v>
      </c>
      <c r="O92" t="s">
        <v>1</v>
      </c>
      <c r="R92" t="s">
        <v>1</v>
      </c>
      <c r="S92" t="s">
        <v>1</v>
      </c>
      <c r="T92" t="s">
        <v>1</v>
      </c>
      <c r="U92" s="3" t="s">
        <v>1</v>
      </c>
      <c r="V92" s="3" t="s">
        <v>4157</v>
      </c>
      <c r="W92" s="3" t="s">
        <v>4961</v>
      </c>
      <c r="X92" t="s">
        <v>1886</v>
      </c>
    </row>
    <row r="93" spans="1:24">
      <c r="A93" s="2">
        <v>46231</v>
      </c>
      <c r="B93" t="s">
        <v>1</v>
      </c>
      <c r="C93" t="s">
        <v>1</v>
      </c>
      <c r="D93" t="s">
        <v>1</v>
      </c>
      <c r="E93" t="s">
        <v>4146</v>
      </c>
      <c r="F93" t="s">
        <v>4159</v>
      </c>
      <c r="G93" t="s">
        <v>4148</v>
      </c>
      <c r="H93" t="s">
        <v>4146</v>
      </c>
      <c r="M93" t="s">
        <v>1</v>
      </c>
      <c r="N93" t="s">
        <v>1</v>
      </c>
      <c r="O93" t="s">
        <v>1</v>
      </c>
      <c r="P93">
        <v>0</v>
      </c>
      <c r="R93" t="s">
        <v>1</v>
      </c>
      <c r="S93" t="s">
        <v>1</v>
      </c>
      <c r="T93" t="s">
        <v>1</v>
      </c>
      <c r="U93" s="3" t="s">
        <v>1</v>
      </c>
      <c r="V93" s="3" t="s">
        <v>4160</v>
      </c>
      <c r="W93" s="3" t="s">
        <v>4937</v>
      </c>
      <c r="X93" t="s">
        <v>1886</v>
      </c>
    </row>
    <row r="94" spans="1:24">
      <c r="A94" s="2">
        <v>46230</v>
      </c>
      <c r="B94" t="s">
        <v>2183</v>
      </c>
      <c r="C94" t="s">
        <v>1</v>
      </c>
      <c r="D94" t="s">
        <v>1</v>
      </c>
      <c r="E94" t="s">
        <v>4162</v>
      </c>
      <c r="F94" t="s">
        <v>44</v>
      </c>
      <c r="G94" t="s">
        <v>4058</v>
      </c>
      <c r="H94" t="s">
        <v>1</v>
      </c>
      <c r="I94">
        <v>42</v>
      </c>
      <c r="J94">
        <v>10</v>
      </c>
      <c r="K94">
        <v>2</v>
      </c>
      <c r="L94">
        <v>1</v>
      </c>
      <c r="M94" t="s">
        <v>4163</v>
      </c>
      <c r="N94" t="s">
        <v>1</v>
      </c>
      <c r="O94" t="s">
        <v>106</v>
      </c>
      <c r="P94">
        <v>0</v>
      </c>
      <c r="R94" t="s">
        <v>1</v>
      </c>
      <c r="S94" t="s">
        <v>4164</v>
      </c>
      <c r="T94" t="s">
        <v>1</v>
      </c>
      <c r="U94" s="3" t="s">
        <v>1</v>
      </c>
      <c r="V94" s="3" t="s">
        <v>4165</v>
      </c>
      <c r="W94" s="3" t="s">
        <v>4904</v>
      </c>
      <c r="X94" t="s">
        <v>4050</v>
      </c>
    </row>
    <row r="95" spans="1:24">
      <c r="A95" s="2">
        <v>46229</v>
      </c>
      <c r="B95" t="s">
        <v>1</v>
      </c>
      <c r="C95" t="s">
        <v>1</v>
      </c>
      <c r="D95" t="s">
        <v>1</v>
      </c>
      <c r="E95" t="s">
        <v>4167</v>
      </c>
      <c r="F95" t="s">
        <v>4168</v>
      </c>
      <c r="G95" t="s">
        <v>1</v>
      </c>
      <c r="H95" t="s">
        <v>1</v>
      </c>
      <c r="M95" t="s">
        <v>1</v>
      </c>
      <c r="N95" t="s">
        <v>1</v>
      </c>
      <c r="O95" t="s">
        <v>1</v>
      </c>
      <c r="P95">
        <v>0</v>
      </c>
      <c r="R95" t="s">
        <v>1</v>
      </c>
      <c r="S95" t="s">
        <v>80</v>
      </c>
      <c r="T95" t="s">
        <v>4169</v>
      </c>
      <c r="U95" s="3" t="s">
        <v>1</v>
      </c>
      <c r="V95" s="3" t="s">
        <v>4144</v>
      </c>
      <c r="W95" s="3" t="s">
        <v>4910</v>
      </c>
      <c r="X95" t="s">
        <v>2320</v>
      </c>
    </row>
    <row r="96" spans="1:24">
      <c r="A96" s="2">
        <v>46229</v>
      </c>
      <c r="B96" t="s">
        <v>1</v>
      </c>
      <c r="C96" t="s">
        <v>1</v>
      </c>
      <c r="D96" t="s">
        <v>1</v>
      </c>
      <c r="E96" t="s">
        <v>4171</v>
      </c>
      <c r="F96" t="s">
        <v>4172</v>
      </c>
      <c r="G96" t="s">
        <v>1</v>
      </c>
      <c r="H96" t="s">
        <v>1</v>
      </c>
      <c r="M96" t="s">
        <v>1</v>
      </c>
      <c r="N96" t="s">
        <v>1</v>
      </c>
      <c r="O96" t="s">
        <v>1</v>
      </c>
      <c r="P96">
        <v>0</v>
      </c>
      <c r="R96" t="s">
        <v>1</v>
      </c>
      <c r="S96" t="s">
        <v>8</v>
      </c>
      <c r="T96" t="s">
        <v>4169</v>
      </c>
      <c r="U96" s="3" t="s">
        <v>1</v>
      </c>
      <c r="V96" s="3" t="s">
        <v>4173</v>
      </c>
      <c r="W96" s="3" t="s">
        <v>4869</v>
      </c>
      <c r="X96" t="s">
        <v>2063</v>
      </c>
    </row>
    <row r="97" spans="1:24">
      <c r="A97" s="2">
        <v>46228</v>
      </c>
      <c r="B97" t="s">
        <v>2279</v>
      </c>
      <c r="C97" t="s">
        <v>1</v>
      </c>
      <c r="D97" t="s">
        <v>1</v>
      </c>
      <c r="E97" t="s">
        <v>4175</v>
      </c>
      <c r="F97" t="s">
        <v>74</v>
      </c>
      <c r="G97" t="s">
        <v>2176</v>
      </c>
      <c r="H97" t="s">
        <v>1</v>
      </c>
      <c r="M97" t="s">
        <v>1</v>
      </c>
      <c r="N97" t="s">
        <v>1</v>
      </c>
      <c r="O97" t="s">
        <v>1</v>
      </c>
      <c r="P97">
        <v>0</v>
      </c>
      <c r="Q97">
        <v>3</v>
      </c>
      <c r="R97" t="s">
        <v>79</v>
      </c>
      <c r="S97" t="s">
        <v>80</v>
      </c>
      <c r="T97" t="s">
        <v>1</v>
      </c>
      <c r="U97" s="3" t="s">
        <v>1</v>
      </c>
      <c r="V97" s="3" t="s">
        <v>4176</v>
      </c>
      <c r="W97" s="3" t="s">
        <v>4905</v>
      </c>
      <c r="X97" t="s">
        <v>4042</v>
      </c>
    </row>
    <row r="98" spans="1:24">
      <c r="A98" s="2">
        <v>46228</v>
      </c>
      <c r="B98" t="s">
        <v>881</v>
      </c>
      <c r="C98" t="s">
        <v>1</v>
      </c>
      <c r="D98" t="s">
        <v>1</v>
      </c>
      <c r="E98" t="s">
        <v>4178</v>
      </c>
      <c r="F98" t="s">
        <v>38</v>
      </c>
      <c r="G98" t="s">
        <v>38</v>
      </c>
      <c r="H98" t="s">
        <v>2292</v>
      </c>
      <c r="I98">
        <v>38</v>
      </c>
      <c r="J98">
        <v>5</v>
      </c>
      <c r="K98">
        <v>0</v>
      </c>
      <c r="L98">
        <v>1</v>
      </c>
      <c r="M98" t="s">
        <v>1095</v>
      </c>
      <c r="N98" t="s">
        <v>1</v>
      </c>
      <c r="O98" t="s">
        <v>106</v>
      </c>
      <c r="P98">
        <v>0</v>
      </c>
      <c r="Q98">
        <v>2</v>
      </c>
      <c r="R98" t="s">
        <v>17</v>
      </c>
      <c r="S98" t="s">
        <v>4179</v>
      </c>
      <c r="T98" t="s">
        <v>1</v>
      </c>
      <c r="U98" s="3" t="s">
        <v>1</v>
      </c>
      <c r="V98" s="3" t="s">
        <v>4180</v>
      </c>
      <c r="W98" s="3" t="s">
        <v>4906</v>
      </c>
      <c r="X98" t="s">
        <v>4050</v>
      </c>
    </row>
    <row r="99" spans="1:24">
      <c r="A99" s="2">
        <v>46228</v>
      </c>
      <c r="B99" t="s">
        <v>1</v>
      </c>
      <c r="C99" t="s">
        <v>1</v>
      </c>
      <c r="D99" t="s">
        <v>1</v>
      </c>
      <c r="E99" t="s">
        <v>4182</v>
      </c>
      <c r="F99" t="s">
        <v>1</v>
      </c>
      <c r="G99" t="s">
        <v>1</v>
      </c>
      <c r="H99" t="s">
        <v>1</v>
      </c>
      <c r="M99" t="s">
        <v>1</v>
      </c>
      <c r="N99" t="s">
        <v>1</v>
      </c>
      <c r="O99" t="s">
        <v>1</v>
      </c>
      <c r="P99">
        <v>0</v>
      </c>
      <c r="R99" t="s">
        <v>1</v>
      </c>
      <c r="S99" t="s">
        <v>1</v>
      </c>
      <c r="T99" t="s">
        <v>1</v>
      </c>
      <c r="U99" s="3" t="s">
        <v>1</v>
      </c>
      <c r="V99" s="3" t="s">
        <v>1</v>
      </c>
      <c r="W99" s="3" t="s">
        <v>4870</v>
      </c>
      <c r="X99" t="s">
        <v>4042</v>
      </c>
    </row>
    <row r="100" spans="1:24">
      <c r="A100" s="2">
        <v>46228</v>
      </c>
      <c r="B100" t="s">
        <v>1</v>
      </c>
      <c r="C100" t="s">
        <v>4184</v>
      </c>
      <c r="D100" t="s">
        <v>1</v>
      </c>
      <c r="E100" t="s">
        <v>2268</v>
      </c>
      <c r="F100" t="s">
        <v>64</v>
      </c>
      <c r="G100" t="s">
        <v>1600</v>
      </c>
      <c r="H100" t="s">
        <v>1</v>
      </c>
      <c r="M100" t="s">
        <v>1</v>
      </c>
      <c r="N100" t="s">
        <v>1</v>
      </c>
      <c r="O100" t="s">
        <v>1</v>
      </c>
      <c r="P100">
        <v>0</v>
      </c>
      <c r="Q100">
        <v>2</v>
      </c>
      <c r="R100" t="s">
        <v>17</v>
      </c>
      <c r="S100" t="s">
        <v>107</v>
      </c>
      <c r="T100" t="s">
        <v>1</v>
      </c>
      <c r="U100" s="3" t="s">
        <v>1</v>
      </c>
      <c r="V100" s="3" t="s">
        <v>4176</v>
      </c>
      <c r="W100" s="3" t="s">
        <v>4907</v>
      </c>
      <c r="X100" t="s">
        <v>4042</v>
      </c>
    </row>
    <row r="101" spans="1:24">
      <c r="A101" s="2">
        <v>46228</v>
      </c>
      <c r="B101" t="s">
        <v>1</v>
      </c>
      <c r="C101" t="s">
        <v>1</v>
      </c>
      <c r="D101" t="s">
        <v>1</v>
      </c>
      <c r="E101" t="s">
        <v>4186</v>
      </c>
      <c r="F101" t="s">
        <v>4187</v>
      </c>
      <c r="G101" t="s">
        <v>1</v>
      </c>
      <c r="H101" t="s">
        <v>1</v>
      </c>
      <c r="M101" t="s">
        <v>1</v>
      </c>
      <c r="N101" t="s">
        <v>1</v>
      </c>
      <c r="O101" t="s">
        <v>1</v>
      </c>
      <c r="R101" t="s">
        <v>1</v>
      </c>
      <c r="S101" t="s">
        <v>1</v>
      </c>
      <c r="T101" t="s">
        <v>1799</v>
      </c>
      <c r="U101" s="3" t="s">
        <v>1</v>
      </c>
      <c r="V101" s="3" t="s">
        <v>4188</v>
      </c>
      <c r="W101" s="3" t="s">
        <v>4189</v>
      </c>
      <c r="X101" t="s">
        <v>2063</v>
      </c>
    </row>
    <row r="102" spans="1:24">
      <c r="A102" s="2">
        <v>46227</v>
      </c>
      <c r="B102" t="s">
        <v>1</v>
      </c>
      <c r="C102" t="s">
        <v>1</v>
      </c>
      <c r="D102" t="s">
        <v>1</v>
      </c>
      <c r="E102" t="s">
        <v>4190</v>
      </c>
      <c r="F102" t="s">
        <v>4191</v>
      </c>
      <c r="G102" t="s">
        <v>1</v>
      </c>
      <c r="H102" t="s">
        <v>1</v>
      </c>
      <c r="I102">
        <v>600</v>
      </c>
      <c r="K102">
        <v>29</v>
      </c>
      <c r="M102" t="s">
        <v>1</v>
      </c>
      <c r="N102" t="s">
        <v>1</v>
      </c>
      <c r="O102" t="s">
        <v>1</v>
      </c>
      <c r="P102">
        <v>0</v>
      </c>
      <c r="R102" t="s">
        <v>1</v>
      </c>
      <c r="S102" t="s">
        <v>8</v>
      </c>
      <c r="T102" t="s">
        <v>1</v>
      </c>
      <c r="U102" s="3" t="s">
        <v>1</v>
      </c>
      <c r="V102" s="3" t="s">
        <v>4192</v>
      </c>
      <c r="W102" s="3" t="s">
        <v>4871</v>
      </c>
      <c r="X102" t="s">
        <v>2320</v>
      </c>
    </row>
    <row r="103" spans="1:24">
      <c r="A103" s="2">
        <v>46227</v>
      </c>
      <c r="B103" t="s">
        <v>1</v>
      </c>
      <c r="C103" t="s">
        <v>1</v>
      </c>
      <c r="D103" t="s">
        <v>1</v>
      </c>
      <c r="E103" t="s">
        <v>4194</v>
      </c>
      <c r="F103" t="s">
        <v>4195</v>
      </c>
      <c r="G103" t="s">
        <v>1</v>
      </c>
      <c r="H103" t="s">
        <v>1</v>
      </c>
      <c r="I103">
        <v>2737</v>
      </c>
      <c r="J103">
        <v>426</v>
      </c>
      <c r="K103">
        <v>21</v>
      </c>
      <c r="M103" t="s">
        <v>1</v>
      </c>
      <c r="N103" t="s">
        <v>1</v>
      </c>
      <c r="O103" t="s">
        <v>1</v>
      </c>
      <c r="P103">
        <v>0</v>
      </c>
      <c r="R103" t="s">
        <v>1</v>
      </c>
      <c r="S103" t="s">
        <v>80</v>
      </c>
      <c r="T103" t="s">
        <v>98</v>
      </c>
      <c r="U103" s="3" t="s">
        <v>1</v>
      </c>
      <c r="V103" s="3" t="s">
        <v>4196</v>
      </c>
      <c r="W103" s="3" t="s">
        <v>4872</v>
      </c>
      <c r="X103" t="s">
        <v>2063</v>
      </c>
    </row>
    <row r="104" spans="1:24">
      <c r="A104" s="2">
        <v>46227</v>
      </c>
      <c r="B104" t="s">
        <v>1</v>
      </c>
      <c r="C104" t="s">
        <v>1</v>
      </c>
      <c r="D104" t="s">
        <v>1</v>
      </c>
      <c r="E104" t="s">
        <v>4198</v>
      </c>
      <c r="F104" t="s">
        <v>4198</v>
      </c>
      <c r="G104" t="s">
        <v>1</v>
      </c>
      <c r="H104" t="s">
        <v>1</v>
      </c>
      <c r="M104" t="s">
        <v>1</v>
      </c>
      <c r="N104" t="s">
        <v>1</v>
      </c>
      <c r="O104" t="s">
        <v>1</v>
      </c>
      <c r="R104" t="s">
        <v>1</v>
      </c>
      <c r="S104" t="s">
        <v>8</v>
      </c>
      <c r="T104" t="s">
        <v>1</v>
      </c>
      <c r="U104" s="3" t="s">
        <v>1</v>
      </c>
      <c r="V104" s="3" t="s">
        <v>4199</v>
      </c>
      <c r="W104" s="3" t="s">
        <v>4200</v>
      </c>
      <c r="X104" t="s">
        <v>2241</v>
      </c>
    </row>
    <row r="105" spans="1:24">
      <c r="A105" s="2">
        <v>46227</v>
      </c>
      <c r="B105" t="s">
        <v>1</v>
      </c>
      <c r="C105" t="s">
        <v>1</v>
      </c>
      <c r="D105" t="s">
        <v>1</v>
      </c>
      <c r="E105" t="s">
        <v>4201</v>
      </c>
      <c r="F105" t="s">
        <v>4202</v>
      </c>
      <c r="G105" t="s">
        <v>1</v>
      </c>
      <c r="H105" t="s">
        <v>4190</v>
      </c>
      <c r="K105">
        <v>4</v>
      </c>
      <c r="M105" t="s">
        <v>1</v>
      </c>
      <c r="N105" t="s">
        <v>1</v>
      </c>
      <c r="O105" t="s">
        <v>1</v>
      </c>
      <c r="P105">
        <v>0</v>
      </c>
      <c r="R105" t="s">
        <v>1</v>
      </c>
      <c r="S105" t="s">
        <v>80</v>
      </c>
      <c r="T105" t="s">
        <v>1</v>
      </c>
      <c r="U105" s="3" t="s">
        <v>1</v>
      </c>
      <c r="V105" s="3" t="s">
        <v>4203</v>
      </c>
      <c r="W105" s="3" t="s">
        <v>4873</v>
      </c>
      <c r="X105" t="s">
        <v>2320</v>
      </c>
    </row>
    <row r="106" spans="1:24">
      <c r="A106" s="2">
        <v>46227</v>
      </c>
      <c r="B106" t="s">
        <v>1</v>
      </c>
      <c r="C106" t="s">
        <v>1</v>
      </c>
      <c r="D106" t="s">
        <v>1</v>
      </c>
      <c r="E106" t="s">
        <v>4205</v>
      </c>
      <c r="F106" t="s">
        <v>4206</v>
      </c>
      <c r="G106" t="s">
        <v>1</v>
      </c>
      <c r="H106" t="s">
        <v>1</v>
      </c>
      <c r="M106" t="s">
        <v>1</v>
      </c>
      <c r="N106" t="s">
        <v>1</v>
      </c>
      <c r="O106" t="s">
        <v>1</v>
      </c>
      <c r="R106" t="s">
        <v>1</v>
      </c>
      <c r="S106" t="s">
        <v>8</v>
      </c>
      <c r="T106" t="s">
        <v>4207</v>
      </c>
      <c r="U106" s="3" t="s">
        <v>1</v>
      </c>
      <c r="V106" s="3" t="s">
        <v>4208</v>
      </c>
      <c r="W106" s="3" t="s">
        <v>4209</v>
      </c>
      <c r="X106" t="s">
        <v>4210</v>
      </c>
    </row>
    <row r="107" spans="1:24">
      <c r="A107" s="2">
        <v>46226</v>
      </c>
      <c r="B107" t="s">
        <v>1</v>
      </c>
      <c r="C107" t="s">
        <v>1</v>
      </c>
      <c r="D107" t="s">
        <v>1</v>
      </c>
      <c r="E107" t="s">
        <v>4211</v>
      </c>
      <c r="F107" t="s">
        <v>3988</v>
      </c>
      <c r="G107" t="s">
        <v>1</v>
      </c>
      <c r="H107" t="s">
        <v>1</v>
      </c>
      <c r="M107" t="s">
        <v>1</v>
      </c>
      <c r="N107" t="s">
        <v>1</v>
      </c>
      <c r="O107" t="s">
        <v>1</v>
      </c>
      <c r="P107">
        <v>0</v>
      </c>
      <c r="R107" t="s">
        <v>1</v>
      </c>
      <c r="S107" t="s">
        <v>4212</v>
      </c>
      <c r="T107" t="s">
        <v>1</v>
      </c>
      <c r="U107" s="3" t="s">
        <v>1</v>
      </c>
      <c r="V107" s="3" t="s">
        <v>1</v>
      </c>
      <c r="W107" s="3" t="s">
        <v>4911</v>
      </c>
      <c r="X107" t="s">
        <v>4042</v>
      </c>
    </row>
    <row r="108" spans="1:24">
      <c r="A108" s="2">
        <v>46226</v>
      </c>
      <c r="B108" t="s">
        <v>1</v>
      </c>
      <c r="C108" t="s">
        <v>1</v>
      </c>
      <c r="D108" t="s">
        <v>1</v>
      </c>
      <c r="E108" t="s">
        <v>4214</v>
      </c>
      <c r="F108" t="s">
        <v>3988</v>
      </c>
      <c r="G108" t="s">
        <v>4215</v>
      </c>
      <c r="H108" t="s">
        <v>1</v>
      </c>
      <c r="M108" t="s">
        <v>1</v>
      </c>
      <c r="N108" t="s">
        <v>1</v>
      </c>
      <c r="O108" t="s">
        <v>1</v>
      </c>
      <c r="P108">
        <v>0</v>
      </c>
      <c r="R108" t="s">
        <v>1</v>
      </c>
      <c r="S108" t="s">
        <v>2080</v>
      </c>
      <c r="T108" t="s">
        <v>1</v>
      </c>
      <c r="U108" s="3" t="s">
        <v>1</v>
      </c>
      <c r="V108" s="3" t="s">
        <v>4216</v>
      </c>
      <c r="W108" s="3" t="s">
        <v>4912</v>
      </c>
      <c r="X108" t="s">
        <v>1886</v>
      </c>
    </row>
    <row r="109" spans="1:24">
      <c r="A109" s="2">
        <v>46226</v>
      </c>
      <c r="B109" t="s">
        <v>1</v>
      </c>
      <c r="C109" t="s">
        <v>1</v>
      </c>
      <c r="D109" t="s">
        <v>1</v>
      </c>
      <c r="E109" t="s">
        <v>4218</v>
      </c>
      <c r="F109" t="s">
        <v>4219</v>
      </c>
      <c r="G109" t="s">
        <v>1</v>
      </c>
      <c r="H109" t="s">
        <v>4220</v>
      </c>
      <c r="M109" t="s">
        <v>1</v>
      </c>
      <c r="N109" t="s">
        <v>1</v>
      </c>
      <c r="O109" t="s">
        <v>1</v>
      </c>
      <c r="P109">
        <v>0</v>
      </c>
      <c r="R109" t="s">
        <v>1</v>
      </c>
      <c r="S109" t="s">
        <v>8</v>
      </c>
      <c r="T109" t="s">
        <v>4221</v>
      </c>
      <c r="U109" s="3" t="s">
        <v>1</v>
      </c>
      <c r="V109" s="3" t="s">
        <v>4222</v>
      </c>
      <c r="W109" s="3" t="s">
        <v>4913</v>
      </c>
      <c r="X109" t="s">
        <v>2063</v>
      </c>
    </row>
    <row r="110" spans="1:24">
      <c r="A110" s="2">
        <v>46226</v>
      </c>
      <c r="B110" t="s">
        <v>1</v>
      </c>
      <c r="C110" t="s">
        <v>1</v>
      </c>
      <c r="D110" t="s">
        <v>1</v>
      </c>
      <c r="E110" t="s">
        <v>4224</v>
      </c>
      <c r="F110" t="s">
        <v>4225</v>
      </c>
      <c r="G110" t="s">
        <v>1</v>
      </c>
      <c r="H110" t="s">
        <v>1</v>
      </c>
      <c r="M110" t="s">
        <v>1</v>
      </c>
      <c r="N110" t="s">
        <v>1</v>
      </c>
      <c r="O110" t="s">
        <v>1</v>
      </c>
      <c r="P110">
        <v>0</v>
      </c>
      <c r="R110" t="s">
        <v>1</v>
      </c>
      <c r="S110" t="s">
        <v>8</v>
      </c>
      <c r="T110" t="s">
        <v>4221</v>
      </c>
      <c r="U110" s="3" t="s">
        <v>1</v>
      </c>
      <c r="V110" s="3" t="s">
        <v>4226</v>
      </c>
      <c r="W110" s="3" t="s">
        <v>4914</v>
      </c>
      <c r="X110" t="s">
        <v>2063</v>
      </c>
    </row>
    <row r="111" spans="1:24">
      <c r="A111" s="2">
        <v>46226</v>
      </c>
      <c r="B111" t="s">
        <v>1</v>
      </c>
      <c r="C111" t="s">
        <v>1</v>
      </c>
      <c r="D111" t="s">
        <v>1</v>
      </c>
      <c r="E111" t="s">
        <v>4228</v>
      </c>
      <c r="F111" t="s">
        <v>4229</v>
      </c>
      <c r="G111" t="s">
        <v>1</v>
      </c>
      <c r="H111" t="s">
        <v>1</v>
      </c>
      <c r="M111" t="s">
        <v>1</v>
      </c>
      <c r="N111" t="s">
        <v>1</v>
      </c>
      <c r="O111" t="s">
        <v>1</v>
      </c>
      <c r="P111">
        <v>0</v>
      </c>
      <c r="R111" t="s">
        <v>1</v>
      </c>
      <c r="S111" t="s">
        <v>8</v>
      </c>
      <c r="T111" t="s">
        <v>4221</v>
      </c>
      <c r="U111" s="3" t="s">
        <v>1</v>
      </c>
      <c r="V111" s="3" t="s">
        <v>4230</v>
      </c>
      <c r="W111" s="3" t="s">
        <v>4915</v>
      </c>
      <c r="X111" t="s">
        <v>2063</v>
      </c>
    </row>
    <row r="112" spans="1:24">
      <c r="A112" s="2">
        <v>46226</v>
      </c>
      <c r="B112" t="s">
        <v>1</v>
      </c>
      <c r="C112" t="s">
        <v>1</v>
      </c>
      <c r="D112" t="s">
        <v>1</v>
      </c>
      <c r="E112" t="s">
        <v>4232</v>
      </c>
      <c r="F112" t="s">
        <v>4233</v>
      </c>
      <c r="G112" t="s">
        <v>1</v>
      </c>
      <c r="H112" t="s">
        <v>4234</v>
      </c>
      <c r="M112" t="s">
        <v>1</v>
      </c>
      <c r="N112" t="s">
        <v>1</v>
      </c>
      <c r="O112" t="s">
        <v>1</v>
      </c>
      <c r="P112">
        <v>0</v>
      </c>
      <c r="R112" t="s">
        <v>1</v>
      </c>
      <c r="S112" t="s">
        <v>107</v>
      </c>
      <c r="T112" t="s">
        <v>4235</v>
      </c>
      <c r="U112" s="3" t="s">
        <v>1</v>
      </c>
      <c r="V112" s="3" t="s">
        <v>4236</v>
      </c>
      <c r="W112" s="3" t="s">
        <v>4874</v>
      </c>
      <c r="X112" t="s">
        <v>2144</v>
      </c>
    </row>
    <row r="113" spans="1:24">
      <c r="A113" s="2">
        <v>46226</v>
      </c>
      <c r="B113" t="s">
        <v>1</v>
      </c>
      <c r="C113" t="s">
        <v>1</v>
      </c>
      <c r="D113" t="s">
        <v>1</v>
      </c>
      <c r="E113" t="s">
        <v>4238</v>
      </c>
      <c r="F113" t="s">
        <v>4239</v>
      </c>
      <c r="G113" t="s">
        <v>1</v>
      </c>
      <c r="H113" t="s">
        <v>1</v>
      </c>
      <c r="K113">
        <v>6</v>
      </c>
      <c r="M113" t="s">
        <v>1</v>
      </c>
      <c r="N113" t="s">
        <v>1</v>
      </c>
      <c r="O113" t="s">
        <v>1</v>
      </c>
      <c r="P113">
        <v>0</v>
      </c>
      <c r="R113" t="s">
        <v>1</v>
      </c>
      <c r="S113" t="s">
        <v>107</v>
      </c>
      <c r="T113" t="s">
        <v>4240</v>
      </c>
      <c r="U113" s="3" t="s">
        <v>1</v>
      </c>
      <c r="V113" s="3" t="s">
        <v>4241</v>
      </c>
      <c r="W113" s="3" t="s">
        <v>4875</v>
      </c>
      <c r="X113" t="s">
        <v>2320</v>
      </c>
    </row>
    <row r="114" spans="1:24">
      <c r="A114" s="2">
        <v>46226</v>
      </c>
      <c r="B114" t="s">
        <v>1</v>
      </c>
      <c r="C114" t="s">
        <v>1</v>
      </c>
      <c r="D114" t="s">
        <v>1</v>
      </c>
      <c r="E114" t="s">
        <v>4243</v>
      </c>
      <c r="F114" t="s">
        <v>4244</v>
      </c>
      <c r="G114" t="s">
        <v>1</v>
      </c>
      <c r="H114" t="s">
        <v>1</v>
      </c>
      <c r="K114">
        <v>6</v>
      </c>
      <c r="M114" t="s">
        <v>1</v>
      </c>
      <c r="N114" t="s">
        <v>1</v>
      </c>
      <c r="O114" t="s">
        <v>1</v>
      </c>
      <c r="P114">
        <v>0</v>
      </c>
      <c r="R114" t="s">
        <v>1</v>
      </c>
      <c r="S114" t="s">
        <v>8</v>
      </c>
      <c r="T114" t="s">
        <v>4245</v>
      </c>
      <c r="U114" s="3" t="s">
        <v>1</v>
      </c>
      <c r="V114" s="3" t="s">
        <v>4246</v>
      </c>
      <c r="W114" s="3" t="s">
        <v>4876</v>
      </c>
      <c r="X114" t="s">
        <v>2144</v>
      </c>
    </row>
    <row r="115" spans="1:24">
      <c r="A115" s="2">
        <v>46226</v>
      </c>
      <c r="B115" t="s">
        <v>1</v>
      </c>
      <c r="C115" t="s">
        <v>1</v>
      </c>
      <c r="D115" t="s">
        <v>1</v>
      </c>
      <c r="E115" t="s">
        <v>4248</v>
      </c>
      <c r="F115" t="s">
        <v>4249</v>
      </c>
      <c r="G115" t="s">
        <v>1</v>
      </c>
      <c r="H115" t="s">
        <v>4250</v>
      </c>
      <c r="M115" t="s">
        <v>1</v>
      </c>
      <c r="N115" t="s">
        <v>1</v>
      </c>
      <c r="O115" t="s">
        <v>1</v>
      </c>
      <c r="P115">
        <v>0</v>
      </c>
      <c r="R115" t="s">
        <v>1</v>
      </c>
      <c r="S115" t="s">
        <v>107</v>
      </c>
      <c r="T115" t="s">
        <v>4251</v>
      </c>
      <c r="U115" s="3" t="s">
        <v>1</v>
      </c>
      <c r="V115" s="3" t="s">
        <v>4252</v>
      </c>
      <c r="W115" s="3" t="s">
        <v>4877</v>
      </c>
      <c r="X115" t="s">
        <v>2144</v>
      </c>
    </row>
    <row r="116" spans="1:24">
      <c r="A116" s="2">
        <v>46226</v>
      </c>
      <c r="B116" t="s">
        <v>1</v>
      </c>
      <c r="C116" t="s">
        <v>1</v>
      </c>
      <c r="D116" t="s">
        <v>1</v>
      </c>
      <c r="E116" t="s">
        <v>4254</v>
      </c>
      <c r="F116" t="s">
        <v>4255</v>
      </c>
      <c r="G116" t="s">
        <v>1</v>
      </c>
      <c r="H116" t="s">
        <v>4256</v>
      </c>
      <c r="I116">
        <v>2500</v>
      </c>
      <c r="M116" t="s">
        <v>1</v>
      </c>
      <c r="N116" t="s">
        <v>1</v>
      </c>
      <c r="O116" t="s">
        <v>4257</v>
      </c>
      <c r="P116">
        <v>0</v>
      </c>
      <c r="R116" t="s">
        <v>1</v>
      </c>
      <c r="S116" t="s">
        <v>8</v>
      </c>
      <c r="T116" t="s">
        <v>1</v>
      </c>
      <c r="U116" s="3" t="s">
        <v>1</v>
      </c>
      <c r="V116" s="3" t="s">
        <v>4258</v>
      </c>
      <c r="W116" s="3" t="s">
        <v>4916</v>
      </c>
      <c r="X116" t="s">
        <v>2063</v>
      </c>
    </row>
    <row r="117" spans="1:24">
      <c r="A117" s="2">
        <v>46226</v>
      </c>
      <c r="B117" t="s">
        <v>1</v>
      </c>
      <c r="C117" t="s">
        <v>1</v>
      </c>
      <c r="D117" t="s">
        <v>1</v>
      </c>
      <c r="E117" t="s">
        <v>4260</v>
      </c>
      <c r="F117" t="s">
        <v>4261</v>
      </c>
      <c r="G117" t="s">
        <v>1</v>
      </c>
      <c r="H117" t="s">
        <v>1</v>
      </c>
      <c r="M117" t="s">
        <v>1</v>
      </c>
      <c r="N117" t="s">
        <v>1</v>
      </c>
      <c r="O117" t="s">
        <v>4262</v>
      </c>
      <c r="P117">
        <v>0</v>
      </c>
      <c r="R117" t="s">
        <v>1</v>
      </c>
      <c r="S117" t="s">
        <v>8</v>
      </c>
      <c r="T117" t="s">
        <v>1</v>
      </c>
      <c r="U117" s="3" t="s">
        <v>1</v>
      </c>
      <c r="V117" s="3" t="s">
        <v>4263</v>
      </c>
      <c r="W117" s="3" t="s">
        <v>4878</v>
      </c>
      <c r="X117" t="s">
        <v>2387</v>
      </c>
    </row>
    <row r="118" spans="1:24">
      <c r="A118" s="2">
        <v>46226</v>
      </c>
      <c r="B118" t="s">
        <v>1</v>
      </c>
      <c r="C118" t="s">
        <v>1</v>
      </c>
      <c r="D118" t="s">
        <v>1</v>
      </c>
      <c r="E118" t="s">
        <v>4265</v>
      </c>
      <c r="F118" t="s">
        <v>4266</v>
      </c>
      <c r="G118" t="s">
        <v>1</v>
      </c>
      <c r="H118" t="s">
        <v>1</v>
      </c>
      <c r="I118">
        <v>270</v>
      </c>
      <c r="J118">
        <v>40</v>
      </c>
      <c r="M118" t="s">
        <v>1</v>
      </c>
      <c r="N118" t="s">
        <v>1</v>
      </c>
      <c r="O118" t="s">
        <v>1</v>
      </c>
      <c r="P118">
        <v>0</v>
      </c>
      <c r="R118" t="s">
        <v>1</v>
      </c>
      <c r="S118" t="s">
        <v>8</v>
      </c>
      <c r="T118" t="s">
        <v>98</v>
      </c>
      <c r="U118" s="3" t="s">
        <v>1</v>
      </c>
      <c r="V118" s="3" t="s">
        <v>4267</v>
      </c>
      <c r="W118" s="3" t="s">
        <v>4879</v>
      </c>
      <c r="X118" t="s">
        <v>2320</v>
      </c>
    </row>
    <row r="119" spans="1:24">
      <c r="A119" s="2">
        <v>46226</v>
      </c>
      <c r="B119" t="s">
        <v>1</v>
      </c>
      <c r="C119" t="s">
        <v>1</v>
      </c>
      <c r="D119" t="s">
        <v>1</v>
      </c>
      <c r="E119" t="s">
        <v>4269</v>
      </c>
      <c r="F119" t="s">
        <v>4270</v>
      </c>
      <c r="G119" t="s">
        <v>1</v>
      </c>
      <c r="H119" t="s">
        <v>4271</v>
      </c>
      <c r="I119">
        <v>1000</v>
      </c>
      <c r="M119" t="s">
        <v>1</v>
      </c>
      <c r="N119" t="s">
        <v>1</v>
      </c>
      <c r="O119" t="s">
        <v>1</v>
      </c>
      <c r="P119">
        <v>0</v>
      </c>
      <c r="R119" t="s">
        <v>1</v>
      </c>
      <c r="S119" t="s">
        <v>8</v>
      </c>
      <c r="T119" t="s">
        <v>1</v>
      </c>
      <c r="U119" s="3" t="s">
        <v>1</v>
      </c>
      <c r="V119" s="3" t="s">
        <v>4272</v>
      </c>
      <c r="W119" s="3" t="s">
        <v>4917</v>
      </c>
      <c r="X119" t="s">
        <v>2063</v>
      </c>
    </row>
    <row r="120" spans="1:24">
      <c r="A120" s="2">
        <v>46226</v>
      </c>
      <c r="B120" t="s">
        <v>1</v>
      </c>
      <c r="C120" t="s">
        <v>1</v>
      </c>
      <c r="D120" t="s">
        <v>1</v>
      </c>
      <c r="E120" t="s">
        <v>4274</v>
      </c>
      <c r="F120" t="s">
        <v>4275</v>
      </c>
      <c r="G120" t="s">
        <v>1</v>
      </c>
      <c r="H120" t="s">
        <v>1</v>
      </c>
      <c r="M120" t="s">
        <v>1</v>
      </c>
      <c r="N120" t="s">
        <v>1</v>
      </c>
      <c r="O120" t="s">
        <v>1</v>
      </c>
      <c r="R120" t="s">
        <v>1</v>
      </c>
      <c r="S120" t="s">
        <v>8</v>
      </c>
      <c r="T120" t="s">
        <v>4276</v>
      </c>
      <c r="U120" s="3" t="s">
        <v>1</v>
      </c>
      <c r="V120" s="3" t="s">
        <v>4277</v>
      </c>
      <c r="W120" s="3" t="s">
        <v>4965</v>
      </c>
      <c r="X120" t="s">
        <v>2241</v>
      </c>
    </row>
    <row r="121" spans="1:24">
      <c r="A121" s="2">
        <v>46225</v>
      </c>
      <c r="B121" t="s">
        <v>1</v>
      </c>
      <c r="C121" t="s">
        <v>1</v>
      </c>
      <c r="D121" t="s">
        <v>1</v>
      </c>
      <c r="E121" t="s">
        <v>4279</v>
      </c>
      <c r="F121" t="s">
        <v>4280</v>
      </c>
      <c r="G121" t="s">
        <v>4281</v>
      </c>
      <c r="H121" t="s">
        <v>1</v>
      </c>
      <c r="M121" t="s">
        <v>1</v>
      </c>
      <c r="N121" t="s">
        <v>1</v>
      </c>
      <c r="O121" t="s">
        <v>1</v>
      </c>
      <c r="P121">
        <v>0</v>
      </c>
      <c r="R121" t="s">
        <v>1</v>
      </c>
      <c r="S121" t="s">
        <v>4282</v>
      </c>
      <c r="T121" t="s">
        <v>1</v>
      </c>
      <c r="U121" s="3" t="s">
        <v>1</v>
      </c>
      <c r="V121" s="3" t="s">
        <v>4283</v>
      </c>
      <c r="W121" s="3" t="s">
        <v>4880</v>
      </c>
      <c r="X121" t="s">
        <v>4050</v>
      </c>
    </row>
    <row r="122" spans="1:24">
      <c r="A122" s="2">
        <v>46225</v>
      </c>
      <c r="B122" t="s">
        <v>1</v>
      </c>
      <c r="C122" t="s">
        <v>1</v>
      </c>
      <c r="D122" t="s">
        <v>1</v>
      </c>
      <c r="E122" t="s">
        <v>4215</v>
      </c>
      <c r="F122" t="s">
        <v>3988</v>
      </c>
      <c r="G122" t="s">
        <v>4215</v>
      </c>
      <c r="H122" t="s">
        <v>1</v>
      </c>
      <c r="M122" t="s">
        <v>1</v>
      </c>
      <c r="N122" t="s">
        <v>1</v>
      </c>
      <c r="O122" t="s">
        <v>1</v>
      </c>
      <c r="P122">
        <v>42000.0</v>
      </c>
      <c r="R122" t="s">
        <v>1</v>
      </c>
      <c r="S122" t="s">
        <v>4285</v>
      </c>
      <c r="T122" t="s">
        <v>1</v>
      </c>
      <c r="U122" s="3" t="s">
        <v>1</v>
      </c>
      <c r="V122" s="3" t="s">
        <v>4286</v>
      </c>
      <c r="W122" s="3" t="s">
        <v>4909</v>
      </c>
      <c r="X122" t="s">
        <v>4050</v>
      </c>
    </row>
    <row r="123" spans="1:24">
      <c r="A123" s="2">
        <v>46225</v>
      </c>
      <c r="B123" t="s">
        <v>1</v>
      </c>
      <c r="C123" t="s">
        <v>1</v>
      </c>
      <c r="D123" t="s">
        <v>1</v>
      </c>
      <c r="E123" t="s">
        <v>4288</v>
      </c>
      <c r="F123" t="s">
        <v>4289</v>
      </c>
      <c r="G123" t="s">
        <v>1</v>
      </c>
      <c r="H123" t="s">
        <v>1</v>
      </c>
      <c r="M123" t="s">
        <v>1</v>
      </c>
      <c r="N123" t="s">
        <v>1</v>
      </c>
      <c r="O123" t="s">
        <v>1</v>
      </c>
      <c r="P123">
        <v>0</v>
      </c>
      <c r="R123" t="s">
        <v>1</v>
      </c>
      <c r="S123" t="s">
        <v>107</v>
      </c>
      <c r="T123" t="s">
        <v>4290</v>
      </c>
      <c r="U123" s="3" t="s">
        <v>1</v>
      </c>
      <c r="V123" s="3" t="s">
        <v>4291</v>
      </c>
      <c r="W123" s="3" t="s">
        <v>4881</v>
      </c>
      <c r="X123" t="s">
        <v>2063</v>
      </c>
    </row>
    <row r="124" spans="1:24">
      <c r="A124" s="2">
        <v>46225</v>
      </c>
      <c r="B124" t="s">
        <v>1</v>
      </c>
      <c r="C124" t="s">
        <v>1</v>
      </c>
      <c r="D124" t="s">
        <v>1</v>
      </c>
      <c r="E124" t="s">
        <v>4293</v>
      </c>
      <c r="F124" t="s">
        <v>4294</v>
      </c>
      <c r="G124" t="s">
        <v>1</v>
      </c>
      <c r="H124" t="s">
        <v>1</v>
      </c>
      <c r="M124" t="s">
        <v>1</v>
      </c>
      <c r="N124" t="s">
        <v>1</v>
      </c>
      <c r="O124" t="s">
        <v>1</v>
      </c>
      <c r="R124" t="s">
        <v>1</v>
      </c>
      <c r="S124" t="s">
        <v>8</v>
      </c>
      <c r="T124" t="s">
        <v>1</v>
      </c>
      <c r="U124" s="3" t="s">
        <v>1</v>
      </c>
      <c r="V124" s="3" t="s">
        <v>4295</v>
      </c>
      <c r="W124" s="3" t="s">
        <v>4296</v>
      </c>
      <c r="X124" t="s">
        <v>2063</v>
      </c>
    </row>
    <row r="125" spans="1:24">
      <c r="A125" s="2">
        <v>46225</v>
      </c>
      <c r="B125" t="s">
        <v>1</v>
      </c>
      <c r="C125" t="s">
        <v>1</v>
      </c>
      <c r="D125" t="s">
        <v>1</v>
      </c>
      <c r="E125" t="s">
        <v>4297</v>
      </c>
      <c r="F125" t="s">
        <v>4298</v>
      </c>
      <c r="G125" t="s">
        <v>1</v>
      </c>
      <c r="H125" t="s">
        <v>4299</v>
      </c>
      <c r="I125">
        <v>800</v>
      </c>
      <c r="M125" t="s">
        <v>4300</v>
      </c>
      <c r="N125" t="s">
        <v>1</v>
      </c>
      <c r="O125" t="s">
        <v>1</v>
      </c>
      <c r="P125">
        <v>0</v>
      </c>
      <c r="R125" t="s">
        <v>1</v>
      </c>
      <c r="S125" t="s">
        <v>8</v>
      </c>
      <c r="T125" t="s">
        <v>1</v>
      </c>
      <c r="U125" s="3" t="s">
        <v>1</v>
      </c>
      <c r="V125" s="3" t="s">
        <v>4301</v>
      </c>
      <c r="W125" s="3" t="s">
        <v>4918</v>
      </c>
      <c r="X125" t="s">
        <v>2063</v>
      </c>
    </row>
    <row r="126" spans="1:24">
      <c r="A126" s="2">
        <v>46225</v>
      </c>
      <c r="B126" t="s">
        <v>1</v>
      </c>
      <c r="C126" t="s">
        <v>1</v>
      </c>
      <c r="D126" t="s">
        <v>1</v>
      </c>
      <c r="E126" t="s">
        <v>4303</v>
      </c>
      <c r="F126" t="s">
        <v>4304</v>
      </c>
      <c r="G126" t="s">
        <v>4305</v>
      </c>
      <c r="H126" t="s">
        <v>3994</v>
      </c>
      <c r="M126" t="s">
        <v>1</v>
      </c>
      <c r="N126" t="s">
        <v>1</v>
      </c>
      <c r="O126" t="s">
        <v>1</v>
      </c>
      <c r="P126">
        <v>0</v>
      </c>
      <c r="R126" t="s">
        <v>1</v>
      </c>
      <c r="S126" t="s">
        <v>1</v>
      </c>
      <c r="T126" t="s">
        <v>1</v>
      </c>
      <c r="U126" s="3" t="s">
        <v>1</v>
      </c>
      <c r="V126" s="3" t="s">
        <v>4306</v>
      </c>
      <c r="W126" s="3" t="s">
        <v>4921</v>
      </c>
      <c r="X126" t="s">
        <v>1886</v>
      </c>
    </row>
    <row r="127" spans="1:24">
      <c r="A127" s="2">
        <v>46224</v>
      </c>
      <c r="B127" t="s">
        <v>1</v>
      </c>
      <c r="C127" t="s">
        <v>1</v>
      </c>
      <c r="D127" t="s">
        <v>1</v>
      </c>
      <c r="E127" t="s">
        <v>3746</v>
      </c>
      <c r="F127" t="s">
        <v>4308</v>
      </c>
      <c r="G127" t="s">
        <v>1</v>
      </c>
      <c r="H127" t="s">
        <v>3748</v>
      </c>
      <c r="I127">
        <v>124</v>
      </c>
      <c r="K127">
        <v>0</v>
      </c>
      <c r="L127">
        <v>4</v>
      </c>
      <c r="M127" t="s">
        <v>4309</v>
      </c>
      <c r="N127" t="s">
        <v>1</v>
      </c>
      <c r="O127" t="s">
        <v>1</v>
      </c>
      <c r="R127" t="s">
        <v>1</v>
      </c>
      <c r="S127" t="s">
        <v>8</v>
      </c>
      <c r="T127" t="s">
        <v>1</v>
      </c>
      <c r="U127" s="3" t="s">
        <v>1</v>
      </c>
      <c r="V127" s="3" t="s">
        <v>4310</v>
      </c>
      <c r="W127" s="3" t="s">
        <v>4311</v>
      </c>
      <c r="X127" t="s">
        <v>719</v>
      </c>
    </row>
    <row r="128" spans="1:24">
      <c r="A128" s="2">
        <v>46224</v>
      </c>
      <c r="B128" t="s">
        <v>1</v>
      </c>
      <c r="C128" t="s">
        <v>1</v>
      </c>
      <c r="D128" t="s">
        <v>1</v>
      </c>
      <c r="E128" t="s">
        <v>4312</v>
      </c>
      <c r="F128" t="s">
        <v>4313</v>
      </c>
      <c r="G128" t="s">
        <v>1</v>
      </c>
      <c r="H128" t="s">
        <v>1</v>
      </c>
      <c r="I128">
        <v>600</v>
      </c>
      <c r="K128">
        <v>29</v>
      </c>
      <c r="M128" t="s">
        <v>1</v>
      </c>
      <c r="N128" t="s">
        <v>1</v>
      </c>
      <c r="O128" t="s">
        <v>1</v>
      </c>
      <c r="P128">
        <v>0</v>
      </c>
      <c r="R128" t="s">
        <v>1</v>
      </c>
      <c r="S128" t="s">
        <v>58</v>
      </c>
      <c r="T128" t="s">
        <v>1903</v>
      </c>
      <c r="U128" s="3" t="s">
        <v>1</v>
      </c>
      <c r="V128" s="3" t="s">
        <v>4314</v>
      </c>
      <c r="W128" s="3" t="s">
        <v>4923</v>
      </c>
      <c r="X128" t="s">
        <v>2063</v>
      </c>
    </row>
    <row r="129" spans="1:24">
      <c r="A129" s="2">
        <v>46222</v>
      </c>
      <c r="B129" t="s">
        <v>1</v>
      </c>
      <c r="C129" t="s">
        <v>1</v>
      </c>
      <c r="D129" t="s">
        <v>1</v>
      </c>
      <c r="E129" t="s">
        <v>4316</v>
      </c>
      <c r="F129" t="s">
        <v>64</v>
      </c>
      <c r="G129" t="s">
        <v>4317</v>
      </c>
      <c r="H129" t="s">
        <v>1</v>
      </c>
      <c r="M129" t="s">
        <v>1</v>
      </c>
      <c r="N129" t="s">
        <v>1</v>
      </c>
      <c r="O129" t="s">
        <v>1</v>
      </c>
      <c r="P129">
        <v>0</v>
      </c>
      <c r="R129" t="s">
        <v>1</v>
      </c>
      <c r="S129" t="s">
        <v>1</v>
      </c>
      <c r="T129" t="s">
        <v>1</v>
      </c>
      <c r="U129" s="3" t="s">
        <v>1</v>
      </c>
      <c r="V129" s="3" t="s">
        <v>4067</v>
      </c>
      <c r="W129" s="3" t="s">
        <v>4908</v>
      </c>
      <c r="X129" t="s">
        <v>4042</v>
      </c>
    </row>
    <row r="130" spans="1:24">
      <c r="A130" s="2">
        <v>46222</v>
      </c>
      <c r="B130" t="s">
        <v>1</v>
      </c>
      <c r="C130" t="s">
        <v>1</v>
      </c>
      <c r="D130" t="s">
        <v>1</v>
      </c>
      <c r="E130" t="s">
        <v>4319</v>
      </c>
      <c r="F130" t="s">
        <v>4320</v>
      </c>
      <c r="G130" t="s">
        <v>1</v>
      </c>
      <c r="H130" t="s">
        <v>4321</v>
      </c>
      <c r="I130">
        <v>450</v>
      </c>
      <c r="K130">
        <v>20</v>
      </c>
      <c r="M130" t="s">
        <v>1</v>
      </c>
      <c r="N130" t="s">
        <v>1</v>
      </c>
      <c r="O130" t="s">
        <v>1</v>
      </c>
      <c r="P130">
        <v>0</v>
      </c>
      <c r="R130" t="s">
        <v>1</v>
      </c>
      <c r="S130" t="s">
        <v>8</v>
      </c>
      <c r="T130" t="s">
        <v>4322</v>
      </c>
      <c r="U130" s="3" t="s">
        <v>1</v>
      </c>
      <c r="V130" s="3" t="s">
        <v>4323</v>
      </c>
      <c r="W130" s="3" t="s">
        <v>4933</v>
      </c>
      <c r="X130" t="s">
        <v>2387</v>
      </c>
    </row>
    <row r="131" spans="1:24">
      <c r="A131" s="2">
        <v>46219</v>
      </c>
      <c r="B131" t="s">
        <v>1</v>
      </c>
      <c r="C131" t="s">
        <v>1</v>
      </c>
      <c r="D131" t="s">
        <v>1</v>
      </c>
      <c r="E131" t="s">
        <v>4325</v>
      </c>
      <c r="F131" t="s">
        <v>4326</v>
      </c>
      <c r="G131" t="s">
        <v>1</v>
      </c>
      <c r="H131" t="s">
        <v>1</v>
      </c>
      <c r="I131">
        <v>400</v>
      </c>
      <c r="K131">
        <v>19</v>
      </c>
      <c r="M131" t="s">
        <v>1</v>
      </c>
      <c r="N131" t="s">
        <v>1</v>
      </c>
      <c r="O131" t="s">
        <v>1</v>
      </c>
      <c r="P131">
        <v>15400.0</v>
      </c>
      <c r="R131" t="s">
        <v>1</v>
      </c>
      <c r="S131" t="s">
        <v>80</v>
      </c>
      <c r="T131" t="s">
        <v>1</v>
      </c>
      <c r="U131" s="3" t="s">
        <v>1</v>
      </c>
      <c r="V131" s="3" t="s">
        <v>4327</v>
      </c>
      <c r="W131" s="3" t="s">
        <v>4932</v>
      </c>
      <c r="X131" t="s">
        <v>2446</v>
      </c>
    </row>
    <row r="132" spans="1:24">
      <c r="A132" s="2">
        <v>46219</v>
      </c>
      <c r="B132" t="s">
        <v>1</v>
      </c>
      <c r="C132" t="s">
        <v>1</v>
      </c>
      <c r="D132" t="s">
        <v>1</v>
      </c>
      <c r="E132" t="s">
        <v>4329</v>
      </c>
      <c r="F132" t="s">
        <v>4330</v>
      </c>
      <c r="G132" t="s">
        <v>1</v>
      </c>
      <c r="H132" t="s">
        <v>1</v>
      </c>
      <c r="I132">
        <v>1000</v>
      </c>
      <c r="M132" t="s">
        <v>1</v>
      </c>
      <c r="N132" t="s">
        <v>1</v>
      </c>
      <c r="O132" t="s">
        <v>1</v>
      </c>
      <c r="P132">
        <v>32000.0</v>
      </c>
      <c r="R132" t="s">
        <v>1</v>
      </c>
      <c r="S132" t="s">
        <v>8</v>
      </c>
      <c r="T132" t="s">
        <v>4331</v>
      </c>
      <c r="U132" s="3" t="s">
        <v>1</v>
      </c>
      <c r="V132" s="3" t="s">
        <v>4332</v>
      </c>
      <c r="W132" s="3" t="s">
        <v>4922</v>
      </c>
      <c r="X132" t="s">
        <v>2446</v>
      </c>
    </row>
    <row r="133" spans="1:24">
      <c r="A133" s="2">
        <v>46219</v>
      </c>
      <c r="B133" t="s">
        <v>1</v>
      </c>
      <c r="C133" t="s">
        <v>1</v>
      </c>
      <c r="D133" t="s">
        <v>1</v>
      </c>
      <c r="E133" t="s">
        <v>4334</v>
      </c>
      <c r="F133" t="s">
        <v>4335</v>
      </c>
      <c r="G133" t="s">
        <v>1</v>
      </c>
      <c r="H133" t="s">
        <v>4336</v>
      </c>
      <c r="K133">
        <v>20</v>
      </c>
      <c r="M133" t="s">
        <v>1</v>
      </c>
      <c r="N133" t="s">
        <v>1</v>
      </c>
      <c r="O133" t="s">
        <v>1</v>
      </c>
      <c r="P133">
        <v>0</v>
      </c>
      <c r="R133" t="s">
        <v>1</v>
      </c>
      <c r="S133" t="s">
        <v>8</v>
      </c>
      <c r="T133" t="s">
        <v>4337</v>
      </c>
      <c r="U133" s="3" t="s">
        <v>1</v>
      </c>
      <c r="V133" s="3" t="s">
        <v>4338</v>
      </c>
      <c r="W133" s="3" t="s">
        <v>4924</v>
      </c>
      <c r="X133" t="s">
        <v>2446</v>
      </c>
    </row>
    <row r="134" spans="1:24">
      <c r="A134" s="2">
        <v>46219</v>
      </c>
      <c r="B134" t="s">
        <v>1</v>
      </c>
      <c r="C134" t="s">
        <v>1</v>
      </c>
      <c r="D134" t="s">
        <v>1</v>
      </c>
      <c r="E134" t="s">
        <v>4340</v>
      </c>
      <c r="F134" t="s">
        <v>4341</v>
      </c>
      <c r="G134" t="s">
        <v>1</v>
      </c>
      <c r="H134" t="s">
        <v>1</v>
      </c>
      <c r="K134">
        <v>20</v>
      </c>
      <c r="M134" t="s">
        <v>1</v>
      </c>
      <c r="N134" t="s">
        <v>1</v>
      </c>
      <c r="O134" t="s">
        <v>1</v>
      </c>
      <c r="P134">
        <v>0</v>
      </c>
      <c r="R134" t="s">
        <v>1</v>
      </c>
      <c r="S134" t="s">
        <v>8</v>
      </c>
      <c r="T134" t="s">
        <v>4337</v>
      </c>
      <c r="U134" s="3" t="s">
        <v>1</v>
      </c>
      <c r="V134" s="3" t="s">
        <v>4342</v>
      </c>
      <c r="W134" s="3" t="s">
        <v>4925</v>
      </c>
      <c r="X134" t="s">
        <v>2446</v>
      </c>
    </row>
    <row r="135" spans="1:24">
      <c r="A135" s="2">
        <v>46219</v>
      </c>
      <c r="B135" t="s">
        <v>1</v>
      </c>
      <c r="C135" t="s">
        <v>1</v>
      </c>
      <c r="D135" t="s">
        <v>1</v>
      </c>
      <c r="E135" t="s">
        <v>4344</v>
      </c>
      <c r="F135" t="s">
        <v>4345</v>
      </c>
      <c r="G135" t="s">
        <v>1</v>
      </c>
      <c r="H135" t="s">
        <v>1</v>
      </c>
      <c r="K135">
        <v>20</v>
      </c>
      <c r="M135" t="s">
        <v>1</v>
      </c>
      <c r="N135" t="s">
        <v>1</v>
      </c>
      <c r="O135" t="s">
        <v>1</v>
      </c>
      <c r="P135">
        <v>0</v>
      </c>
      <c r="R135" t="s">
        <v>1</v>
      </c>
      <c r="S135" t="s">
        <v>8</v>
      </c>
      <c r="T135" t="s">
        <v>4337</v>
      </c>
      <c r="U135" s="3" t="s">
        <v>1</v>
      </c>
      <c r="V135" s="3" t="s">
        <v>4342</v>
      </c>
      <c r="W135" s="3" t="s">
        <v>4926</v>
      </c>
      <c r="X135" t="s">
        <v>2446</v>
      </c>
    </row>
    <row r="136" spans="1:24">
      <c r="A136" s="2">
        <v>46215</v>
      </c>
      <c r="B136" t="s">
        <v>1</v>
      </c>
      <c r="C136" t="s">
        <v>1</v>
      </c>
      <c r="D136" t="s">
        <v>1</v>
      </c>
      <c r="E136" t="s">
        <v>4347</v>
      </c>
      <c r="F136" t="s">
        <v>4348</v>
      </c>
      <c r="G136" t="s">
        <v>1</v>
      </c>
      <c r="H136" t="s">
        <v>4349</v>
      </c>
      <c r="I136">
        <v>850</v>
      </c>
      <c r="M136" t="s">
        <v>1</v>
      </c>
      <c r="N136" t="s">
        <v>1</v>
      </c>
      <c r="O136" t="s">
        <v>1</v>
      </c>
      <c r="P136">
        <v>2050.0</v>
      </c>
      <c r="R136" t="s">
        <v>1</v>
      </c>
      <c r="S136" t="s">
        <v>107</v>
      </c>
      <c r="T136" t="s">
        <v>4350</v>
      </c>
      <c r="U136" s="3" t="s">
        <v>1</v>
      </c>
      <c r="V136" s="3" t="s">
        <v>4351</v>
      </c>
      <c r="W136" s="3" t="s">
        <v>4951</v>
      </c>
      <c r="X136" t="s">
        <v>2658</v>
      </c>
    </row>
    <row r="137" spans="1:24">
      <c r="A137" s="2">
        <v>46215</v>
      </c>
      <c r="B137" t="s">
        <v>1</v>
      </c>
      <c r="C137" t="s">
        <v>1</v>
      </c>
      <c r="D137" t="s">
        <v>1</v>
      </c>
      <c r="E137" t="s">
        <v>4347</v>
      </c>
      <c r="F137" t="s">
        <v>4348</v>
      </c>
      <c r="G137" t="s">
        <v>4353</v>
      </c>
      <c r="H137" t="s">
        <v>4349</v>
      </c>
      <c r="I137">
        <v>850</v>
      </c>
      <c r="K137">
        <v>4</v>
      </c>
      <c r="L137">
        <v>2</v>
      </c>
      <c r="M137" t="s">
        <v>1</v>
      </c>
      <c r="N137" t="s">
        <v>1</v>
      </c>
      <c r="O137" t="s">
        <v>1</v>
      </c>
      <c r="P137">
        <v>0</v>
      </c>
      <c r="R137" t="s">
        <v>1</v>
      </c>
      <c r="S137" t="s">
        <v>107</v>
      </c>
      <c r="T137" t="s">
        <v>4354</v>
      </c>
      <c r="U137" s="3" t="s">
        <v>1</v>
      </c>
      <c r="V137" s="3" t="s">
        <v>4355</v>
      </c>
      <c r="W137" s="3" t="s">
        <v>4952</v>
      </c>
      <c r="X137" t="s">
        <v>2658</v>
      </c>
    </row>
    <row r="138" spans="1:24">
      <c r="A138" s="2">
        <v>46213</v>
      </c>
      <c r="B138" t="s">
        <v>1</v>
      </c>
      <c r="C138" t="s">
        <v>1</v>
      </c>
      <c r="D138" t="s">
        <v>1</v>
      </c>
      <c r="E138" t="s">
        <v>4357</v>
      </c>
      <c r="F138" t="s">
        <v>4358</v>
      </c>
      <c r="G138" t="s">
        <v>1</v>
      </c>
      <c r="H138" t="s">
        <v>4359</v>
      </c>
      <c r="I138">
        <v>500</v>
      </c>
      <c r="M138" t="s">
        <v>4360</v>
      </c>
      <c r="N138" t="s">
        <v>1</v>
      </c>
      <c r="O138" t="s">
        <v>1</v>
      </c>
      <c r="P138">
        <v>7000</v>
      </c>
      <c r="R138" t="s">
        <v>1</v>
      </c>
      <c r="S138" t="s">
        <v>80</v>
      </c>
      <c r="T138" t="s">
        <v>4361</v>
      </c>
      <c r="U138" s="3" t="s">
        <v>1</v>
      </c>
      <c r="V138" s="3" t="s">
        <v>4362</v>
      </c>
      <c r="W138" s="3" t="s">
        <v>4363</v>
      </c>
      <c r="X138" t="s">
        <v>2816</v>
      </c>
    </row>
    <row r="139" spans="1:24">
      <c r="A139" s="2">
        <v>46211</v>
      </c>
      <c r="B139" t="s">
        <v>430</v>
      </c>
      <c r="C139" t="s">
        <v>1</v>
      </c>
      <c r="D139" t="s">
        <v>1</v>
      </c>
      <c r="E139" t="s">
        <v>4364</v>
      </c>
      <c r="F139" t="s">
        <v>4365</v>
      </c>
      <c r="G139" t="s">
        <v>1</v>
      </c>
      <c r="H139" t="s">
        <v>4366</v>
      </c>
      <c r="I139">
        <v>860</v>
      </c>
      <c r="J139">
        <v>200</v>
      </c>
      <c r="K139">
        <v>9</v>
      </c>
      <c r="M139" t="s">
        <v>1</v>
      </c>
      <c r="N139" t="s">
        <v>1</v>
      </c>
      <c r="O139" t="s">
        <v>1</v>
      </c>
      <c r="P139">
        <v>0</v>
      </c>
      <c r="R139" t="s">
        <v>1</v>
      </c>
      <c r="S139" t="s">
        <v>80</v>
      </c>
      <c r="T139" t="s">
        <v>1</v>
      </c>
      <c r="U139" s="3" t="s">
        <v>1</v>
      </c>
      <c r="V139" s="3" t="s">
        <v>4367</v>
      </c>
      <c r="W139" s="3" t="s">
        <v>4944</v>
      </c>
      <c r="X139" t="s">
        <v>2645</v>
      </c>
    </row>
    <row r="140" spans="1:24">
      <c r="A140" s="2">
        <v>46211</v>
      </c>
      <c r="B140" t="s">
        <v>1</v>
      </c>
      <c r="C140" t="s">
        <v>1</v>
      </c>
      <c r="D140" t="s">
        <v>1</v>
      </c>
      <c r="E140" t="s">
        <v>4369</v>
      </c>
      <c r="F140" t="s">
        <v>4370</v>
      </c>
      <c r="G140" t="s">
        <v>1</v>
      </c>
      <c r="H140" t="s">
        <v>4371</v>
      </c>
      <c r="I140">
        <v>50</v>
      </c>
      <c r="K140">
        <v>10</v>
      </c>
      <c r="M140" t="s">
        <v>1</v>
      </c>
      <c r="N140" t="s">
        <v>1</v>
      </c>
      <c r="O140" t="s">
        <v>1</v>
      </c>
      <c r="R140" t="s">
        <v>1</v>
      </c>
      <c r="S140" t="s">
        <v>8</v>
      </c>
      <c r="T140" t="s">
        <v>1</v>
      </c>
      <c r="U140" s="3" t="s">
        <v>1</v>
      </c>
      <c r="V140" s="3" t="s">
        <v>4372</v>
      </c>
      <c r="W140" s="3" t="s">
        <v>4373</v>
      </c>
      <c r="X140" t="s">
        <v>3167</v>
      </c>
    </row>
    <row r="141" spans="1:24">
      <c r="A141" s="2">
        <v>46211</v>
      </c>
      <c r="B141" t="s">
        <v>1</v>
      </c>
      <c r="C141" t="s">
        <v>1</v>
      </c>
      <c r="D141" t="s">
        <v>1</v>
      </c>
      <c r="E141" t="s">
        <v>4374</v>
      </c>
      <c r="F141" t="s">
        <v>4375</v>
      </c>
      <c r="G141" t="s">
        <v>1</v>
      </c>
      <c r="H141" t="s">
        <v>4376</v>
      </c>
      <c r="I141">
        <v>50</v>
      </c>
      <c r="K141">
        <v>10</v>
      </c>
      <c r="M141" t="s">
        <v>1</v>
      </c>
      <c r="N141" t="s">
        <v>1</v>
      </c>
      <c r="O141" t="s">
        <v>1</v>
      </c>
      <c r="R141" t="s">
        <v>1</v>
      </c>
      <c r="S141" t="s">
        <v>8</v>
      </c>
      <c r="T141" t="s">
        <v>1</v>
      </c>
      <c r="U141" s="3" t="s">
        <v>1</v>
      </c>
      <c r="V141" s="3" t="s">
        <v>4377</v>
      </c>
      <c r="W141" s="3" t="s">
        <v>4962</v>
      </c>
      <c r="X141" t="s">
        <v>4379</v>
      </c>
    </row>
    <row r="142" spans="1:24">
      <c r="A142" s="2">
        <v>46211</v>
      </c>
      <c r="B142" t="s">
        <v>1</v>
      </c>
      <c r="C142" t="s">
        <v>1</v>
      </c>
      <c r="D142" t="s">
        <v>1</v>
      </c>
      <c r="E142" t="s">
        <v>4380</v>
      </c>
      <c r="F142" t="s">
        <v>4381</v>
      </c>
      <c r="G142" t="s">
        <v>1</v>
      </c>
      <c r="H142" t="s">
        <v>1</v>
      </c>
      <c r="I142">
        <v>300</v>
      </c>
      <c r="M142" t="s">
        <v>1</v>
      </c>
      <c r="N142" t="s">
        <v>1</v>
      </c>
      <c r="O142" t="s">
        <v>1</v>
      </c>
      <c r="P142">
        <v>4400.0</v>
      </c>
      <c r="R142" t="s">
        <v>1</v>
      </c>
      <c r="S142" t="s">
        <v>80</v>
      </c>
      <c r="T142" t="s">
        <v>2325</v>
      </c>
      <c r="U142" s="3" t="s">
        <v>1</v>
      </c>
      <c r="V142" s="3" t="s">
        <v>4382</v>
      </c>
      <c r="W142" s="3" t="s">
        <v>4946</v>
      </c>
      <c r="X142" t="s">
        <v>2645</v>
      </c>
    </row>
    <row r="143" spans="1:24">
      <c r="A143" s="2">
        <v>46209</v>
      </c>
      <c r="B143" t="s">
        <v>1</v>
      </c>
      <c r="C143" t="s">
        <v>1</v>
      </c>
      <c r="D143" t="s">
        <v>1</v>
      </c>
      <c r="E143" t="s">
        <v>4384</v>
      </c>
      <c r="F143" t="s">
        <v>4385</v>
      </c>
      <c r="G143" t="s">
        <v>1</v>
      </c>
      <c r="H143" t="s">
        <v>4386</v>
      </c>
      <c r="M143" t="s">
        <v>1</v>
      </c>
      <c r="N143" t="s">
        <v>1</v>
      </c>
      <c r="O143" t="s">
        <v>1</v>
      </c>
      <c r="P143">
        <v>0</v>
      </c>
      <c r="R143" t="s">
        <v>1</v>
      </c>
      <c r="S143" t="s">
        <v>8</v>
      </c>
      <c r="T143" t="s">
        <v>1</v>
      </c>
      <c r="U143" s="3" t="s">
        <v>1</v>
      </c>
      <c r="V143" s="3" t="s">
        <v>4387</v>
      </c>
      <c r="W143" s="3" t="s">
        <v>4949</v>
      </c>
      <c r="X143" t="s">
        <v>3167</v>
      </c>
    </row>
    <row r="144" spans="1:24">
      <c r="A144" s="2">
        <v>46209</v>
      </c>
      <c r="B144" t="s">
        <v>1</v>
      </c>
      <c r="C144" t="s">
        <v>1</v>
      </c>
      <c r="D144" t="s">
        <v>1</v>
      </c>
      <c r="E144" t="s">
        <v>4389</v>
      </c>
      <c r="F144" t="s">
        <v>4390</v>
      </c>
      <c r="G144" t="s">
        <v>1</v>
      </c>
      <c r="H144" t="s">
        <v>4366</v>
      </c>
      <c r="I144">
        <v>860</v>
      </c>
      <c r="J144">
        <v>200</v>
      </c>
      <c r="K144">
        <v>9</v>
      </c>
      <c r="M144" t="s">
        <v>1</v>
      </c>
      <c r="N144" t="s">
        <v>1</v>
      </c>
      <c r="O144" t="s">
        <v>1</v>
      </c>
      <c r="P144">
        <v>4900.0</v>
      </c>
      <c r="R144" t="s">
        <v>1</v>
      </c>
      <c r="S144" t="s">
        <v>80</v>
      </c>
      <c r="T144" t="s">
        <v>1</v>
      </c>
      <c r="U144" s="3" t="s">
        <v>1</v>
      </c>
      <c r="V144" s="3" t="s">
        <v>4391</v>
      </c>
      <c r="W144" s="3" t="s">
        <v>4943</v>
      </c>
      <c r="X144" t="s">
        <v>2645</v>
      </c>
    </row>
    <row r="145" spans="1:24">
      <c r="A145" s="2">
        <v>46208</v>
      </c>
      <c r="B145" t="s">
        <v>1</v>
      </c>
      <c r="C145" t="s">
        <v>1</v>
      </c>
      <c r="D145" t="s">
        <v>1</v>
      </c>
      <c r="E145" t="s">
        <v>4393</v>
      </c>
      <c r="F145" t="s">
        <v>4394</v>
      </c>
      <c r="G145" t="s">
        <v>1</v>
      </c>
      <c r="H145" t="s">
        <v>4386</v>
      </c>
      <c r="M145" t="s">
        <v>1</v>
      </c>
      <c r="N145" t="s">
        <v>1</v>
      </c>
      <c r="O145" t="s">
        <v>1</v>
      </c>
      <c r="P145">
        <v>0</v>
      </c>
      <c r="R145" t="s">
        <v>1</v>
      </c>
      <c r="S145" t="s">
        <v>107</v>
      </c>
      <c r="T145" t="s">
        <v>1</v>
      </c>
      <c r="U145" s="3" t="s">
        <v>1</v>
      </c>
      <c r="V145" s="3" t="s">
        <v>4395</v>
      </c>
      <c r="W145" s="3" t="s">
        <v>4950</v>
      </c>
      <c r="X145" t="s">
        <v>3133</v>
      </c>
    </row>
    <row r="146" spans="1:24">
      <c r="A146" s="2">
        <v>46207</v>
      </c>
      <c r="B146" t="s">
        <v>1900</v>
      </c>
      <c r="C146" t="s">
        <v>591</v>
      </c>
      <c r="D146" t="s">
        <v>1</v>
      </c>
      <c r="E146" t="s">
        <v>4366</v>
      </c>
      <c r="F146" t="s">
        <v>4397</v>
      </c>
      <c r="G146" t="s">
        <v>1</v>
      </c>
      <c r="H146" t="s">
        <v>4366</v>
      </c>
      <c r="I146">
        <v>860</v>
      </c>
      <c r="K146">
        <v>13</v>
      </c>
      <c r="L146">
        <v>4</v>
      </c>
      <c r="M146" t="s">
        <v>1</v>
      </c>
      <c r="N146" t="s">
        <v>1</v>
      </c>
      <c r="O146" t="s">
        <v>1</v>
      </c>
      <c r="P146">
        <v>0</v>
      </c>
      <c r="R146" t="s">
        <v>1</v>
      </c>
      <c r="S146" t="s">
        <v>80</v>
      </c>
      <c r="T146" t="s">
        <v>1</v>
      </c>
      <c r="U146" s="3" t="s">
        <v>1</v>
      </c>
      <c r="V146" s="3" t="s">
        <v>4398</v>
      </c>
      <c r="W146" s="3" t="s">
        <v>4945</v>
      </c>
      <c r="X146" t="s">
        <v>2645</v>
      </c>
    </row>
    <row r="147" spans="1:24">
      <c r="A147" s="2">
        <v>46207</v>
      </c>
      <c r="B147" t="s">
        <v>1</v>
      </c>
      <c r="C147" t="s">
        <v>1</v>
      </c>
      <c r="D147" t="s">
        <v>1</v>
      </c>
      <c r="E147" t="s">
        <v>4400</v>
      </c>
      <c r="F147" t="s">
        <v>4401</v>
      </c>
      <c r="G147" t="s">
        <v>1</v>
      </c>
      <c r="H147" t="s">
        <v>1</v>
      </c>
      <c r="M147" t="s">
        <v>1</v>
      </c>
      <c r="N147" t="s">
        <v>1</v>
      </c>
      <c r="O147" t="s">
        <v>1</v>
      </c>
      <c r="P147">
        <v>15500</v>
      </c>
      <c r="R147" t="s">
        <v>1</v>
      </c>
      <c r="S147" t="s">
        <v>8</v>
      </c>
      <c r="T147" t="s">
        <v>1</v>
      </c>
      <c r="U147" s="3" t="s">
        <v>1</v>
      </c>
      <c r="V147" s="3" t="s">
        <v>4402</v>
      </c>
      <c r="W147" s="3" t="s">
        <v>4403</v>
      </c>
      <c r="X147" t="s">
        <v>3145</v>
      </c>
    </row>
    <row r="148" spans="1:24">
      <c r="A148" s="2">
        <v>46207</v>
      </c>
      <c r="B148" t="s">
        <v>1</v>
      </c>
      <c r="C148" t="s">
        <v>1</v>
      </c>
      <c r="D148" t="s">
        <v>1</v>
      </c>
      <c r="E148" t="s">
        <v>4404</v>
      </c>
      <c r="F148" t="s">
        <v>4405</v>
      </c>
      <c r="G148" t="s">
        <v>1</v>
      </c>
      <c r="H148" t="s">
        <v>1</v>
      </c>
      <c r="I148">
        <v>480</v>
      </c>
      <c r="M148" t="s">
        <v>1</v>
      </c>
      <c r="N148" t="s">
        <v>1</v>
      </c>
      <c r="O148" t="s">
        <v>1</v>
      </c>
      <c r="P148">
        <v>0</v>
      </c>
      <c r="R148" t="s">
        <v>1</v>
      </c>
      <c r="S148" t="s">
        <v>80</v>
      </c>
      <c r="T148" t="s">
        <v>9</v>
      </c>
      <c r="U148" s="3" t="s">
        <v>1</v>
      </c>
      <c r="V148" s="3" t="s">
        <v>4406</v>
      </c>
      <c r="W148" s="3" t="s">
        <v>4947</v>
      </c>
      <c r="X148" t="s">
        <v>2645</v>
      </c>
    </row>
    <row r="149" spans="1:24">
      <c r="A149" s="2">
        <v>46207</v>
      </c>
      <c r="B149" t="s">
        <v>1</v>
      </c>
      <c r="C149" t="s">
        <v>1</v>
      </c>
      <c r="D149" t="s">
        <v>1</v>
      </c>
      <c r="E149" t="s">
        <v>4386</v>
      </c>
      <c r="F149" t="s">
        <v>4408</v>
      </c>
      <c r="G149" t="s">
        <v>1</v>
      </c>
      <c r="H149" t="s">
        <v>4386</v>
      </c>
      <c r="M149" t="s">
        <v>1</v>
      </c>
      <c r="N149" t="s">
        <v>1</v>
      </c>
      <c r="O149" t="s">
        <v>1</v>
      </c>
      <c r="P149">
        <v>2200.0</v>
      </c>
      <c r="R149" t="s">
        <v>1</v>
      </c>
      <c r="S149" t="s">
        <v>107</v>
      </c>
      <c r="T149" t="s">
        <v>1</v>
      </c>
      <c r="U149" s="3" t="s">
        <v>1</v>
      </c>
      <c r="V149" s="3" t="s">
        <v>4409</v>
      </c>
      <c r="W149" s="3" t="s">
        <v>4948</v>
      </c>
      <c r="X149" t="s">
        <v>3145</v>
      </c>
    </row>
    <row r="150" spans="1:24">
      <c r="A150" s="2">
        <v>46205</v>
      </c>
      <c r="B150" t="s">
        <v>1</v>
      </c>
      <c r="C150" t="s">
        <v>1</v>
      </c>
      <c r="D150" t="s">
        <v>1</v>
      </c>
      <c r="E150" t="s">
        <v>4411</v>
      </c>
      <c r="F150" t="s">
        <v>4412</v>
      </c>
      <c r="G150" t="s">
        <v>1</v>
      </c>
      <c r="H150" t="s">
        <v>4413</v>
      </c>
      <c r="M150" t="s">
        <v>1</v>
      </c>
      <c r="N150" t="s">
        <v>1</v>
      </c>
      <c r="O150" t="s">
        <v>1</v>
      </c>
      <c r="R150" t="s">
        <v>1</v>
      </c>
      <c r="S150" t="s">
        <v>8</v>
      </c>
      <c r="T150" t="s">
        <v>1</v>
      </c>
      <c r="U150" s="3" t="s">
        <v>1</v>
      </c>
      <c r="V150" s="3" t="s">
        <v>4414</v>
      </c>
      <c r="W150" s="3" t="s">
        <v>4415</v>
      </c>
      <c r="X150" t="s">
        <v>3207</v>
      </c>
    </row>
    <row r="151" spans="1:24">
      <c r="A151" s="2">
        <v>46205</v>
      </c>
      <c r="B151" t="s">
        <v>1</v>
      </c>
      <c r="C151" t="s">
        <v>1</v>
      </c>
      <c r="D151" t="s">
        <v>1</v>
      </c>
      <c r="E151" t="s">
        <v>4416</v>
      </c>
      <c r="F151" t="s">
        <v>4417</v>
      </c>
      <c r="G151" t="s">
        <v>1</v>
      </c>
      <c r="H151" t="s">
        <v>4416</v>
      </c>
      <c r="M151" t="s">
        <v>1</v>
      </c>
      <c r="N151" t="s">
        <v>1</v>
      </c>
      <c r="O151" t="s">
        <v>1</v>
      </c>
      <c r="R151" t="s">
        <v>1</v>
      </c>
      <c r="S151" t="s">
        <v>8</v>
      </c>
      <c r="T151" t="s">
        <v>1</v>
      </c>
      <c r="U151" s="3" t="s">
        <v>1</v>
      </c>
      <c r="V151" s="3" t="s">
        <v>4414</v>
      </c>
      <c r="W151" s="3" t="s">
        <v>4418</v>
      </c>
      <c r="X151" t="s">
        <v>3207</v>
      </c>
    </row>
    <row r="152" spans="1:24">
      <c r="A152" s="2">
        <v>46205</v>
      </c>
      <c r="B152" t="s">
        <v>1</v>
      </c>
      <c r="C152" t="s">
        <v>1</v>
      </c>
      <c r="D152" t="s">
        <v>1</v>
      </c>
      <c r="E152" t="s">
        <v>4419</v>
      </c>
      <c r="F152" t="s">
        <v>4420</v>
      </c>
      <c r="G152" t="s">
        <v>1</v>
      </c>
      <c r="H152" t="s">
        <v>1</v>
      </c>
      <c r="M152" t="s">
        <v>1</v>
      </c>
      <c r="N152" t="s">
        <v>1</v>
      </c>
      <c r="O152" t="s">
        <v>1</v>
      </c>
      <c r="R152" t="s">
        <v>1</v>
      </c>
      <c r="S152" t="s">
        <v>8</v>
      </c>
      <c r="T152" t="s">
        <v>1</v>
      </c>
      <c r="U152" s="3" t="s">
        <v>1</v>
      </c>
      <c r="V152" s="3" t="s">
        <v>4414</v>
      </c>
      <c r="W152" s="3" t="s">
        <v>4963</v>
      </c>
      <c r="X152" t="s">
        <v>3301</v>
      </c>
    </row>
    <row r="153" spans="1:24">
      <c r="A153" s="2">
        <v>46205</v>
      </c>
      <c r="B153" t="s">
        <v>1</v>
      </c>
      <c r="C153" t="s">
        <v>1</v>
      </c>
      <c r="D153" t="s">
        <v>1</v>
      </c>
      <c r="E153" t="s">
        <v>4422</v>
      </c>
      <c r="F153" t="s">
        <v>4423</v>
      </c>
      <c r="G153" t="s">
        <v>1</v>
      </c>
      <c r="H153" t="s">
        <v>4424</v>
      </c>
      <c r="I153">
        <v>900</v>
      </c>
      <c r="K153">
        <v>4</v>
      </c>
      <c r="L153">
        <v>1</v>
      </c>
      <c r="M153" t="s">
        <v>4425</v>
      </c>
      <c r="N153" t="s">
        <v>1</v>
      </c>
      <c r="O153" t="s">
        <v>4426</v>
      </c>
      <c r="P153">
        <v>1000</v>
      </c>
      <c r="R153" t="s">
        <v>1</v>
      </c>
      <c r="S153" t="s">
        <v>58</v>
      </c>
      <c r="T153" t="s">
        <v>1</v>
      </c>
      <c r="U153" s="3" t="s">
        <v>1</v>
      </c>
      <c r="V153" s="3" t="s">
        <v>4427</v>
      </c>
      <c r="W153" s="3" t="s">
        <v>4428</v>
      </c>
      <c r="X153" t="s">
        <v>2645</v>
      </c>
    </row>
    <row r="154" spans="1:24">
      <c r="A154" s="2">
        <v>46205</v>
      </c>
      <c r="B154" t="s">
        <v>1</v>
      </c>
      <c r="C154" t="s">
        <v>1</v>
      </c>
      <c r="D154" t="s">
        <v>1</v>
      </c>
      <c r="E154" t="s">
        <v>4429</v>
      </c>
      <c r="F154" t="s">
        <v>4430</v>
      </c>
      <c r="G154" t="s">
        <v>1</v>
      </c>
      <c r="H154" t="s">
        <v>4429</v>
      </c>
      <c r="M154" t="s">
        <v>1</v>
      </c>
      <c r="N154" t="s">
        <v>1</v>
      </c>
      <c r="O154" t="s">
        <v>1</v>
      </c>
      <c r="R154" t="s">
        <v>1</v>
      </c>
      <c r="S154" t="s">
        <v>8</v>
      </c>
      <c r="T154" t="s">
        <v>1</v>
      </c>
      <c r="U154" s="3" t="s">
        <v>1</v>
      </c>
      <c r="V154" s="3" t="s">
        <v>4414</v>
      </c>
      <c r="W154" s="3" t="s">
        <v>4431</v>
      </c>
      <c r="X154" t="s">
        <v>3207</v>
      </c>
    </row>
    <row r="155" spans="1:24">
      <c r="A155" s="2">
        <v>46205</v>
      </c>
      <c r="B155" t="s">
        <v>1</v>
      </c>
      <c r="C155" t="s">
        <v>1</v>
      </c>
      <c r="D155" t="s">
        <v>1</v>
      </c>
      <c r="E155" t="s">
        <v>4432</v>
      </c>
      <c r="F155" t="s">
        <v>4433</v>
      </c>
      <c r="G155" t="s">
        <v>1</v>
      </c>
      <c r="H155" t="s">
        <v>4432</v>
      </c>
      <c r="I155">
        <v>1000</v>
      </c>
      <c r="K155">
        <v>2</v>
      </c>
      <c r="M155" t="s">
        <v>4434</v>
      </c>
      <c r="N155" t="s">
        <v>1</v>
      </c>
      <c r="O155" t="s">
        <v>1</v>
      </c>
      <c r="P155">
        <v>13500</v>
      </c>
      <c r="R155" t="s">
        <v>1</v>
      </c>
      <c r="S155" t="s">
        <v>58</v>
      </c>
      <c r="T155" t="s">
        <v>4435</v>
      </c>
      <c r="U155" s="3" t="s">
        <v>1</v>
      </c>
      <c r="V155" s="3" t="s">
        <v>4436</v>
      </c>
      <c r="W155" s="3" t="s">
        <v>4437</v>
      </c>
      <c r="X155" t="s">
        <v>2645</v>
      </c>
    </row>
    <row r="156" spans="1:24">
      <c r="A156" s="2">
        <v>46200</v>
      </c>
      <c r="B156" t="s">
        <v>1</v>
      </c>
      <c r="C156" t="s">
        <v>1</v>
      </c>
      <c r="D156" t="s">
        <v>1</v>
      </c>
      <c r="E156" t="s">
        <v>4438</v>
      </c>
      <c r="F156" t="s">
        <v>4439</v>
      </c>
      <c r="G156" t="s">
        <v>1</v>
      </c>
      <c r="H156" t="s">
        <v>1</v>
      </c>
      <c r="I156">
        <v>90</v>
      </c>
      <c r="J156">
        <v>30</v>
      </c>
      <c r="L156">
        <v>1</v>
      </c>
      <c r="M156" t="s">
        <v>1</v>
      </c>
      <c r="N156" t="s">
        <v>1</v>
      </c>
      <c r="O156" t="s">
        <v>1</v>
      </c>
      <c r="P156">
        <v>2</v>
      </c>
      <c r="R156" t="s">
        <v>1</v>
      </c>
      <c r="S156" t="s">
        <v>8</v>
      </c>
      <c r="T156" t="s">
        <v>4440</v>
      </c>
      <c r="U156" s="3" t="s">
        <v>1</v>
      </c>
      <c r="V156" s="3" t="s">
        <v>4441</v>
      </c>
      <c r="W156" s="3" t="s">
        <v>4442</v>
      </c>
      <c r="X156" t="s">
        <v>3421</v>
      </c>
    </row>
    <row r="157" spans="1:24">
      <c r="A157" s="2">
        <v>46200</v>
      </c>
      <c r="B157" t="s">
        <v>1</v>
      </c>
      <c r="C157" t="s">
        <v>1</v>
      </c>
      <c r="D157" t="s">
        <v>1</v>
      </c>
      <c r="E157" t="s">
        <v>4443</v>
      </c>
      <c r="F157" t="s">
        <v>4444</v>
      </c>
      <c r="G157" t="s">
        <v>1</v>
      </c>
      <c r="H157" t="s">
        <v>4445</v>
      </c>
      <c r="M157" t="s">
        <v>1</v>
      </c>
      <c r="N157" t="s">
        <v>1</v>
      </c>
      <c r="O157" t="s">
        <v>1</v>
      </c>
      <c r="R157" t="s">
        <v>1</v>
      </c>
      <c r="S157" t="s">
        <v>8</v>
      </c>
      <c r="T157" t="s">
        <v>4446</v>
      </c>
      <c r="U157" s="3" t="s">
        <v>1</v>
      </c>
      <c r="V157" s="3" t="s">
        <v>4441</v>
      </c>
      <c r="W157" s="3" t="s">
        <v>4964</v>
      </c>
      <c r="X157" t="s">
        <v>3417</v>
      </c>
    </row>
    <row r="158" spans="1:24">
      <c r="A158" s="2">
        <v>46200</v>
      </c>
      <c r="B158" t="s">
        <v>1</v>
      </c>
      <c r="C158" t="s">
        <v>1</v>
      </c>
      <c r="D158" t="s">
        <v>1</v>
      </c>
      <c r="E158" t="s">
        <v>4448</v>
      </c>
      <c r="F158" t="s">
        <v>4449</v>
      </c>
      <c r="G158" t="s">
        <v>1</v>
      </c>
      <c r="H158" t="s">
        <v>4450</v>
      </c>
      <c r="M158" t="s">
        <v>1</v>
      </c>
      <c r="N158" t="s">
        <v>1</v>
      </c>
      <c r="O158" t="s">
        <v>1</v>
      </c>
      <c r="R158" t="s">
        <v>1</v>
      </c>
      <c r="S158" t="s">
        <v>1</v>
      </c>
      <c r="T158" t="s">
        <v>4446</v>
      </c>
      <c r="U158" s="3" t="s">
        <v>1</v>
      </c>
      <c r="V158" s="3" t="s">
        <v>4441</v>
      </c>
      <c r="W158" s="3" t="s">
        <v>4451</v>
      </c>
      <c r="X158" t="s">
        <v>3417</v>
      </c>
    </row>
    <row r="159" spans="1:24">
      <c r="A159" s="2">
        <v>46198</v>
      </c>
      <c r="B159" t="s">
        <v>1</v>
      </c>
      <c r="C159" t="s">
        <v>1</v>
      </c>
      <c r="D159" t="s">
        <v>1</v>
      </c>
      <c r="E159" t="s">
        <v>4452</v>
      </c>
      <c r="F159" t="s">
        <v>4453</v>
      </c>
      <c r="G159" t="s">
        <v>1</v>
      </c>
      <c r="H159" t="s">
        <v>4454</v>
      </c>
      <c r="M159" t="s">
        <v>1</v>
      </c>
      <c r="N159" t="s">
        <v>1</v>
      </c>
      <c r="O159" t="s">
        <v>1</v>
      </c>
      <c r="P159">
        <v>4000</v>
      </c>
      <c r="R159" t="s">
        <v>1</v>
      </c>
      <c r="S159" t="s">
        <v>8</v>
      </c>
      <c r="T159" t="s">
        <v>1</v>
      </c>
      <c r="U159" s="3" t="s">
        <v>1</v>
      </c>
      <c r="V159" s="3" t="s">
        <v>4441</v>
      </c>
      <c r="W159" s="3" t="s">
        <v>4455</v>
      </c>
      <c r="X159" t="s">
        <v>3421</v>
      </c>
    </row>
    <row r="160" spans="1:24">
      <c r="A160" s="2">
        <v>46196</v>
      </c>
      <c r="B160" t="s">
        <v>1</v>
      </c>
      <c r="C160" t="s">
        <v>1</v>
      </c>
      <c r="D160" t="s">
        <v>1</v>
      </c>
      <c r="E160" t="s">
        <v>4456</v>
      </c>
      <c r="F160" t="s">
        <v>4457</v>
      </c>
      <c r="G160" t="s">
        <v>1</v>
      </c>
      <c r="H160" t="s">
        <v>1</v>
      </c>
      <c r="M160" t="s">
        <v>1</v>
      </c>
      <c r="N160" t="s">
        <v>1</v>
      </c>
      <c r="O160" t="s">
        <v>1</v>
      </c>
      <c r="P160">
        <v>0</v>
      </c>
      <c r="R160" t="s">
        <v>1</v>
      </c>
      <c r="S160" t="s">
        <v>8</v>
      </c>
      <c r="T160" t="s">
        <v>4458</v>
      </c>
      <c r="U160" s="3" t="s">
        <v>1</v>
      </c>
      <c r="V160" s="3" t="s">
        <v>4459</v>
      </c>
      <c r="W160" s="3" t="s">
        <v>4884</v>
      </c>
      <c r="X160" t="s">
        <v>4461</v>
      </c>
    </row>
    <row r="161" spans="1:24">
      <c r="A161" s="2">
        <v>46196</v>
      </c>
      <c r="B161" t="s">
        <v>1</v>
      </c>
      <c r="C161" t="s">
        <v>1</v>
      </c>
      <c r="D161" t="s">
        <v>1</v>
      </c>
      <c r="E161" t="s">
        <v>4462</v>
      </c>
      <c r="F161" t="s">
        <v>4463</v>
      </c>
      <c r="G161" t="s">
        <v>4457</v>
      </c>
      <c r="H161" t="s">
        <v>1</v>
      </c>
      <c r="M161" t="s">
        <v>1</v>
      </c>
      <c r="N161" t="s">
        <v>1</v>
      </c>
      <c r="O161" t="s">
        <v>1</v>
      </c>
      <c r="P161">
        <v>0</v>
      </c>
      <c r="R161" t="s">
        <v>1</v>
      </c>
      <c r="S161" t="s">
        <v>4464</v>
      </c>
      <c r="T161" t="s">
        <v>4465</v>
      </c>
      <c r="U161" s="3" t="s">
        <v>1</v>
      </c>
      <c r="V161" s="3" t="s">
        <v>4466</v>
      </c>
      <c r="W161" s="3" t="s">
        <v>4885</v>
      </c>
      <c r="X161" t="s">
        <v>2645</v>
      </c>
    </row>
    <row r="162" spans="1:24">
      <c r="A162" s="2">
        <v>46183</v>
      </c>
      <c r="B162" t="s">
        <v>1</v>
      </c>
      <c r="C162" t="s">
        <v>1</v>
      </c>
      <c r="D162" t="s">
        <v>1</v>
      </c>
      <c r="E162" t="s">
        <v>4468</v>
      </c>
      <c r="F162" t="s">
        <v>4469</v>
      </c>
      <c r="G162" t="s">
        <v>4457</v>
      </c>
      <c r="H162" t="s">
        <v>1</v>
      </c>
      <c r="M162" t="s">
        <v>1</v>
      </c>
      <c r="N162" t="s">
        <v>1</v>
      </c>
      <c r="O162" t="s">
        <v>1</v>
      </c>
      <c r="R162" t="s">
        <v>1</v>
      </c>
      <c r="S162" t="s">
        <v>8</v>
      </c>
      <c r="T162" t="s">
        <v>1</v>
      </c>
      <c r="U162" s="3" t="s">
        <v>1</v>
      </c>
      <c r="V162" s="3" t="s">
        <v>4470</v>
      </c>
      <c r="W162" s="3" t="s">
        <v>4471</v>
      </c>
      <c r="X162" t="s">
        <v>3617</v>
      </c>
    </row>
    <row r="163" spans="1:24">
      <c r="A163" s="2">
        <v>46137</v>
      </c>
      <c r="B163" t="s">
        <v>1</v>
      </c>
      <c r="C163" t="s">
        <v>1</v>
      </c>
      <c r="D163" t="s">
        <v>1</v>
      </c>
      <c r="E163" t="s">
        <v>4472</v>
      </c>
      <c r="F163" t="s">
        <v>4473</v>
      </c>
      <c r="G163" t="s">
        <v>4474</v>
      </c>
      <c r="H163" t="s">
        <v>1</v>
      </c>
      <c r="M163" t="s">
        <v>1</v>
      </c>
      <c r="N163" t="s">
        <v>1</v>
      </c>
      <c r="O163" t="s">
        <v>1</v>
      </c>
      <c r="R163" t="s">
        <v>1</v>
      </c>
      <c r="S163" t="s">
        <v>8</v>
      </c>
      <c r="T163" t="s">
        <v>1</v>
      </c>
      <c r="U163" s="3" t="s">
        <v>1</v>
      </c>
      <c r="V163" s="3" t="s">
        <v>4475</v>
      </c>
      <c r="W163" s="3" t="s">
        <v>4476</v>
      </c>
      <c r="X163" t="s">
        <v>3617</v>
      </c>
    </row>
    <row r="164" spans="1:24">
      <c r="A164" t="s">
        <v>1</v>
      </c>
      <c r="B164" t="s">
        <v>1</v>
      </c>
      <c r="C164" t="s">
        <v>1</v>
      </c>
      <c r="D164" t="s">
        <v>1</v>
      </c>
      <c r="E164" t="s">
        <v>4319</v>
      </c>
      <c r="F164" t="s">
        <v>4477</v>
      </c>
      <c r="G164" t="s">
        <v>1</v>
      </c>
      <c r="H164" t="s">
        <v>4321</v>
      </c>
      <c r="M164" t="s">
        <v>1</v>
      </c>
      <c r="N164" t="s">
        <v>1</v>
      </c>
      <c r="O164" t="s">
        <v>1</v>
      </c>
      <c r="P164">
        <v>0</v>
      </c>
      <c r="R164" t="s">
        <v>1</v>
      </c>
      <c r="S164" t="s">
        <v>8</v>
      </c>
      <c r="T164" t="s">
        <v>1</v>
      </c>
      <c r="U164" s="3" t="s">
        <v>1</v>
      </c>
      <c r="V164" s="3" t="s">
        <v>4478</v>
      </c>
      <c r="W164" s="3" t="s">
        <v>4934</v>
      </c>
      <c r="X164" t="s">
        <v>2533</v>
      </c>
    </row>
    <row r="166" spans="1:24">
      <c r="A166" s="4" t="s">
        <v>4505</v>
      </c>
      <c r="B166">
        <v>163</v>
      </c>
    </row>
  </sheetData>
  <conditionalFormatting sqref="Q2:Q164">
    <cfRule type="cellIs" dxfId="0" priority="1" operator="equal">
      <formula>1</formula>
    </cfRule>
    <cfRule type="cellIs" dxfId="1" priority="2" operator="equal">
      <formula>2</formula>
    </cfRule>
    <cfRule type="cellIs" dxfId="2" priority="3" operator="equal">
      <formula>3</formula>
    </cfRule>
    <cfRule type="cellIs" dxfId="3" priority="4" operator="equal">
      <formula>4</formula>
    </cfRule>
    <cfRule type="cellIs" dxfId="4" priority="5" operator="equal">
      <formula>5</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B1:J83"/>
  <sheetViews>
    <sheetView workbookViewId="0">
      <pane ySplit="3" topLeftCell="A4" activePane="bottomLeft" state="frozen"/>
      <selection pane="bottomLeft"/>
    </sheetView>
  </sheetViews>
  <sheetFormatPr defaultRowHeight="15"/>
  <cols>
    <col min="1" max="1" width="2.7109375" customWidth="1"/>
    <col min="2" max="2" width="22.7109375" customWidth="1"/>
    <col min="3" max="3" width="12.7109375" customWidth="1"/>
    <col min="4" max="5" width="16.7109375" customWidth="1"/>
    <col min="6" max="6" width="22.7109375" customWidth="1"/>
    <col min="7" max="10" width="14.7109375" customWidth="1"/>
  </cols>
  <sheetData>
    <row r="1" spans="2:10">
      <c r="B1" s="5" t="s">
        <v>4480</v>
      </c>
    </row>
    <row r="2" spans="2:10">
      <c r="B2" s="6" t="s">
        <v>4481</v>
      </c>
    </row>
    <row r="4" spans="2:10">
      <c r="B4" s="4" t="s">
        <v>4482</v>
      </c>
      <c r="C4" s="7">
        <v>1</v>
      </c>
      <c r="D4" s="6" t="str">
        <f>CHOOSE($C$4,"Ιαν","Φεβ","Μαρ","Απρ","Μαϊ","Ιουν","Ιουλ","Αυγ","Σεπ","Οκτ","Νοε","Δεκ")</f>
        <v>Ιαν</v>
      </c>
      <c r="F4" s="8" t="s">
        <v>4486</v>
      </c>
      <c r="G4" s="9">
        <f>SUMPRODUCT(('Ελλάδα'!$Y2:$Y640&gt;=$C$4)*('Ελλάδα'!$Y2:$Y640&lt;=$C$5)*'Ελλάδα'!$AA2:$AA640)</f>
        <v>639</v>
      </c>
    </row>
    <row r="5" spans="2:10">
      <c r="B5" s="4" t="s">
        <v>4483</v>
      </c>
      <c r="C5" s="7">
        <v>12</v>
      </c>
      <c r="D5" s="6" t="str">
        <f>CHOOSE($C$5,"Ιαν","Φεβ","Μαρ","Απρ","Μαϊ","Ιουν","Ιουλ","Αυγ","Σεπ","Οκτ","Νοε","Δεκ")</f>
        <v>Δεκ</v>
      </c>
      <c r="F5" s="8" t="s">
        <v>4487</v>
      </c>
      <c r="G5" s="9">
        <f>SUMPRODUCT(('Ελλάδα'!$Y2:$Y640&gt;=$C$4)*('Ελλάδα'!$Y2:$Y640&lt;=$C$5)*'Ελλάδα'!$AA2:$AA640*'Ελλάδα'!$Z2:$Z640)</f>
        <v>216807.3</v>
      </c>
    </row>
    <row r="6" spans="2:10">
      <c r="B6" s="4" t="s">
        <v>4484</v>
      </c>
      <c r="C6" s="10" t="b">
        <v>1</v>
      </c>
      <c r="F6" s="8" t="s">
        <v>4488</v>
      </c>
      <c r="G6" s="9">
        <f>SUMPRODUCT(('Ελλάδα'!$Y2:$Y640&gt;=$C$4)*('Ελλάδα'!$Y2:$Y640&lt;=$C$5)*'Ελλάδα'!$AA2:$AA640*('Ελλάδα'!$Z2:$Z640&gt;0))</f>
        <v>109</v>
      </c>
    </row>
    <row r="7" spans="2:10">
      <c r="B7" s="6" t="s">
        <v>4485</v>
      </c>
    </row>
    <row r="8" spans="2:10">
      <c r="B8" s="11" t="s">
        <v>3705</v>
      </c>
      <c r="C8" s="11" t="s">
        <v>4489</v>
      </c>
      <c r="D8" s="11" t="s">
        <v>4490</v>
      </c>
      <c r="E8" s="11" t="s">
        <v>4491</v>
      </c>
      <c r="H8" s="11" t="s">
        <v>4492</v>
      </c>
      <c r="I8" s="11" t="s">
        <v>4490</v>
      </c>
      <c r="J8" s="11" t="s">
        <v>4491</v>
      </c>
    </row>
    <row r="9" spans="2:10">
      <c r="H9" s="12" t="s">
        <v>4493</v>
      </c>
      <c r="I9" s="13">
        <f>SUMPRODUCT(('Ελλάδα'!$Y2:$Y640=1)*1)</f>
        <v>1</v>
      </c>
      <c r="J9" s="14">
        <f>SUMPRODUCT(('Ελλάδα'!$Y2:$Y640=1)*'Ελλάδα'!$Z2:$Z640)</f>
        <v>0</v>
      </c>
    </row>
    <row r="10" spans="2:10">
      <c r="B10" s="12" t="s">
        <v>1666</v>
      </c>
      <c r="C10" s="10" t="b">
        <v>0</v>
      </c>
      <c r="D10" s="13">
        <f>SUMPRODUCT(('Ελλάδα'!$Y2:$Y640&gt;=$C$4)*('Ελλάδα'!$Y2:$Y640&lt;=$C$5)*('Ελλάδα'!$G2:$G640=$B$10))</f>
        <v>2</v>
      </c>
      <c r="E10" s="14">
        <f>SUMPRODUCT(('Ελλάδα'!$Y2:$Y640&gt;=$C$4)*('Ελλάδα'!$Y2:$Y640&lt;=$C$5)*('Ελλάδα'!$G2:$G640=$B$10)*'Ελλάδα'!$Z2:$Z640)</f>
        <v>0</v>
      </c>
      <c r="H10" s="12" t="s">
        <v>4494</v>
      </c>
      <c r="I10" s="13">
        <f>SUMPRODUCT(('Ελλάδα'!$Y2:$Y640=2)*1)</f>
        <v>0</v>
      </c>
      <c r="J10" s="14">
        <f>SUMPRODUCT(('Ελλάδα'!$Y2:$Y640=2)*'Ελλάδα'!$Z2:$Z640)</f>
        <v>0</v>
      </c>
    </row>
    <row r="11" spans="2:10">
      <c r="B11" s="12" t="s">
        <v>1673</v>
      </c>
      <c r="C11" s="10" t="b">
        <v>0</v>
      </c>
      <c r="D11" s="13">
        <f>SUMPRODUCT(('Ελλάδα'!$Y2:$Y640&gt;=$C$4)*('Ελλάδα'!$Y2:$Y640&lt;=$C$5)*('Ελλάδα'!$G2:$G640=$B$11))</f>
        <v>5</v>
      </c>
      <c r="E11" s="14">
        <f>SUMPRODUCT(('Ελλάδα'!$Y2:$Y640&gt;=$C$4)*('Ελλάδα'!$Y2:$Y640&lt;=$C$5)*('Ελλάδα'!$G2:$G640=$B$11)*'Ελλάδα'!$Z2:$Z640)</f>
        <v>0</v>
      </c>
      <c r="H11" s="12" t="s">
        <v>4495</v>
      </c>
      <c r="I11" s="13">
        <f>SUMPRODUCT(('Ελλάδα'!$Y2:$Y640=3)*1)</f>
        <v>5</v>
      </c>
      <c r="J11" s="14">
        <f>SUMPRODUCT(('Ελλάδα'!$Y2:$Y640=3)*'Ελλάδα'!$Z2:$Z640)</f>
        <v>620.0</v>
      </c>
    </row>
    <row r="12" spans="2:10">
      <c r="B12" s="12" t="s">
        <v>161</v>
      </c>
      <c r="C12" s="10" t="b">
        <v>0</v>
      </c>
      <c r="D12" s="13">
        <f>SUMPRODUCT(('Ελλάδα'!$Y2:$Y640&gt;=$C$4)*('Ελλάδα'!$Y2:$Y640&lt;=$C$5)*('Ελλάδα'!$G2:$G640=$B$12))</f>
        <v>16</v>
      </c>
      <c r="E12" s="14">
        <f>SUMPRODUCT(('Ελλάδα'!$Y2:$Y640&gt;=$C$4)*('Ελλάδα'!$Y2:$Y640&lt;=$C$5)*('Ελλάδα'!$G2:$G640=$B$12)*'Ελλάδα'!$Z2:$Z640)</f>
        <v>35.5</v>
      </c>
      <c r="H12" s="12" t="s">
        <v>4496</v>
      </c>
      <c r="I12" s="13">
        <f>SUMPRODUCT(('Ελλάδα'!$Y2:$Y640=4)*1)</f>
        <v>4</v>
      </c>
      <c r="J12" s="14">
        <f>SUMPRODUCT(('Ελλάδα'!$Y2:$Y640=4)*'Ελλάδα'!$Z2:$Z640)</f>
        <v>1.5</v>
      </c>
    </row>
    <row r="13" spans="2:10">
      <c r="B13" s="12" t="s">
        <v>412</v>
      </c>
      <c r="C13" s="10" t="b">
        <v>0</v>
      </c>
      <c r="D13" s="13">
        <f>SUMPRODUCT(('Ελλάδα'!$Y2:$Y640&gt;=$C$4)*('Ελλάδα'!$Y2:$Y640&lt;=$C$5)*('Ελλάδα'!$G2:$G640=$B$13))</f>
        <v>26</v>
      </c>
      <c r="E13" s="14">
        <f>SUMPRODUCT(('Ελλάδα'!$Y2:$Y640&gt;=$C$4)*('Ελλάδα'!$Y2:$Y640&lt;=$C$5)*('Ελλάδα'!$G2:$G640=$B$13)*'Ελλάδα'!$Z2:$Z640)</f>
        <v>2.4</v>
      </c>
      <c r="H13" s="12" t="s">
        <v>4497</v>
      </c>
      <c r="I13" s="13">
        <f>SUMPRODUCT(('Ελλάδα'!$Y2:$Y640=5)*1)</f>
        <v>3</v>
      </c>
      <c r="J13" s="14">
        <f>SUMPRODUCT(('Ελλάδα'!$Y2:$Y640=5)*'Ελλάδα'!$Z2:$Z640)</f>
        <v>2.0</v>
      </c>
    </row>
    <row r="14" spans="2:10">
      <c r="B14" s="12" t="s">
        <v>1209</v>
      </c>
      <c r="C14" s="10" t="b">
        <v>0</v>
      </c>
      <c r="D14" s="13">
        <f>SUMPRODUCT(('Ελλάδα'!$Y2:$Y640&gt;=$C$4)*('Ελλάδα'!$Y2:$Y640&lt;=$C$5)*('Ελλάδα'!$G2:$G640=$B$14))</f>
        <v>3</v>
      </c>
      <c r="E14" s="14">
        <f>SUMPRODUCT(('Ελλάδα'!$Y2:$Y640&gt;=$C$4)*('Ελλάδα'!$Y2:$Y640&lt;=$C$5)*('Ελλάδα'!$G2:$G640=$B$14)*'Ελλάδα'!$Z2:$Z640)</f>
        <v>0.1</v>
      </c>
      <c r="H14" s="12" t="s">
        <v>4498</v>
      </c>
      <c r="I14" s="13">
        <f>SUMPRODUCT(('Ελλάδα'!$Y2:$Y640=6)*1)</f>
        <v>55</v>
      </c>
      <c r="J14" s="14">
        <f>SUMPRODUCT(('Ελλάδα'!$Y2:$Y640=6)*'Ελλάδα'!$Z2:$Z640)</f>
        <v>161.0</v>
      </c>
    </row>
    <row r="15" spans="2:10">
      <c r="B15" s="12" t="s">
        <v>457</v>
      </c>
      <c r="C15" s="10" t="b">
        <v>0</v>
      </c>
      <c r="D15" s="13">
        <f>SUMPRODUCT(('Ελλάδα'!$Y2:$Y640&gt;=$C$4)*('Ελλάδα'!$Y2:$Y640&lt;=$C$5)*('Ελλάδα'!$G2:$G640=$B$15))</f>
        <v>1</v>
      </c>
      <c r="E15" s="14">
        <f>SUMPRODUCT(('Ελλάδα'!$Y2:$Y640&gt;=$C$4)*('Ελλάδα'!$Y2:$Y640&lt;=$C$5)*('Ελλάδα'!$G2:$G640=$B$15)*'Ελλάδα'!$Z2:$Z640)</f>
        <v>0</v>
      </c>
      <c r="H15" s="12" t="s">
        <v>4499</v>
      </c>
      <c r="I15" s="13">
        <f>SUMPRODUCT(('Ελλάδα'!$Y2:$Y640=7)*1)</f>
        <v>252</v>
      </c>
      <c r="J15" s="14">
        <f>SUMPRODUCT(('Ελλάδα'!$Y2:$Y640=7)*'Ελλάδα'!$Z2:$Z640)</f>
        <v>72412.3</v>
      </c>
    </row>
    <row r="16" spans="2:10">
      <c r="B16" s="12" t="s">
        <v>1352</v>
      </c>
      <c r="C16" s="10" t="b">
        <v>0</v>
      </c>
      <c r="D16" s="13">
        <f>SUMPRODUCT(('Ελλάδα'!$Y2:$Y640&gt;=$C$4)*('Ελλάδα'!$Y2:$Y640&lt;=$C$5)*('Ελλάδα'!$G2:$G640=$B$16))</f>
        <v>3</v>
      </c>
      <c r="E16" s="14">
        <f>SUMPRODUCT(('Ελλάδα'!$Y2:$Y640&gt;=$C$4)*('Ελλάδα'!$Y2:$Y640&lt;=$C$5)*('Ελλάδα'!$G2:$G640=$B$16)*'Ελλάδα'!$Z2:$Z640)</f>
        <v>50.2</v>
      </c>
      <c r="H16" s="12" t="s">
        <v>4500</v>
      </c>
      <c r="I16" s="13">
        <f>SUMPRODUCT(('Ελλάδα'!$Y2:$Y640=8)*1)</f>
        <v>238</v>
      </c>
      <c r="J16" s="14">
        <f>SUMPRODUCT(('Ελλάδα'!$Y2:$Y640=8)*'Ελλάδα'!$Z2:$Z640)</f>
        <v>142860.9</v>
      </c>
    </row>
    <row r="17" spans="2:10">
      <c r="B17" s="12" t="s">
        <v>2512</v>
      </c>
      <c r="C17" s="10" t="b">
        <v>0</v>
      </c>
      <c r="D17" s="13">
        <f>SUMPRODUCT(('Ελλάδα'!$Y2:$Y640&gt;=$C$4)*('Ελλάδα'!$Y2:$Y640&lt;=$C$5)*('Ελλάδα'!$G2:$G640=$B$17))</f>
        <v>4</v>
      </c>
      <c r="E17" s="14">
        <f>SUMPRODUCT(('Ελλάδα'!$Y2:$Y640&gt;=$C$4)*('Ελλάδα'!$Y2:$Y640&lt;=$C$5)*('Ελλάδα'!$G2:$G640=$B$17)*'Ελλάδα'!$Z2:$Z640)</f>
        <v>50.0</v>
      </c>
      <c r="H17" s="12" t="s">
        <v>4501</v>
      </c>
      <c r="I17" s="13">
        <f>SUMPRODUCT(('Ελλάδα'!$Y2:$Y640=9)*1)</f>
        <v>81</v>
      </c>
      <c r="J17" s="14">
        <f>SUMPRODUCT(('Ελλάδα'!$Y2:$Y640=9)*'Ελλάδα'!$Z2:$Z640)</f>
        <v>749.6</v>
      </c>
    </row>
    <row r="18" spans="2:10">
      <c r="B18" s="12" t="s">
        <v>1232</v>
      </c>
      <c r="C18" s="10" t="b">
        <v>0</v>
      </c>
      <c r="D18" s="13">
        <f>SUMPRODUCT(('Ελλάδα'!$Y2:$Y640&gt;=$C$4)*('Ελλάδα'!$Y2:$Y640&lt;=$C$5)*('Ελλάδα'!$G2:$G640=$B$18))</f>
        <v>4</v>
      </c>
      <c r="E18" s="14">
        <f>SUMPRODUCT(('Ελλάδα'!$Y2:$Y640&gt;=$C$4)*('Ελλάδα'!$Y2:$Y640&lt;=$C$5)*('Ελλάδα'!$G2:$G640=$B$18)*'Ελλάδα'!$Z2:$Z640)</f>
        <v>0</v>
      </c>
      <c r="H18" s="12" t="s">
        <v>4502</v>
      </c>
      <c r="I18" s="13">
        <f>SUMPRODUCT(('Ελλάδα'!$Y2:$Y640=10)*1)</f>
        <v>0</v>
      </c>
      <c r="J18" s="14">
        <f>SUMPRODUCT(('Ελλάδα'!$Y2:$Y640=10)*'Ελλάδα'!$Z2:$Z640)</f>
        <v>0</v>
      </c>
    </row>
    <row r="19" spans="2:10">
      <c r="B19" s="12" t="s">
        <v>15</v>
      </c>
      <c r="C19" s="10" t="b">
        <v>0</v>
      </c>
      <c r="D19" s="13">
        <f>SUMPRODUCT(('Ελλάδα'!$Y2:$Y640&gt;=$C$4)*('Ελλάδα'!$Y2:$Y640&lt;=$C$5)*('Ελλάδα'!$G2:$G640=$B$19))</f>
        <v>75</v>
      </c>
      <c r="E19" s="14">
        <f>SUMPRODUCT(('Ελλάδα'!$Y2:$Y640&gt;=$C$4)*('Ελλάδα'!$Y2:$Y640&lt;=$C$5)*('Ελλάδα'!$G2:$G640=$B$19)*'Ελλάδα'!$Z2:$Z640)</f>
        <v>14861.5</v>
      </c>
      <c r="H19" s="12" t="s">
        <v>4503</v>
      </c>
      <c r="I19" s="13">
        <f>SUMPRODUCT(('Ελλάδα'!$Y2:$Y640=11)*1)</f>
        <v>0</v>
      </c>
      <c r="J19" s="14">
        <f>SUMPRODUCT(('Ελλάδα'!$Y2:$Y640=11)*'Ελλάδα'!$Z2:$Z640)</f>
        <v>0</v>
      </c>
    </row>
    <row r="20" spans="2:10">
      <c r="B20" s="12" t="s">
        <v>1948</v>
      </c>
      <c r="C20" s="10" t="b">
        <v>0</v>
      </c>
      <c r="D20" s="13">
        <f>SUMPRODUCT(('Ελλάδα'!$Y2:$Y640&gt;=$C$4)*('Ελλάδα'!$Y2:$Y640&lt;=$C$5)*('Ελλάδα'!$G2:$G640=$B$20))</f>
        <v>6</v>
      </c>
      <c r="E20" s="14">
        <f>SUMPRODUCT(('Ελλάδα'!$Y2:$Y640&gt;=$C$4)*('Ελλάδα'!$Y2:$Y640&lt;=$C$5)*('Ελλάδα'!$G2:$G640=$B$20)*'Ελλάδα'!$Z2:$Z640)</f>
        <v>72552.5</v>
      </c>
      <c r="H20" s="12" t="s">
        <v>4504</v>
      </c>
      <c r="I20" s="13">
        <f>SUMPRODUCT(('Ελλάδα'!$Y2:$Y640=12)*1)</f>
        <v>0</v>
      </c>
      <c r="J20" s="14">
        <f>SUMPRODUCT(('Ελλάδα'!$Y2:$Y640=12)*'Ελλάδα'!$Z2:$Z640)</f>
        <v>0</v>
      </c>
    </row>
    <row r="21" spans="2:10">
      <c r="B21" s="12" t="s">
        <v>218</v>
      </c>
      <c r="C21" s="10" t="b">
        <v>0</v>
      </c>
      <c r="D21" s="13">
        <f>SUMPRODUCT(('Ελλάδα'!$Y2:$Y640&gt;=$C$4)*('Ελλάδα'!$Y2:$Y640&lt;=$C$5)*('Ελλάδα'!$G2:$G640=$B$21))</f>
        <v>10</v>
      </c>
      <c r="E21" s="14">
        <f>SUMPRODUCT(('Ελλάδα'!$Y2:$Y640&gt;=$C$4)*('Ελλάδα'!$Y2:$Y640&lt;=$C$5)*('Ελλάδα'!$G2:$G640=$B$21)*'Ελλάδα'!$Z2:$Z640)</f>
        <v>746.4</v>
      </c>
    </row>
    <row r="22" spans="2:10">
      <c r="B22" s="12" t="s">
        <v>45</v>
      </c>
      <c r="C22" s="10" t="b">
        <v>0</v>
      </c>
      <c r="D22" s="13">
        <f>SUMPRODUCT(('Ελλάδα'!$Y2:$Y640&gt;=$C$4)*('Ελλάδα'!$Y2:$Y640&lt;=$C$5)*('Ελλάδα'!$G2:$G640=$B$22))</f>
        <v>30</v>
      </c>
      <c r="E22" s="14">
        <f>SUMPRODUCT(('Ελλάδα'!$Y2:$Y640&gt;=$C$4)*('Ελλάδα'!$Y2:$Y640&lt;=$C$5)*('Ελλάδα'!$G2:$G640=$B$22)*'Ελλάδα'!$Z2:$Z640)</f>
        <v>13210.0</v>
      </c>
    </row>
    <row r="23" spans="2:10">
      <c r="B23" s="12" t="s">
        <v>724</v>
      </c>
      <c r="C23" s="10" t="b">
        <v>0</v>
      </c>
      <c r="D23" s="13">
        <f>SUMPRODUCT(('Ελλάδα'!$Y2:$Y640&gt;=$C$4)*('Ελλάδα'!$Y2:$Y640&lt;=$C$5)*('Ελλάδα'!$G2:$G640=$B$23))</f>
        <v>7</v>
      </c>
      <c r="E23" s="14">
        <f>SUMPRODUCT(('Ελλάδα'!$Y2:$Y640&gt;=$C$4)*('Ελλάδα'!$Y2:$Y640&lt;=$C$5)*('Ελλάδα'!$G2:$G640=$B$23)*'Ελλάδα'!$Z2:$Z640)</f>
        <v>0</v>
      </c>
    </row>
    <row r="24" spans="2:10">
      <c r="B24" s="12" t="s">
        <v>169</v>
      </c>
      <c r="C24" s="10" t="b">
        <v>0</v>
      </c>
      <c r="D24" s="13">
        <f>SUMPRODUCT(('Ελλάδα'!$Y2:$Y640&gt;=$C$4)*('Ελλάδα'!$Y2:$Y640&lt;=$C$5)*('Ελλάδα'!$G2:$G640=$B$24))</f>
        <v>5</v>
      </c>
      <c r="E24" s="14">
        <f>SUMPRODUCT(('Ελλάδα'!$Y2:$Y640&gt;=$C$4)*('Ελλάδα'!$Y2:$Y640&lt;=$C$5)*('Ελλάδα'!$G2:$G640=$B$24)*'Ελλάδα'!$Z2:$Z640)</f>
        <v>0</v>
      </c>
    </row>
    <row r="25" spans="2:10">
      <c r="B25" s="12" t="s">
        <v>1612</v>
      </c>
      <c r="C25" s="10" t="b">
        <v>0</v>
      </c>
      <c r="D25" s="13">
        <f>SUMPRODUCT(('Ελλάδα'!$Y2:$Y640&gt;=$C$4)*('Ελλάδα'!$Y2:$Y640&lt;=$C$5)*('Ελλάδα'!$G2:$G640=$B$25))</f>
        <v>3</v>
      </c>
      <c r="E25" s="14">
        <f>SUMPRODUCT(('Ελλάδα'!$Y2:$Y640&gt;=$C$4)*('Ελλάδα'!$Y2:$Y640&lt;=$C$5)*('Ελλάδα'!$G2:$G640=$B$25)*'Ελλάδα'!$Z2:$Z640)</f>
        <v>0</v>
      </c>
    </row>
    <row r="26" spans="2:10">
      <c r="B26" s="12" t="s">
        <v>1846</v>
      </c>
      <c r="C26" s="10" t="b">
        <v>0</v>
      </c>
      <c r="D26" s="13">
        <f>SUMPRODUCT(('Ελλάδα'!$Y2:$Y640&gt;=$C$4)*('Ελλάδα'!$Y2:$Y640&lt;=$C$5)*('Ελλάδα'!$G2:$G640=$B$26))</f>
        <v>2</v>
      </c>
      <c r="E26" s="14">
        <f>SUMPRODUCT(('Ελλάδα'!$Y2:$Y640&gt;=$C$4)*('Ελλάδα'!$Y2:$Y640&lt;=$C$5)*('Ελλάδα'!$G2:$G640=$B$26)*'Ελλάδα'!$Z2:$Z640)</f>
        <v>95200.0</v>
      </c>
    </row>
    <row r="27" spans="2:10">
      <c r="B27" s="12" t="s">
        <v>1496</v>
      </c>
      <c r="C27" s="10" t="b">
        <v>0</v>
      </c>
      <c r="D27" s="13">
        <f>SUMPRODUCT(('Ελλάδα'!$Y2:$Y640&gt;=$C$4)*('Ελλάδα'!$Y2:$Y640&lt;=$C$5)*('Ελλάδα'!$G2:$G640=$B$27))</f>
        <v>9</v>
      </c>
      <c r="E27" s="14">
        <f>SUMPRODUCT(('Ελλάδα'!$Y2:$Y640&gt;=$C$4)*('Ελλάδα'!$Y2:$Y640&lt;=$C$5)*('Ελλάδα'!$G2:$G640=$B$27)*'Ελλάδα'!$Z2:$Z640)</f>
        <v>0.1</v>
      </c>
    </row>
    <row r="28" spans="2:10">
      <c r="B28" s="12" t="s">
        <v>174</v>
      </c>
      <c r="C28" s="10" t="b">
        <v>0</v>
      </c>
      <c r="D28" s="13">
        <f>SUMPRODUCT(('Ελλάδα'!$Y2:$Y640&gt;=$C$4)*('Ελλάδα'!$Y2:$Y640&lt;=$C$5)*('Ελλάδα'!$G2:$G640=$B$28))</f>
        <v>15</v>
      </c>
      <c r="E28" s="14">
        <f>SUMPRODUCT(('Ελλάδα'!$Y2:$Y640&gt;=$C$4)*('Ελλάδα'!$Y2:$Y640&lt;=$C$5)*('Ελλάδα'!$G2:$G640=$B$28)*'Ελλάδα'!$Z2:$Z640)</f>
        <v>467.1</v>
      </c>
    </row>
    <row r="29" spans="2:10">
      <c r="B29" s="12" t="s">
        <v>1186</v>
      </c>
      <c r="C29" s="10" t="b">
        <v>0</v>
      </c>
      <c r="D29" s="13">
        <f>SUMPRODUCT(('Ελλάδα'!$Y2:$Y640&gt;=$C$4)*('Ελλάδα'!$Y2:$Y640&lt;=$C$5)*('Ελλάδα'!$G2:$G640=$B$29))</f>
        <v>4</v>
      </c>
      <c r="E29" s="14">
        <f>SUMPRODUCT(('Ελλάδα'!$Y2:$Y640&gt;=$C$4)*('Ελλάδα'!$Y2:$Y640&lt;=$C$5)*('Ελλάδα'!$G2:$G640=$B$29)*'Ελλάδα'!$Z2:$Z640)</f>
        <v>0</v>
      </c>
    </row>
    <row r="30" spans="2:10">
      <c r="B30" s="12" t="s">
        <v>94</v>
      </c>
      <c r="C30" s="10" t="b">
        <v>0</v>
      </c>
      <c r="D30" s="13">
        <f>SUMPRODUCT(('Ελλάδα'!$Y2:$Y640&gt;=$C$4)*('Ελλάδα'!$Y2:$Y640&lt;=$C$5)*('Ελλάδα'!$G2:$G640=$B$30))</f>
        <v>17</v>
      </c>
      <c r="E30" s="14">
        <f>SUMPRODUCT(('Ελλάδα'!$Y2:$Y640&gt;=$C$4)*('Ελλάδα'!$Y2:$Y640&lt;=$C$5)*('Ελλάδα'!$G2:$G640=$B$30)*'Ελλάδα'!$Z2:$Z640)</f>
        <v>380.1</v>
      </c>
    </row>
    <row r="31" spans="2:10">
      <c r="B31" s="12" t="s">
        <v>103</v>
      </c>
      <c r="C31" s="10" t="b">
        <v>0</v>
      </c>
      <c r="D31" s="13">
        <f>SUMPRODUCT(('Ελλάδα'!$Y2:$Y640&gt;=$C$4)*('Ελλάδα'!$Y2:$Y640&lt;=$C$5)*('Ελλάδα'!$G2:$G640=$B$31))</f>
        <v>5</v>
      </c>
      <c r="E31" s="14">
        <f>SUMPRODUCT(('Ελλάδα'!$Y2:$Y640&gt;=$C$4)*('Ελλάδα'!$Y2:$Y640&lt;=$C$5)*('Ελλάδα'!$G2:$G640=$B$31)*'Ελλάδα'!$Z2:$Z640)</f>
        <v>0</v>
      </c>
    </row>
    <row r="32" spans="2:10">
      <c r="B32" s="12" t="s">
        <v>205</v>
      </c>
      <c r="C32" s="10" t="b">
        <v>0</v>
      </c>
      <c r="D32" s="13">
        <f>SUMPRODUCT(('Ελλάδα'!$Y2:$Y640&gt;=$C$4)*('Ελλάδα'!$Y2:$Y640&lt;=$C$5)*('Ελλάδα'!$G2:$G640=$B$32))</f>
        <v>24</v>
      </c>
      <c r="E32" s="14">
        <f>SUMPRODUCT(('Ελλάδα'!$Y2:$Y640&gt;=$C$4)*('Ελλάδα'!$Y2:$Y640&lt;=$C$5)*('Ελλάδα'!$G2:$G640=$B$32)*'Ελλάδα'!$Z2:$Z640)</f>
        <v>72.0</v>
      </c>
    </row>
    <row r="33" spans="2:5">
      <c r="B33" s="12" t="s">
        <v>645</v>
      </c>
      <c r="C33" s="10" t="b">
        <v>0</v>
      </c>
      <c r="D33" s="13">
        <f>SUMPRODUCT(('Ελλάδα'!$Y2:$Y640&gt;=$C$4)*('Ελλάδα'!$Y2:$Y640&lt;=$C$5)*('Ελλάδα'!$G2:$G640=$B$33))</f>
        <v>4</v>
      </c>
      <c r="E33" s="14">
        <f>SUMPRODUCT(('Ελλάδα'!$Y2:$Y640&gt;=$C$4)*('Ελλάδα'!$Y2:$Y640&lt;=$C$5)*('Ελλάδα'!$G2:$G640=$B$33)*'Ελλάδα'!$Z2:$Z640)</f>
        <v>0</v>
      </c>
    </row>
    <row r="34" spans="2:5">
      <c r="B34" s="12" t="s">
        <v>136</v>
      </c>
      <c r="C34" s="10" t="b">
        <v>0</v>
      </c>
      <c r="D34" s="13">
        <f>SUMPRODUCT(('Ελλάδα'!$Y2:$Y640&gt;=$C$4)*('Ελλάδα'!$Y2:$Y640&lt;=$C$5)*('Ελλάδα'!$G2:$G640=$B$34))</f>
        <v>19</v>
      </c>
      <c r="E34" s="14">
        <f>SUMPRODUCT(('Ελλάδα'!$Y2:$Y640&gt;=$C$4)*('Ελλάδα'!$Y2:$Y640&lt;=$C$5)*('Ελλάδα'!$G2:$G640=$B$34)*'Ελλάδα'!$Z2:$Z640)</f>
        <v>0</v>
      </c>
    </row>
    <row r="35" spans="2:5">
      <c r="B35" s="12" t="s">
        <v>601</v>
      </c>
      <c r="C35" s="10" t="b">
        <v>0</v>
      </c>
      <c r="D35" s="13">
        <f>SUMPRODUCT(('Ελλάδα'!$Y2:$Y640&gt;=$C$4)*('Ελλάδα'!$Y2:$Y640&lt;=$C$5)*('Ελλάδα'!$G2:$G640=$B$35))</f>
        <v>5</v>
      </c>
      <c r="E35" s="14">
        <f>SUMPRODUCT(('Ελλάδα'!$Y2:$Y640&gt;=$C$4)*('Ελλάδα'!$Y2:$Y640&lt;=$C$5)*('Ελλάδα'!$G2:$G640=$B$35)*'Ελλάδα'!$Z2:$Z640)</f>
        <v>0</v>
      </c>
    </row>
    <row r="36" spans="2:5">
      <c r="B36" s="12" t="s">
        <v>130</v>
      </c>
      <c r="C36" s="10" t="b">
        <v>0</v>
      </c>
      <c r="D36" s="13">
        <f>SUMPRODUCT(('Ελλάδα'!$Y2:$Y640&gt;=$C$4)*('Ελλάδα'!$Y2:$Y640&lt;=$C$5)*('Ελλάδα'!$G2:$G640=$B$36))</f>
        <v>49</v>
      </c>
      <c r="E36" s="14">
        <f>SUMPRODUCT(('Ελλάδα'!$Y2:$Y640&gt;=$C$4)*('Ελλάδα'!$Y2:$Y640&lt;=$C$5)*('Ελλάδα'!$G2:$G640=$B$36)*'Ελλάδα'!$Z2:$Z640)</f>
        <v>206.3</v>
      </c>
    </row>
    <row r="37" spans="2:5">
      <c r="B37" s="12" t="s">
        <v>4</v>
      </c>
      <c r="C37" s="10" t="b">
        <v>0</v>
      </c>
      <c r="D37" s="13">
        <f>SUMPRODUCT(('Ελλάδα'!$Y2:$Y640&gt;=$C$4)*('Ελλάδα'!$Y2:$Y640&lt;=$C$5)*('Ελλάδα'!$G2:$G640=$B$37))</f>
        <v>19</v>
      </c>
      <c r="E37" s="14">
        <f>SUMPRODUCT(('Ελλάδα'!$Y2:$Y640&gt;=$C$4)*('Ελλάδα'!$Y2:$Y640&lt;=$C$5)*('Ελλάδα'!$G2:$G640=$B$37)*'Ελλάδα'!$Z2:$Z640)</f>
        <v>1004.0</v>
      </c>
    </row>
    <row r="38" spans="2:5">
      <c r="B38" s="12" t="s">
        <v>470</v>
      </c>
      <c r="C38" s="10" t="b">
        <v>0</v>
      </c>
      <c r="D38" s="13">
        <f>SUMPRODUCT(('Ελλάδα'!$Y2:$Y640&gt;=$C$4)*('Ελλάδα'!$Y2:$Y640&lt;=$C$5)*('Ελλάδα'!$G2:$G640=$B$38))</f>
        <v>4</v>
      </c>
      <c r="E38" s="14">
        <f>SUMPRODUCT(('Ελλάδα'!$Y2:$Y640&gt;=$C$4)*('Ελλάδα'!$Y2:$Y640&lt;=$C$5)*('Ελλάδα'!$G2:$G640=$B$38)*'Ελλάδα'!$Z2:$Z640)</f>
        <v>2.2</v>
      </c>
    </row>
    <row r="39" spans="2:5">
      <c r="B39" s="12" t="s">
        <v>198</v>
      </c>
      <c r="C39" s="10" t="b">
        <v>0</v>
      </c>
      <c r="D39" s="13">
        <f>SUMPRODUCT(('Ελλάδα'!$Y2:$Y640&gt;=$C$4)*('Ελλάδα'!$Y2:$Y640&lt;=$C$5)*('Ελλάδα'!$G2:$G640=$B$39))</f>
        <v>14</v>
      </c>
      <c r="E39" s="14">
        <f>SUMPRODUCT(('Ελλάδα'!$Y2:$Y640&gt;=$C$4)*('Ελλάδα'!$Y2:$Y640&lt;=$C$5)*('Ελλάδα'!$G2:$G640=$B$39)*'Ελλάδα'!$Z2:$Z640)</f>
        <v>0</v>
      </c>
    </row>
    <row r="40" spans="2:5">
      <c r="B40" s="12" t="s">
        <v>2417</v>
      </c>
      <c r="C40" s="10" t="b">
        <v>0</v>
      </c>
      <c r="D40" s="13">
        <f>SUMPRODUCT(('Ελλάδα'!$Y2:$Y640&gt;=$C$4)*('Ελλάδα'!$Y2:$Y640&lt;=$C$5)*('Ελλάδα'!$G2:$G640=$B$40))</f>
        <v>1</v>
      </c>
      <c r="E40" s="14">
        <f>SUMPRODUCT(('Ελλάδα'!$Y2:$Y640&gt;=$C$4)*('Ελλάδα'!$Y2:$Y640&lt;=$C$5)*('Ελλάδα'!$G2:$G640=$B$40)*'Ελλάδα'!$Z2:$Z640)</f>
        <v>0</v>
      </c>
    </row>
    <row r="41" spans="2:5">
      <c r="B41" s="12" t="s">
        <v>1169</v>
      </c>
      <c r="C41" s="10" t="b">
        <v>0</v>
      </c>
      <c r="D41" s="13">
        <f>SUMPRODUCT(('Ελλάδα'!$Y2:$Y640&gt;=$C$4)*('Ελλάδα'!$Y2:$Y640&lt;=$C$5)*('Ελλάδα'!$G2:$G640=$B$41))</f>
        <v>3</v>
      </c>
      <c r="E41" s="14">
        <f>SUMPRODUCT(('Ελλάδα'!$Y2:$Y640&gt;=$C$4)*('Ελλάδα'!$Y2:$Y640&lt;=$C$5)*('Ελλάδα'!$G2:$G640=$B$41)*'Ελλάδα'!$Z2:$Z640)</f>
        <v>1.0</v>
      </c>
    </row>
    <row r="42" spans="2:5">
      <c r="B42" s="12" t="s">
        <v>87</v>
      </c>
      <c r="C42" s="10" t="b">
        <v>0</v>
      </c>
      <c r="D42" s="13">
        <f>SUMPRODUCT(('Ελλάδα'!$Y2:$Y640&gt;=$C$4)*('Ελλάδα'!$Y2:$Y640&lt;=$C$5)*('Ελλάδα'!$G2:$G640=$B$42))</f>
        <v>4</v>
      </c>
      <c r="E42" s="14">
        <f>SUMPRODUCT(('Ελλάδα'!$Y2:$Y640&gt;=$C$4)*('Ελλάδα'!$Y2:$Y640&lt;=$C$5)*('Ελλάδα'!$G2:$G640=$B$42)*'Ελλάδα'!$Z2:$Z640)</f>
        <v>10.0</v>
      </c>
    </row>
    <row r="43" spans="2:5">
      <c r="B43" s="12" t="s">
        <v>1282</v>
      </c>
      <c r="C43" s="10" t="b">
        <v>0</v>
      </c>
      <c r="D43" s="13">
        <f>SUMPRODUCT(('Ελλάδα'!$Y2:$Y640&gt;=$C$4)*('Ελλάδα'!$Y2:$Y640&lt;=$C$5)*('Ελλάδα'!$G2:$G640=$B$43))</f>
        <v>3</v>
      </c>
      <c r="E43" s="14">
        <f>SUMPRODUCT(('Ελλάδα'!$Y2:$Y640&gt;=$C$4)*('Ελλάδα'!$Y2:$Y640&lt;=$C$5)*('Ελλάδα'!$G2:$G640=$B$43)*'Ελλάδα'!$Z2:$Z640)</f>
        <v>2.0</v>
      </c>
    </row>
    <row r="44" spans="2:5">
      <c r="B44" s="12" t="s">
        <v>1336</v>
      </c>
      <c r="C44" s="10" t="b">
        <v>0</v>
      </c>
      <c r="D44" s="13">
        <f>SUMPRODUCT(('Ελλάδα'!$Y2:$Y640&gt;=$C$4)*('Ελλάδα'!$Y2:$Y640&lt;=$C$5)*('Ελλάδα'!$G2:$G640=$B$44))</f>
        <v>4</v>
      </c>
      <c r="E44" s="14">
        <f>SUMPRODUCT(('Ελλάδα'!$Y2:$Y640&gt;=$C$4)*('Ελλάδα'!$Y2:$Y640&lt;=$C$5)*('Ελλάδα'!$G2:$G640=$B$44)*'Ελλάδα'!$Z2:$Z640)</f>
        <v>1200.0</v>
      </c>
    </row>
    <row r="45" spans="2:5">
      <c r="B45" s="12" t="s">
        <v>1329</v>
      </c>
      <c r="C45" s="10" t="b">
        <v>0</v>
      </c>
      <c r="D45" s="13">
        <f>SUMPRODUCT(('Ελλάδα'!$Y2:$Y640&gt;=$C$4)*('Ελλάδα'!$Y2:$Y640&lt;=$C$5)*('Ελλάδα'!$G2:$G640=$B$45))</f>
        <v>1</v>
      </c>
      <c r="E45" s="14">
        <f>SUMPRODUCT(('Ελλάδα'!$Y2:$Y640&gt;=$C$4)*('Ελλάδα'!$Y2:$Y640&lt;=$C$5)*('Ελλάδα'!$G2:$G640=$B$45)*'Ελλάδα'!$Z2:$Z640)</f>
        <v>0</v>
      </c>
    </row>
    <row r="46" spans="2:5">
      <c r="B46" s="12" t="s">
        <v>2455</v>
      </c>
      <c r="C46" s="10" t="b">
        <v>0</v>
      </c>
      <c r="D46" s="13">
        <f>SUMPRODUCT(('Ελλάδα'!$Y2:$Y640&gt;=$C$4)*('Ελλάδα'!$Y2:$Y640&lt;=$C$5)*('Ελλάδα'!$G2:$G640=$B$46))</f>
        <v>1</v>
      </c>
      <c r="E46" s="14">
        <f>SUMPRODUCT(('Ελλάδα'!$Y2:$Y640&gt;=$C$4)*('Ελλάδα'!$Y2:$Y640&lt;=$C$5)*('Ελλάδα'!$G2:$G640=$B$46)*'Ελλάδα'!$Z2:$Z640)</f>
        <v>0</v>
      </c>
    </row>
    <row r="47" spans="2:5">
      <c r="B47" s="12" t="s">
        <v>753</v>
      </c>
      <c r="C47" s="10" t="b">
        <v>0</v>
      </c>
      <c r="D47" s="13">
        <f>SUMPRODUCT(('Ελλάδα'!$Y2:$Y640&gt;=$C$4)*('Ελλάδα'!$Y2:$Y640&lt;=$C$5)*('Ελλάδα'!$G2:$G640=$B$47))</f>
        <v>13</v>
      </c>
      <c r="E47" s="14">
        <f>SUMPRODUCT(('Ελλάδα'!$Y2:$Y640&gt;=$C$4)*('Ελλάδα'!$Y2:$Y640&lt;=$C$5)*('Ελλάδα'!$G2:$G640=$B$47)*'Ελλάδα'!$Z2:$Z640)</f>
        <v>36.0</v>
      </c>
    </row>
    <row r="48" spans="2:5">
      <c r="B48" s="12" t="s">
        <v>657</v>
      </c>
      <c r="C48" s="10" t="b">
        <v>0</v>
      </c>
      <c r="D48" s="13">
        <f>SUMPRODUCT(('Ελλάδα'!$Y2:$Y640&gt;=$C$4)*('Ελλάδα'!$Y2:$Y640&lt;=$C$5)*('Ελλάδα'!$G2:$G640=$B$48))</f>
        <v>6</v>
      </c>
      <c r="E48" s="14">
        <f>SUMPRODUCT(('Ελλάδα'!$Y2:$Y640&gt;=$C$4)*('Ελλάδα'!$Y2:$Y640&lt;=$C$5)*('Ελλάδα'!$G2:$G640=$B$48)*'Ελλάδα'!$Z2:$Z640)</f>
        <v>0</v>
      </c>
    </row>
    <row r="49" spans="2:5">
      <c r="B49" s="12" t="s">
        <v>481</v>
      </c>
      <c r="C49" s="10" t="b">
        <v>0</v>
      </c>
      <c r="D49" s="13">
        <f>SUMPRODUCT(('Ελλάδα'!$Y2:$Y640&gt;=$C$4)*('Ελλάδα'!$Y2:$Y640&lt;=$C$5)*('Ελλάδα'!$G2:$G640=$B$49))</f>
        <v>18</v>
      </c>
      <c r="E49" s="14">
        <f>SUMPRODUCT(('Ελλάδα'!$Y2:$Y640&gt;=$C$4)*('Ελλάδα'!$Y2:$Y640&lt;=$C$5)*('Ελλάδα'!$G2:$G640=$B$49)*'Ελλάδα'!$Z2:$Z640)</f>
        <v>67.5</v>
      </c>
    </row>
    <row r="50" spans="2:5">
      <c r="B50" s="12" t="s">
        <v>121</v>
      </c>
      <c r="C50" s="10" t="b">
        <v>0</v>
      </c>
      <c r="D50" s="13">
        <f>SUMPRODUCT(('Ελλάδα'!$Y2:$Y640&gt;=$C$4)*('Ελλάδα'!$Y2:$Y640&lt;=$C$5)*('Ελλάδα'!$G2:$G640=$B$50))</f>
        <v>9</v>
      </c>
      <c r="E50" s="14">
        <f>SUMPRODUCT(('Ελλάδα'!$Y2:$Y640&gt;=$C$4)*('Ελλάδα'!$Y2:$Y640&lt;=$C$5)*('Ελλάδα'!$G2:$G640=$B$50)*'Ελλάδα'!$Z2:$Z640)</f>
        <v>1001.0</v>
      </c>
    </row>
    <row r="51" spans="2:5">
      <c r="B51" s="12" t="s">
        <v>2571</v>
      </c>
      <c r="C51" s="10" t="b">
        <v>0</v>
      </c>
      <c r="D51" s="13">
        <f>SUMPRODUCT(('Ελλάδα'!$Y2:$Y640&gt;=$C$4)*('Ελλάδα'!$Y2:$Y640&lt;=$C$5)*('Ελλάδα'!$G2:$G640=$B$51))</f>
        <v>2</v>
      </c>
      <c r="E51" s="14">
        <f>SUMPRODUCT(('Ελλάδα'!$Y2:$Y640&gt;=$C$4)*('Ελλάδα'!$Y2:$Y640&lt;=$C$5)*('Ελλάδα'!$G2:$G640=$B$51)*'Ελλάδα'!$Z2:$Z640)</f>
        <v>0</v>
      </c>
    </row>
    <row r="52" spans="2:5">
      <c r="B52" s="12" t="s">
        <v>325</v>
      </c>
      <c r="C52" s="10" t="b">
        <v>0</v>
      </c>
      <c r="D52" s="13">
        <f>SUMPRODUCT(('Ελλάδα'!$Y2:$Y640&gt;=$C$4)*('Ελλάδα'!$Y2:$Y640&lt;=$C$5)*('Ελλάδα'!$G2:$G640=$B$52))</f>
        <v>15</v>
      </c>
      <c r="E52" s="14">
        <f>SUMPRODUCT(('Ελλάδα'!$Y2:$Y640&gt;=$C$4)*('Ελλάδα'!$Y2:$Y640&lt;=$C$5)*('Ελλάδα'!$G2:$G640=$B$52)*'Ελλάδα'!$Z2:$Z640)</f>
        <v>201.3</v>
      </c>
    </row>
    <row r="53" spans="2:5">
      <c r="B53" s="12" t="s">
        <v>1102</v>
      </c>
      <c r="C53" s="10" t="b">
        <v>0</v>
      </c>
      <c r="D53" s="13">
        <f>SUMPRODUCT(('Ελλάδα'!$Y2:$Y640&gt;=$C$4)*('Ελλάδα'!$Y2:$Y640&lt;=$C$5)*('Ελλάδα'!$G2:$G640=$B$53))</f>
        <v>4</v>
      </c>
      <c r="E53" s="14">
        <f>SUMPRODUCT(('Ελλάδα'!$Y2:$Y640&gt;=$C$4)*('Ελλάδα'!$Y2:$Y640&lt;=$C$5)*('Ελλάδα'!$G2:$G640=$B$53)*'Ελλάδα'!$Z2:$Z640)</f>
        <v>50.0</v>
      </c>
    </row>
    <row r="54" spans="2:5">
      <c r="B54" s="12" t="s">
        <v>1004</v>
      </c>
      <c r="C54" s="10" t="b">
        <v>0</v>
      </c>
      <c r="D54" s="13">
        <f>SUMPRODUCT(('Ελλάδα'!$Y2:$Y640&gt;=$C$4)*('Ελλάδα'!$Y2:$Y640&lt;=$C$5)*('Ελλάδα'!$G2:$G640=$B$54))</f>
        <v>8</v>
      </c>
      <c r="E54" s="14">
        <f>SUMPRODUCT(('Ελλάδα'!$Y2:$Y640&gt;=$C$4)*('Ελλάδα'!$Y2:$Y640&lt;=$C$5)*('Ελλάδα'!$G2:$G640=$B$54)*'Ελλάδα'!$Z2:$Z640)</f>
        <v>0</v>
      </c>
    </row>
    <row r="55" spans="2:5">
      <c r="B55" s="12" t="s">
        <v>111</v>
      </c>
      <c r="C55" s="10" t="b">
        <v>0</v>
      </c>
      <c r="D55" s="13">
        <f>SUMPRODUCT(('Ελλάδα'!$Y2:$Y640&gt;=$C$4)*('Ελλάδα'!$Y2:$Y640&lt;=$C$5)*('Ελλάδα'!$G2:$G640=$B$55))</f>
        <v>7</v>
      </c>
      <c r="E55" s="14">
        <f>SUMPRODUCT(('Ελλάδα'!$Y2:$Y640&gt;=$C$4)*('Ελλάδα'!$Y2:$Y640&lt;=$C$5)*('Ελλάδα'!$G2:$G640=$B$55)*'Ελλάδα'!$Z2:$Z640)</f>
        <v>0</v>
      </c>
    </row>
    <row r="56" spans="2:5">
      <c r="B56" s="12" t="s">
        <v>75</v>
      </c>
      <c r="C56" s="10" t="b">
        <v>0</v>
      </c>
      <c r="D56" s="13">
        <f>SUMPRODUCT(('Ελλάδα'!$Y2:$Y640&gt;=$C$4)*('Ελλάδα'!$Y2:$Y640&lt;=$C$5)*('Ελλάδα'!$G2:$G640=$B$56))</f>
        <v>9</v>
      </c>
      <c r="E56" s="14">
        <f>SUMPRODUCT(('Ελλάδα'!$Y2:$Y640&gt;=$C$4)*('Ελλάδα'!$Y2:$Y640&lt;=$C$5)*('Ελλάδα'!$G2:$G640=$B$56)*'Ελλάδα'!$Z2:$Z640)</f>
        <v>21.5</v>
      </c>
    </row>
    <row r="57" spans="2:5">
      <c r="B57" s="12" t="s">
        <v>23</v>
      </c>
      <c r="C57" s="10" t="b">
        <v>0</v>
      </c>
      <c r="D57" s="13">
        <f>SUMPRODUCT(('Ελλάδα'!$Y2:$Y640&gt;=$C$4)*('Ελλάδα'!$Y2:$Y640&lt;=$C$5)*('Ελλάδα'!$G2:$G640=$B$57))</f>
        <v>1</v>
      </c>
      <c r="E57" s="14">
        <f>SUMPRODUCT(('Ελλάδα'!$Y2:$Y640&gt;=$C$4)*('Ελλάδα'!$Y2:$Y640&lt;=$C$5)*('Ελλάδα'!$G2:$G640=$B$57)*'Ελλάδα'!$Z2:$Z640)</f>
        <v>0</v>
      </c>
    </row>
    <row r="58" spans="2:5">
      <c r="B58" s="12" t="s">
        <v>29</v>
      </c>
      <c r="C58" s="10" t="b">
        <v>0</v>
      </c>
      <c r="D58" s="13">
        <f>SUMPRODUCT(('Ελλάδα'!$Y2:$Y640&gt;=$C$4)*('Ελλάδα'!$Y2:$Y640&lt;=$C$5)*('Ελλάδα'!$G2:$G640=$B$58))</f>
        <v>1</v>
      </c>
      <c r="E58" s="14">
        <f>SUMPRODUCT(('Ελλάδα'!$Y2:$Y640&gt;=$C$4)*('Ελλάδα'!$Y2:$Y640&lt;=$C$5)*('Ελλάδα'!$G2:$G640=$B$58)*'Ελλάδα'!$Z2:$Z640)</f>
        <v>0</v>
      </c>
    </row>
    <row r="59" spans="2:5">
      <c r="B59" s="12" t="s">
        <v>188</v>
      </c>
      <c r="C59" s="10" t="b">
        <v>0</v>
      </c>
      <c r="D59" s="13">
        <f>SUMPRODUCT(('Ελλάδα'!$Y2:$Y640&gt;=$C$4)*('Ελλάδα'!$Y2:$Y640&lt;=$C$5)*('Ελλάδα'!$G2:$G640=$B$59))</f>
        <v>9</v>
      </c>
      <c r="E59" s="14">
        <f>SUMPRODUCT(('Ελλάδα'!$Y2:$Y640&gt;=$C$4)*('Ελλάδα'!$Y2:$Y640&lt;=$C$5)*('Ελλάδα'!$G2:$G640=$B$59)*'Ελλάδα'!$Z2:$Z640)</f>
        <v>2.0</v>
      </c>
    </row>
    <row r="60" spans="2:5">
      <c r="B60" s="12" t="s">
        <v>142</v>
      </c>
      <c r="C60" s="10" t="b">
        <v>0</v>
      </c>
      <c r="D60" s="13">
        <f>SUMPRODUCT(('Ελλάδα'!$Y2:$Y640&gt;=$C$4)*('Ελλάδα'!$Y2:$Y640&lt;=$C$5)*('Ελλάδα'!$G2:$G640=$B$60))</f>
        <v>11</v>
      </c>
      <c r="E60" s="14">
        <f>SUMPRODUCT(('Ελλάδα'!$Y2:$Y640&gt;=$C$4)*('Ελλάδα'!$Y2:$Y640&lt;=$C$5)*('Ελλάδα'!$G2:$G640=$B$60)*'Ελλάδα'!$Z2:$Z640)</f>
        <v>6.0</v>
      </c>
    </row>
    <row r="61" spans="2:5">
      <c r="B61" s="12" t="s">
        <v>3158</v>
      </c>
      <c r="C61" s="10" t="b">
        <v>0</v>
      </c>
      <c r="D61" s="13">
        <f>SUMPRODUCT(('Ελλάδα'!$Y2:$Y640&gt;=$C$4)*('Ελλάδα'!$Y2:$Y640&lt;=$C$5)*('Ελλάδα'!$G2:$G640=$B$61))</f>
        <v>1</v>
      </c>
      <c r="E61" s="14">
        <f>SUMPRODUCT(('Ελλάδα'!$Y2:$Y640&gt;=$C$4)*('Ελλάδα'!$Y2:$Y640&lt;=$C$5)*('Ελλάδα'!$G2:$G640=$B$61)*'Ελλάδα'!$Z2:$Z640)</f>
        <v>0</v>
      </c>
    </row>
    <row r="62" spans="2:5">
      <c r="B62" s="12" t="s">
        <v>65</v>
      </c>
      <c r="C62" s="10" t="b">
        <v>0</v>
      </c>
      <c r="D62" s="13">
        <f>SUMPRODUCT(('Ελλάδα'!$Y2:$Y640&gt;=$C$4)*('Ελλάδα'!$Y2:$Y640&lt;=$C$5)*('Ελλάδα'!$G2:$G640=$B$62))</f>
        <v>3</v>
      </c>
      <c r="E62" s="14">
        <f>SUMPRODUCT(('Ελλάδα'!$Y2:$Y640&gt;=$C$4)*('Ελλάδα'!$Y2:$Y640&lt;=$C$5)*('Ελλάδα'!$G2:$G640=$B$62)*'Ελλάδα'!$Z2:$Z640)</f>
        <v>0</v>
      </c>
    </row>
    <row r="63" spans="2:5">
      <c r="B63" s="12" t="s">
        <v>440</v>
      </c>
      <c r="C63" s="10" t="b">
        <v>0</v>
      </c>
      <c r="D63" s="13">
        <f>SUMPRODUCT(('Ελλάδα'!$Y2:$Y640&gt;=$C$4)*('Ελλάδα'!$Y2:$Y640&lt;=$C$5)*('Ελλάδα'!$G2:$G640=$B$63))</f>
        <v>3</v>
      </c>
      <c r="E63" s="14">
        <f>SUMPRODUCT(('Ελλάδα'!$Y2:$Y640&gt;=$C$4)*('Ελλάδα'!$Y2:$Y640&lt;=$C$5)*('Ελλάδα'!$G2:$G640=$B$63)*'Ελλάδα'!$Z2:$Z640)</f>
        <v>1.5</v>
      </c>
    </row>
    <row r="64" spans="2:5">
      <c r="B64" s="12" t="s">
        <v>445</v>
      </c>
      <c r="C64" s="10" t="b">
        <v>0</v>
      </c>
      <c r="D64" s="13">
        <f>SUMPRODUCT(('Ελλάδα'!$Y2:$Y640&gt;=$C$4)*('Ελλάδα'!$Y2:$Y640&lt;=$C$5)*('Ελλάδα'!$G2:$G640=$B$64))</f>
        <v>5</v>
      </c>
      <c r="E64" s="14">
        <f>SUMPRODUCT(('Ελλάδα'!$Y2:$Y640&gt;=$C$4)*('Ελλάδα'!$Y2:$Y640&lt;=$C$5)*('Ελλάδα'!$G2:$G640=$B$64)*'Ελλάδα'!$Z2:$Z640)</f>
        <v>5.0</v>
      </c>
    </row>
    <row r="65" spans="2:5">
      <c r="B65" s="12" t="s">
        <v>769</v>
      </c>
      <c r="C65" s="10" t="b">
        <v>0</v>
      </c>
      <c r="D65" s="13">
        <f>SUMPRODUCT(('Ελλάδα'!$Y2:$Y640&gt;=$C$4)*('Ελλάδα'!$Y2:$Y640&lt;=$C$5)*('Ελλάδα'!$G2:$G640=$B$65))</f>
        <v>3</v>
      </c>
      <c r="E65" s="14">
        <f>SUMPRODUCT(('Ελλάδα'!$Y2:$Y640&gt;=$C$4)*('Ελλάδα'!$Y2:$Y640&lt;=$C$5)*('Ελλάδα'!$G2:$G640=$B$65)*'Ελλάδα'!$Z2:$Z640)</f>
        <v>2.5</v>
      </c>
    </row>
    <row r="66" spans="2:5">
      <c r="B66" s="12" t="s">
        <v>1140</v>
      </c>
      <c r="C66" s="10" t="b">
        <v>0</v>
      </c>
      <c r="D66" s="13">
        <f>SUMPRODUCT(('Ελλάδα'!$Y2:$Y640&gt;=$C$4)*('Ελλάδα'!$Y2:$Y640&lt;=$C$5)*('Ελλάδα'!$G2:$G640=$B$66))</f>
        <v>9</v>
      </c>
      <c r="E66" s="14">
        <f>SUMPRODUCT(('Ελλάδα'!$Y2:$Y640&gt;=$C$4)*('Ελλάδα'!$Y2:$Y640&lt;=$C$5)*('Ελλάδα'!$G2:$G640=$B$66)*'Ελλάδα'!$Z2:$Z640)</f>
        <v>9000.0</v>
      </c>
    </row>
    <row r="67" spans="2:5">
      <c r="B67" s="12" t="s">
        <v>1146</v>
      </c>
      <c r="C67" s="10" t="b">
        <v>0</v>
      </c>
      <c r="D67" s="13">
        <f>SUMPRODUCT(('Ελλάδα'!$Y2:$Y640&gt;=$C$4)*('Ελλάδα'!$Y2:$Y640&lt;=$C$5)*('Ελλάδα'!$G2:$G640=$B$67))</f>
        <v>2</v>
      </c>
      <c r="E67" s="14">
        <f>SUMPRODUCT(('Ελλάδα'!$Y2:$Y640&gt;=$C$4)*('Ελλάδα'!$Y2:$Y640&lt;=$C$5)*('Ελλάδα'!$G2:$G640=$B$67)*'Ελλάδα'!$Z2:$Z640)</f>
        <v>0</v>
      </c>
    </row>
    <row r="68" spans="2:5">
      <c r="B68" s="12" t="s">
        <v>1624</v>
      </c>
      <c r="C68" s="10" t="b">
        <v>0</v>
      </c>
      <c r="D68" s="13">
        <f>SUMPRODUCT(('Ελλάδα'!$Y2:$Y640&gt;=$C$4)*('Ελλάδα'!$Y2:$Y640&lt;=$C$5)*('Ελλάδα'!$G2:$G640=$B$68))</f>
        <v>11</v>
      </c>
      <c r="E68" s="14">
        <f>SUMPRODUCT(('Ελλάδα'!$Y2:$Y640&gt;=$C$4)*('Ελλάδα'!$Y2:$Y640&lt;=$C$5)*('Ελλάδα'!$G2:$G640=$B$68)*'Ελλάδα'!$Z2:$Z640)</f>
        <v>98.0</v>
      </c>
    </row>
    <row r="69" spans="2:5">
      <c r="B69" s="12" t="s">
        <v>944</v>
      </c>
      <c r="C69" s="10" t="b">
        <v>0</v>
      </c>
      <c r="D69" s="13">
        <f>SUMPRODUCT(('Ελλάδα'!$Y2:$Y640&gt;=$C$4)*('Ελλάδα'!$Y2:$Y640&lt;=$C$5)*('Ελλάδα'!$G2:$G640=$B$69))</f>
        <v>5</v>
      </c>
      <c r="E69" s="14">
        <f>SUMPRODUCT(('Ελλάδα'!$Y2:$Y640&gt;=$C$4)*('Ελλάδα'!$Y2:$Y640&lt;=$C$5)*('Ελλάδα'!$G2:$G640=$B$69)*'Ελλάδα'!$Z2:$Z640)</f>
        <v>0</v>
      </c>
    </row>
    <row r="70" spans="2:5">
      <c r="B70" s="12" t="s">
        <v>54</v>
      </c>
      <c r="C70" s="10" t="b">
        <v>0</v>
      </c>
      <c r="D70" s="13">
        <f>SUMPRODUCT(('Ελλάδα'!$Y2:$Y640&gt;=$C$4)*('Ελλάδα'!$Y2:$Y640&lt;=$C$5)*('Ελλάδα'!$G2:$G640=$B$70))</f>
        <v>8</v>
      </c>
      <c r="E70" s="14">
        <f>SUMPRODUCT(('Ελλάδα'!$Y2:$Y640&gt;=$C$4)*('Ελλάδα'!$Y2:$Y640&lt;=$C$5)*('Ελλάδα'!$G2:$G640=$B$70)*'Ελλάδα'!$Z2:$Z640)</f>
        <v>22.0</v>
      </c>
    </row>
    <row r="71" spans="2:5">
      <c r="B71" s="12" t="s">
        <v>1444</v>
      </c>
      <c r="C71" s="10" t="b">
        <v>0</v>
      </c>
      <c r="D71" s="13">
        <f>SUMPRODUCT(('Ελλάδα'!$Y2:$Y640&gt;=$C$4)*('Ελλάδα'!$Y2:$Y640&lt;=$C$5)*('Ελλάδα'!$G2:$G640=$B$71))</f>
        <v>1</v>
      </c>
      <c r="E71" s="14">
        <f>SUMPRODUCT(('Ελλάδα'!$Y2:$Y640&gt;=$C$4)*('Ελλάδα'!$Y2:$Y640&lt;=$C$5)*('Ελλάδα'!$G2:$G640=$B$71)*'Ελλάδα'!$Z2:$Z640)</f>
        <v>363.6</v>
      </c>
    </row>
    <row r="72" spans="2:5">
      <c r="B72" s="12" t="s">
        <v>1434</v>
      </c>
      <c r="C72" s="10" t="b">
        <v>0</v>
      </c>
      <c r="D72" s="13">
        <f>SUMPRODUCT(('Ελλάδα'!$Y2:$Y640&gt;=$C$4)*('Ελλάδα'!$Y2:$Y640&lt;=$C$5)*('Ελλάδα'!$G2:$G640=$B$72))</f>
        <v>1</v>
      </c>
      <c r="E72" s="14">
        <f>SUMPRODUCT(('Ελλάδα'!$Y2:$Y640&gt;=$C$4)*('Ελλάδα'!$Y2:$Y640&lt;=$C$5)*('Ελλάδα'!$G2:$G640=$B$72)*'Ελλάδα'!$Z2:$Z640)</f>
        <v>0</v>
      </c>
    </row>
    <row r="73" spans="2:5">
      <c r="B73" s="12" t="s">
        <v>152</v>
      </c>
      <c r="C73" s="10" t="b">
        <v>0</v>
      </c>
      <c r="D73" s="13">
        <f>SUMPRODUCT(('Ελλάδα'!$Y2:$Y640&gt;=$C$4)*('Ελλάδα'!$Y2:$Y640&lt;=$C$5)*('Ελλάδα'!$G2:$G640=$B$73))</f>
        <v>5</v>
      </c>
      <c r="E73" s="14">
        <f>SUMPRODUCT(('Ελλάδα'!$Y2:$Y640&gt;=$C$4)*('Ελλάδα'!$Y2:$Y640&lt;=$C$5)*('Ελλάδα'!$G2:$G640=$B$73)*'Ελλάδα'!$Z2:$Z640)</f>
        <v>0</v>
      </c>
    </row>
    <row r="74" spans="2:5">
      <c r="B74" s="12" t="s">
        <v>465</v>
      </c>
      <c r="C74" s="10" t="b">
        <v>0</v>
      </c>
      <c r="D74" s="13">
        <f>SUMPRODUCT(('Ελλάδα'!$Y2:$Y640&gt;=$C$4)*('Ελλάδα'!$Y2:$Y640&lt;=$C$5)*('Ελλάδα'!$G2:$G640=$B$74))</f>
        <v>11</v>
      </c>
      <c r="E74" s="14">
        <f>SUMPRODUCT(('Ελλάδα'!$Y2:$Y640&gt;=$C$4)*('Ελλάδα'!$Y2:$Y640&lt;=$C$5)*('Ελλάδα'!$G2:$G640=$B$74)*'Ελλάδα'!$Z2:$Z640)</f>
        <v>1.0</v>
      </c>
    </row>
    <row r="75" spans="2:5">
      <c r="B75" s="12" t="s">
        <v>1025</v>
      </c>
      <c r="C75" s="10" t="b">
        <v>0</v>
      </c>
      <c r="D75" s="13">
        <f>SUMPRODUCT(('Ελλάδα'!$Y2:$Y640&gt;=$C$4)*('Ελλάδα'!$Y2:$Y640&lt;=$C$5)*('Ελλάδα'!$G2:$G640=$B$75))</f>
        <v>11</v>
      </c>
      <c r="E75" s="14">
        <f>SUMPRODUCT(('Ελλάδα'!$Y2:$Y640&gt;=$C$4)*('Ελλάδα'!$Y2:$Y640&lt;=$C$5)*('Ελλάδα'!$G2:$G640=$B$75)*'Ελλάδα'!$Z2:$Z640)</f>
        <v>1.0</v>
      </c>
    </row>
    <row r="76" spans="2:5">
      <c r="B76" s="12" t="s">
        <v>496</v>
      </c>
      <c r="C76" s="10" t="b">
        <v>0</v>
      </c>
      <c r="D76" s="13">
        <f>SUMPRODUCT(('Ελλάδα'!$Y2:$Y640&gt;=$C$4)*('Ελλάδα'!$Y2:$Y640&lt;=$C$5)*('Ελλάδα'!$G2:$G640=$B$76))</f>
        <v>1</v>
      </c>
      <c r="E76" s="14">
        <f>SUMPRODUCT(('Ελλάδα'!$Y2:$Y640&gt;=$C$4)*('Ελλάδα'!$Y2:$Y640&lt;=$C$5)*('Ελλάδα'!$G2:$G640=$B$76)*'Ελλάδα'!$Z2:$Z640)</f>
        <v>0</v>
      </c>
    </row>
    <row r="77" spans="2:5">
      <c r="B77" s="12" t="s">
        <v>489</v>
      </c>
      <c r="C77" s="10" t="b">
        <v>0</v>
      </c>
      <c r="D77" s="13">
        <f>SUMPRODUCT(('Ελλάδα'!$Y2:$Y640&gt;=$C$4)*('Ελλάδα'!$Y2:$Y640&lt;=$C$5)*('Ελλάδα'!$G2:$G640=$B$77))</f>
        <v>1</v>
      </c>
      <c r="E77" s="14">
        <f>SUMPRODUCT(('Ελλάδα'!$Y2:$Y640&gt;=$C$4)*('Ελλάδα'!$Y2:$Y640&lt;=$C$5)*('Ελλάδα'!$G2:$G640=$B$77)*'Ελλάδα'!$Z2:$Z640)</f>
        <v>0</v>
      </c>
    </row>
    <row r="78" spans="2:5">
      <c r="B78" s="12" t="s">
        <v>451</v>
      </c>
      <c r="C78" s="10" t="b">
        <v>0</v>
      </c>
      <c r="D78" s="13">
        <f>SUMPRODUCT(('Ελλάδα'!$Y2:$Y640&gt;=$C$4)*('Ελλάδα'!$Y2:$Y640&lt;=$C$5)*('Ελλάδα'!$G2:$G640=$B$78))</f>
        <v>2</v>
      </c>
      <c r="E78" s="14">
        <f>SUMPRODUCT(('Ελλάδα'!$Y2:$Y640&gt;=$C$4)*('Ελλάδα'!$Y2:$Y640&lt;=$C$5)*('Ελλάδα'!$G2:$G640=$B$78)*'Ελλάδα'!$Z2:$Z640)</f>
        <v>0</v>
      </c>
    </row>
    <row r="79" spans="2:5">
      <c r="B79" s="12" t="s">
        <v>395</v>
      </c>
      <c r="C79" s="10" t="b">
        <v>0</v>
      </c>
      <c r="D79" s="13">
        <f>SUMPRODUCT(('Ελλάδα'!$Y2:$Y640&gt;=$C$4)*('Ελλάδα'!$Y2:$Y640&lt;=$C$5)*('Ελλάδα'!$G2:$G640=$B$79))</f>
        <v>5</v>
      </c>
      <c r="E79" s="14">
        <f>SUMPRODUCT(('Ελλάδα'!$Y2:$Y640&gt;=$C$4)*('Ελλάδα'!$Y2:$Y640&lt;=$C$5)*('Ελλάδα'!$G2:$G640=$B$79)*'Ελλάδα'!$Z2:$Z640)</f>
        <v>0</v>
      </c>
    </row>
    <row r="80" spans="2:5">
      <c r="B80" s="12" t="s">
        <v>730</v>
      </c>
      <c r="C80" s="10" t="b">
        <v>0</v>
      </c>
      <c r="D80" s="13">
        <f>SUMPRODUCT(('Ελλάδα'!$Y2:$Y640&gt;=$C$4)*('Ελλάδα'!$Y2:$Y640&lt;=$C$5)*('Ελλάδα'!$G2:$G640=$B$80))</f>
        <v>4</v>
      </c>
      <c r="E80" s="14">
        <f>SUMPRODUCT(('Ελλάδα'!$Y2:$Y640&gt;=$C$4)*('Ελλάδα'!$Y2:$Y640&lt;=$C$5)*('Ελλάδα'!$G2:$G640=$B$80)*'Ελλάδα'!$Z2:$Z640)</f>
        <v>4780.0</v>
      </c>
    </row>
    <row r="81" spans="2:5">
      <c r="B81" s="12" t="s">
        <v>1600</v>
      </c>
      <c r="C81" s="10" t="b">
        <v>0</v>
      </c>
      <c r="D81" s="13">
        <f>SUMPRODUCT(('Ελλάδα'!$Y2:$Y640&gt;=$C$4)*('Ελλάδα'!$Y2:$Y640&lt;=$C$5)*('Ελλάδα'!$G2:$G640=$B$81))</f>
        <v>1</v>
      </c>
      <c r="E81" s="14">
        <f>SUMPRODUCT(('Ελλάδα'!$Y2:$Y640&gt;=$C$4)*('Ελλάδα'!$Y2:$Y640&lt;=$C$5)*('Ελλάδα'!$G2:$G640=$B$81)*'Ελλάδα'!$Z2:$Z640)</f>
        <v>248.0</v>
      </c>
    </row>
    <row r="82" spans="2:5">
      <c r="B82" s="12" t="s">
        <v>116</v>
      </c>
      <c r="C82" s="10" t="b">
        <v>0</v>
      </c>
      <c r="D82" s="13">
        <f>SUMPRODUCT(('Ελλάδα'!$Y2:$Y640&gt;=$C$4)*('Ελλάδα'!$Y2:$Y640&lt;=$C$5)*('Ελλάδα'!$G2:$G640=$B$82))</f>
        <v>20</v>
      </c>
      <c r="E82" s="14">
        <f>SUMPRODUCT(('Ελλάδα'!$Y2:$Y640&gt;=$C$4)*('Ελλάδα'!$Y2:$Y640&lt;=$C$5)*('Ελλάδα'!$G2:$G640=$B$82)*'Ελλάδα'!$Z2:$Z640)</f>
        <v>846.0</v>
      </c>
    </row>
    <row r="83" spans="2:5">
      <c r="B83" s="12" t="s">
        <v>639</v>
      </c>
      <c r="C83" s="10" t="b">
        <v>0</v>
      </c>
      <c r="D83" s="13">
        <f>SUMPRODUCT(('Ελλάδα'!$Y2:$Y640&gt;=$C$4)*('Ελλάδα'!$Y2:$Y640&lt;=$C$5)*('Ελλάδα'!$G2:$G640=$B$83))</f>
        <v>5</v>
      </c>
      <c r="E83" s="14">
        <f>SUMPRODUCT(('Ελλάδα'!$Y2:$Y640&gt;=$C$4)*('Ελλάδα'!$Y2:$Y640&lt;=$C$5)*('Ελλάδα'!$G2:$G640=$B$83)*'Ελλάδα'!$Z2:$Z640)</f>
        <v>0.0</v>
      </c>
    </row>
  </sheetData>
  <dataValidations count="1">
    <dataValidation type="whole" allowBlank="1" showInputMessage="1" showErrorMessage="1" promptTitle="Μήνας 1-12" prompt="1=Ιαν … 12=Δεκ. Για όλους: 1 έως 12." sqref="C4:C5">
      <formula1>1</formula1>
      <formula2>12</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60"/>
  <sheetViews>
    <sheetView showGridLines="0" workbookViewId="0">
      <selection activeCell="A1" sqref="A1"/>
    </sheetView>
  </sheetViews>
  <sheetFormatPr baseColWidth="8" defaultRowHeight="15"/>
  <cols>
    <col min="1" max="2" width="22" customWidth="1"/>
    <col min="3" max="14" width="13" customWidth="1"/>
  </cols>
  <sheetData>
    <row r="1">
      <c r="A1" s="5" t="inlineStr">
        <is>
          <t xml:space="preserve">ΠΙΝΑΚΑΣ ΕΛΕΓΧΟΥ — ΔΑΣΙΚΕΣ ΠΥΡΚΑΓΙΕΣ 2026</t>
        </is>
      </c>
    </row>
    <row r="2">
      <c r="A2" s="6" t="inlineStr">
        <is>
          <t xml:space="preserve">Αυτόματη άντληση από τα φύλλα «Ελλάδα» &amp; «Ευρώπη». Τιμές αθροισμένες ανά καταγραφή/εγγραφή (το ίδιο συμβάν μπορεί να έχει πολλαπλές εγγραφές). Οι δυνάμεις είναι στιγμιότυπα. Ημ/νία προβολής:</t>
        </is>
      </c>
      <c r="I2" s="2">
        <f>TODAY()</f>
      </c>
    </row>
    <row r="4">
      <c r="A4" s="1" t="inlineStr">
        <is>
          <t xml:space="preserve">ΣΥΝΟΨΗ — ΕΛΛΑΔΑ (σύνολα ανά καταγραφή)</t>
        </is>
      </c>
    </row>
    <row r="5">
      <c r="A5" s="9" t="inlineStr">
        <is>
          <t xml:space="preserve">Επεισόδια (εγγραφές)</t>
        </is>
      </c>
      <c r="C5" s="9" t="inlineStr">
        <is>
          <t xml:space="preserve">Καμμένη έκταση (ha)</t>
        </is>
      </c>
      <c r="E5" s="9" t="inlineStr">
        <is>
          <t xml:space="preserve">Πυροσβέστες (σύν.)</t>
        </is>
      </c>
      <c r="G5" s="9" t="inlineStr">
        <is>
          <t xml:space="preserve">Οχήματα (σύν.)</t>
        </is>
      </c>
      <c r="I5" s="9" t="inlineStr">
        <is>
          <t xml:space="preserve">Αεροσκάφη (σύν.)</t>
        </is>
      </c>
      <c r="K5" s="9" t="inlineStr">
        <is>
          <t xml:space="preserve">Ελικόπτερα (σύν.)</t>
        </is>
      </c>
    </row>
    <row r="6">
      <c r="A6" s="4">
        <f>COUNT('Ελλάδα'!$A$2:$A$2000)</f>
      </c>
      <c r="C6" s="4">
        <f>SUM('Ελλάδα'!$Z$2:$Z$2000)</f>
      </c>
      <c r="E6" s="4">
        <f>SUM('Ελλάδα'!$I$2:$I$2000)</f>
      </c>
      <c r="G6" s="4">
        <f>SUM('Ελλάδα'!$J$2:$J$2000)</f>
      </c>
      <c r="I6" s="4">
        <f>SUM('Ελλάδα'!$K$2:$K$2000)</f>
      </c>
      <c r="K6" s="4">
        <f>SUM('Ελλάδα'!$L$2:$L$2000)</f>
      </c>
    </row>
    <row r="7">
      <c r="A7" s="9" t="inlineStr">
        <is>
          <t xml:space="preserve">Επεισόδια με εθελοντές</t>
        </is>
      </c>
      <c r="C7" s="9" t="inlineStr">
        <is>
          <t xml:space="preserve">Μέση έκταση/επεισόδιο (ha)</t>
        </is>
      </c>
      <c r="E7" s="9" t="inlineStr">
        <is>
          <t xml:space="preserve">Ενεργά (σε εξέλιξη)</t>
        </is>
      </c>
      <c r="G7" s="9" t="inlineStr">
        <is>
          <t xml:space="preserve">Μέγιστος κίνδυνος (1-5)</t>
        </is>
      </c>
      <c r="I7" s="9" t="inlineStr">
        <is>
          <t xml:space="preserve">Ευρώπη: επεισόδια</t>
        </is>
      </c>
      <c r="K7" s="9" t="inlineStr">
        <is>
          <t xml:space="preserve">Ευρώπη: καμμένη (ha)</t>
        </is>
      </c>
    </row>
    <row r="8">
      <c r="A8" s="4">
        <f>COUNTA('Ελλάδα'!$O$2:$O$2000)</f>
      </c>
      <c r="C8" s="4">
        <f>IFERROR(SUM('Ελλάδα'!$Z$2:$Z$2000)/COUNT('Ελλάδα'!$A$2:$A$2000),0)</f>
      </c>
      <c r="E8" s="4">
        <f>COUNTIF('Ελλάδα'!$S$2:$S$2000,"*εξέλιξ*")</f>
      </c>
      <c r="G8" s="4">
        <f>MAX('Ελλάδα'!$Q$2:$Q$2000)</f>
      </c>
      <c r="I8" s="4">
        <f>COUNT('Ευρώπη'!$A$2:$A$1000)</f>
      </c>
      <c r="K8" s="4">
        <f>SUM('Ευρώπη'!$P$2:$P$1000)</f>
      </c>
    </row>
    <row r="9">
      <c r="A9" s="1" t="inlineStr">
        <is>
          <t xml:space="preserve">ΓΡΑΦΗΜΑΤΑ</t>
        </is>
      </c>
    </row>
    <row r="74">
      <c r="A74" s="1" t="inlineStr">
        <is>
          <t xml:space="preserve">ΔΕΔΟΜΕΝΑ ΓΡΑΦΗΜΑΤΩΝ (πηγή των διαγραμμάτων — ζωντανοί τύποι)</t>
        </is>
      </c>
    </row>
    <row r="76">
      <c r="B76" s="11" t="inlineStr">
        <is>
          <t xml:space="preserve">Κατηγορία δύναμης</t>
        </is>
      </c>
      <c r="C76" s="11" t="inlineStr">
        <is>
          <t xml:space="preserve">Σύνολο</t>
        </is>
      </c>
    </row>
    <row r="77">
      <c r="B77" s="12" t="inlineStr">
        <is>
          <t xml:space="preserve">Πυροσβέστες</t>
        </is>
      </c>
      <c r="C77" s="13">
        <f>SUM('Ελλάδα'!$I$2:$I$2000)</f>
      </c>
    </row>
    <row r="78">
      <c r="B78" s="12" t="inlineStr">
        <is>
          <t xml:space="preserve">Οχήματα</t>
        </is>
      </c>
      <c r="C78" s="13">
        <f>SUM('Ελλάδα'!$J$2:$J$2000)</f>
      </c>
    </row>
    <row r="79">
      <c r="B79" s="12" t="inlineStr">
        <is>
          <t xml:space="preserve">Αεροσκάφη</t>
        </is>
      </c>
      <c r="C79" s="13">
        <f>SUM('Ελλάδα'!$K$2:$K$2000)</f>
      </c>
    </row>
    <row r="80">
      <c r="B80" s="12" t="inlineStr">
        <is>
          <t xml:space="preserve">Ελικόπτερα</t>
        </is>
      </c>
      <c r="C80" s="13">
        <f>SUM('Ελλάδα'!$L$2:$L$2000)</f>
      </c>
    </row>
    <row r="83">
      <c r="B83" s="11" t="inlineStr">
        <is>
          <t xml:space="preserve">Μήνας</t>
        </is>
      </c>
      <c r="C83" s="11" t="inlineStr">
        <is>
          <t xml:space="preserve">Επεισόδια</t>
        </is>
      </c>
      <c r="D83" s="11" t="inlineStr">
        <is>
          <t xml:space="preserve">Καμμ. έκταση (ha)</t>
        </is>
      </c>
      <c r="E83" s="11" t="inlineStr">
        <is>
          <t xml:space="preserve">Πυροσβέστες</t>
        </is>
      </c>
      <c r="F83" s="11" t="inlineStr">
        <is>
          <t xml:space="preserve">Οχήματα</t>
        </is>
      </c>
      <c r="G83" s="11" t="inlineStr">
        <is>
          <t xml:space="preserve">Αεροσκάφη</t>
        </is>
      </c>
      <c r="H83" s="11" t="inlineStr">
        <is>
          <t xml:space="preserve">Ελικόπτερα</t>
        </is>
      </c>
    </row>
    <row r="84">
      <c r="B84" s="12" t="inlineStr">
        <is>
          <t xml:space="preserve">Ιαν</t>
        </is>
      </c>
      <c r="C84" s="13">
        <f>IF(1&gt;MAX('Ελλάδα'!$Y$2:$Y$2000),NA(),SUMPRODUCT(('Ελλάδα'!$Y$2:$Y$2000=1)*1))</f>
      </c>
      <c r="D84" s="14">
        <f>IF(1&gt;MAX('Ελλάδα'!$Y$2:$Y$2000),NA(),SUMPRODUCT(('Ελλάδα'!$Y$2:$Y$2000=1)*'Ελλάδα'!$Z$2:$Z$2000))</f>
      </c>
      <c r="E84" s="13">
        <f>IF(1&gt;MAX('Ελλάδα'!$Y$2:$Y$2000),NA(),SUMPRODUCT(('Ελλάδα'!$Y$2:$Y$2000=1)*'Ελλάδα'!$I$2:$I$2000))</f>
      </c>
      <c r="F84" s="13">
        <f>IF(1&gt;MAX('Ελλάδα'!$Y$2:$Y$2000),NA(),SUMPRODUCT(('Ελλάδα'!$Y$2:$Y$2000=1)*'Ελλάδα'!$J$2:$J$2000))</f>
      </c>
      <c r="G84" s="13">
        <f>IF(1&gt;MAX('Ελλάδα'!$Y$2:$Y$2000),NA(),SUMPRODUCT(('Ελλάδα'!$Y$2:$Y$2000=1)*'Ελλάδα'!$K$2:$K$2000))</f>
      </c>
      <c r="H84" s="13">
        <f>IF(1&gt;MAX('Ελλάδα'!$Y$2:$Y$2000),NA(),SUMPRODUCT(('Ελλάδα'!$Y$2:$Y$2000=1)*'Ελλάδα'!$L$2:$L$2000))</f>
      </c>
    </row>
    <row r="85">
      <c r="B85" s="12" t="inlineStr">
        <is>
          <t xml:space="preserve">Φεβ</t>
        </is>
      </c>
      <c r="C85" s="13">
        <f>IF(2&gt;MAX('Ελλάδα'!$Y$2:$Y$2000),NA(),SUMPRODUCT(('Ελλάδα'!$Y$2:$Y$2000=2)*1))</f>
      </c>
      <c r="D85" s="14">
        <f>IF(2&gt;MAX('Ελλάδα'!$Y$2:$Y$2000),NA(),SUMPRODUCT(('Ελλάδα'!$Y$2:$Y$2000=2)*'Ελλάδα'!$Z$2:$Z$2000))</f>
      </c>
      <c r="E85" s="13">
        <f>IF(2&gt;MAX('Ελλάδα'!$Y$2:$Y$2000),NA(),SUMPRODUCT(('Ελλάδα'!$Y$2:$Y$2000=2)*'Ελλάδα'!$I$2:$I$2000))</f>
      </c>
      <c r="F85" s="13">
        <f>IF(2&gt;MAX('Ελλάδα'!$Y$2:$Y$2000),NA(),SUMPRODUCT(('Ελλάδα'!$Y$2:$Y$2000=2)*'Ελλάδα'!$J$2:$J$2000))</f>
      </c>
      <c r="G85" s="13">
        <f>IF(2&gt;MAX('Ελλάδα'!$Y$2:$Y$2000),NA(),SUMPRODUCT(('Ελλάδα'!$Y$2:$Y$2000=2)*'Ελλάδα'!$K$2:$K$2000))</f>
      </c>
      <c r="H85" s="13">
        <f>IF(2&gt;MAX('Ελλάδα'!$Y$2:$Y$2000),NA(),SUMPRODUCT(('Ελλάδα'!$Y$2:$Y$2000=2)*'Ελλάδα'!$L$2:$L$2000))</f>
      </c>
    </row>
    <row r="86">
      <c r="B86" s="12" t="inlineStr">
        <is>
          <t xml:space="preserve">Μαρ</t>
        </is>
      </c>
      <c r="C86" s="13">
        <f>IF(3&gt;MAX('Ελλάδα'!$Y$2:$Y$2000),NA(),SUMPRODUCT(('Ελλάδα'!$Y$2:$Y$2000=3)*1))</f>
      </c>
      <c r="D86" s="14">
        <f>IF(3&gt;MAX('Ελλάδα'!$Y$2:$Y$2000),NA(),SUMPRODUCT(('Ελλάδα'!$Y$2:$Y$2000=3)*'Ελλάδα'!$Z$2:$Z$2000))</f>
      </c>
      <c r="E86" s="13">
        <f>IF(3&gt;MAX('Ελλάδα'!$Y$2:$Y$2000),NA(),SUMPRODUCT(('Ελλάδα'!$Y$2:$Y$2000=3)*'Ελλάδα'!$I$2:$I$2000))</f>
      </c>
      <c r="F86" s="13">
        <f>IF(3&gt;MAX('Ελλάδα'!$Y$2:$Y$2000),NA(),SUMPRODUCT(('Ελλάδα'!$Y$2:$Y$2000=3)*'Ελλάδα'!$J$2:$J$2000))</f>
      </c>
      <c r="G86" s="13">
        <f>IF(3&gt;MAX('Ελλάδα'!$Y$2:$Y$2000),NA(),SUMPRODUCT(('Ελλάδα'!$Y$2:$Y$2000=3)*'Ελλάδα'!$K$2:$K$2000))</f>
      </c>
      <c r="H86" s="13">
        <f>IF(3&gt;MAX('Ελλάδα'!$Y$2:$Y$2000),NA(),SUMPRODUCT(('Ελλάδα'!$Y$2:$Y$2000=3)*'Ελλάδα'!$L$2:$L$2000))</f>
      </c>
    </row>
    <row r="87">
      <c r="B87" s="12" t="inlineStr">
        <is>
          <t xml:space="preserve">Απρ</t>
        </is>
      </c>
      <c r="C87" s="13">
        <f>IF(4&gt;MAX('Ελλάδα'!$Y$2:$Y$2000),NA(),SUMPRODUCT(('Ελλάδα'!$Y$2:$Y$2000=4)*1))</f>
      </c>
      <c r="D87" s="14">
        <f>IF(4&gt;MAX('Ελλάδα'!$Y$2:$Y$2000),NA(),SUMPRODUCT(('Ελλάδα'!$Y$2:$Y$2000=4)*'Ελλάδα'!$Z$2:$Z$2000))</f>
      </c>
      <c r="E87" s="13">
        <f>IF(4&gt;MAX('Ελλάδα'!$Y$2:$Y$2000),NA(),SUMPRODUCT(('Ελλάδα'!$Y$2:$Y$2000=4)*'Ελλάδα'!$I$2:$I$2000))</f>
      </c>
      <c r="F87" s="13">
        <f>IF(4&gt;MAX('Ελλάδα'!$Y$2:$Y$2000),NA(),SUMPRODUCT(('Ελλάδα'!$Y$2:$Y$2000=4)*'Ελλάδα'!$J$2:$J$2000))</f>
      </c>
      <c r="G87" s="13">
        <f>IF(4&gt;MAX('Ελλάδα'!$Y$2:$Y$2000),NA(),SUMPRODUCT(('Ελλάδα'!$Y$2:$Y$2000=4)*'Ελλάδα'!$K$2:$K$2000))</f>
      </c>
      <c r="H87" s="13">
        <f>IF(4&gt;MAX('Ελλάδα'!$Y$2:$Y$2000),NA(),SUMPRODUCT(('Ελλάδα'!$Y$2:$Y$2000=4)*'Ελλάδα'!$L$2:$L$2000))</f>
      </c>
    </row>
    <row r="88">
      <c r="B88" s="12" t="inlineStr">
        <is>
          <t xml:space="preserve">Μάι</t>
        </is>
      </c>
      <c r="C88" s="13">
        <f>IF(5&gt;MAX('Ελλάδα'!$Y$2:$Y$2000),NA(),SUMPRODUCT(('Ελλάδα'!$Y$2:$Y$2000=5)*1))</f>
      </c>
      <c r="D88" s="14">
        <f>IF(5&gt;MAX('Ελλάδα'!$Y$2:$Y$2000),NA(),SUMPRODUCT(('Ελλάδα'!$Y$2:$Y$2000=5)*'Ελλάδα'!$Z$2:$Z$2000))</f>
      </c>
      <c r="E88" s="13">
        <f>IF(5&gt;MAX('Ελλάδα'!$Y$2:$Y$2000),NA(),SUMPRODUCT(('Ελλάδα'!$Y$2:$Y$2000=5)*'Ελλάδα'!$I$2:$I$2000))</f>
      </c>
      <c r="F88" s="13">
        <f>IF(5&gt;MAX('Ελλάδα'!$Y$2:$Y$2000),NA(),SUMPRODUCT(('Ελλάδα'!$Y$2:$Y$2000=5)*'Ελλάδα'!$J$2:$J$2000))</f>
      </c>
      <c r="G88" s="13">
        <f>IF(5&gt;MAX('Ελλάδα'!$Y$2:$Y$2000),NA(),SUMPRODUCT(('Ελλάδα'!$Y$2:$Y$2000=5)*'Ελλάδα'!$K$2:$K$2000))</f>
      </c>
      <c r="H88" s="13">
        <f>IF(5&gt;MAX('Ελλάδα'!$Y$2:$Y$2000),NA(),SUMPRODUCT(('Ελλάδα'!$Y$2:$Y$2000=5)*'Ελλάδα'!$L$2:$L$2000))</f>
      </c>
    </row>
    <row r="89">
      <c r="B89" s="12" t="inlineStr">
        <is>
          <t xml:space="preserve">Ιούν</t>
        </is>
      </c>
      <c r="C89" s="13">
        <f>IF(6&gt;MAX('Ελλάδα'!$Y$2:$Y$2000),NA(),SUMPRODUCT(('Ελλάδα'!$Y$2:$Y$2000=6)*1))</f>
      </c>
      <c r="D89" s="14">
        <f>IF(6&gt;MAX('Ελλάδα'!$Y$2:$Y$2000),NA(),SUMPRODUCT(('Ελλάδα'!$Y$2:$Y$2000=6)*'Ελλάδα'!$Z$2:$Z$2000))</f>
      </c>
      <c r="E89" s="13">
        <f>IF(6&gt;MAX('Ελλάδα'!$Y$2:$Y$2000),NA(),SUMPRODUCT(('Ελλάδα'!$Y$2:$Y$2000=6)*'Ελλάδα'!$I$2:$I$2000))</f>
      </c>
      <c r="F89" s="13">
        <f>IF(6&gt;MAX('Ελλάδα'!$Y$2:$Y$2000),NA(),SUMPRODUCT(('Ελλάδα'!$Y$2:$Y$2000=6)*'Ελλάδα'!$J$2:$J$2000))</f>
      </c>
      <c r="G89" s="13">
        <f>IF(6&gt;MAX('Ελλάδα'!$Y$2:$Y$2000),NA(),SUMPRODUCT(('Ελλάδα'!$Y$2:$Y$2000=6)*'Ελλάδα'!$K$2:$K$2000))</f>
      </c>
      <c r="H89" s="13">
        <f>IF(6&gt;MAX('Ελλάδα'!$Y$2:$Y$2000),NA(),SUMPRODUCT(('Ελλάδα'!$Y$2:$Y$2000=6)*'Ελλάδα'!$L$2:$L$2000))</f>
      </c>
    </row>
    <row r="90">
      <c r="B90" s="12" t="inlineStr">
        <is>
          <t xml:space="preserve">Ιούλ</t>
        </is>
      </c>
      <c r="C90" s="13">
        <f>IF(7&gt;MAX('Ελλάδα'!$Y$2:$Y$2000),NA(),SUMPRODUCT(('Ελλάδα'!$Y$2:$Y$2000=7)*1))</f>
      </c>
      <c r="D90" s="14">
        <f>IF(7&gt;MAX('Ελλάδα'!$Y$2:$Y$2000),NA(),SUMPRODUCT(('Ελλάδα'!$Y$2:$Y$2000=7)*'Ελλάδα'!$Z$2:$Z$2000))</f>
      </c>
      <c r="E90" s="13">
        <f>IF(7&gt;MAX('Ελλάδα'!$Y$2:$Y$2000),NA(),SUMPRODUCT(('Ελλάδα'!$Y$2:$Y$2000=7)*'Ελλάδα'!$I$2:$I$2000))</f>
      </c>
      <c r="F90" s="13">
        <f>IF(7&gt;MAX('Ελλάδα'!$Y$2:$Y$2000),NA(),SUMPRODUCT(('Ελλάδα'!$Y$2:$Y$2000=7)*'Ελλάδα'!$J$2:$J$2000))</f>
      </c>
      <c r="G90" s="13">
        <f>IF(7&gt;MAX('Ελλάδα'!$Y$2:$Y$2000),NA(),SUMPRODUCT(('Ελλάδα'!$Y$2:$Y$2000=7)*'Ελλάδα'!$K$2:$K$2000))</f>
      </c>
      <c r="H90" s="13">
        <f>IF(7&gt;MAX('Ελλάδα'!$Y$2:$Y$2000),NA(),SUMPRODUCT(('Ελλάδα'!$Y$2:$Y$2000=7)*'Ελλάδα'!$L$2:$L$2000))</f>
      </c>
    </row>
    <row r="91">
      <c r="B91" s="12" t="inlineStr">
        <is>
          <t xml:space="preserve">Αύγ</t>
        </is>
      </c>
      <c r="C91" s="13">
        <f>IF(8&gt;MAX('Ελλάδα'!$Y$2:$Y$2000),NA(),SUMPRODUCT(('Ελλάδα'!$Y$2:$Y$2000=8)*1))</f>
      </c>
      <c r="D91" s="14">
        <f>IF(8&gt;MAX('Ελλάδα'!$Y$2:$Y$2000),NA(),SUMPRODUCT(('Ελλάδα'!$Y$2:$Y$2000=8)*'Ελλάδα'!$Z$2:$Z$2000))</f>
      </c>
      <c r="E91" s="13">
        <f>IF(8&gt;MAX('Ελλάδα'!$Y$2:$Y$2000),NA(),SUMPRODUCT(('Ελλάδα'!$Y$2:$Y$2000=8)*'Ελλάδα'!$I$2:$I$2000))</f>
      </c>
      <c r="F91" s="13">
        <f>IF(8&gt;MAX('Ελλάδα'!$Y$2:$Y$2000),NA(),SUMPRODUCT(('Ελλάδα'!$Y$2:$Y$2000=8)*'Ελλάδα'!$J$2:$J$2000))</f>
      </c>
      <c r="G91" s="13">
        <f>IF(8&gt;MAX('Ελλάδα'!$Y$2:$Y$2000),NA(),SUMPRODUCT(('Ελλάδα'!$Y$2:$Y$2000=8)*'Ελλάδα'!$K$2:$K$2000))</f>
      </c>
      <c r="H91" s="13">
        <f>IF(8&gt;MAX('Ελλάδα'!$Y$2:$Y$2000),NA(),SUMPRODUCT(('Ελλάδα'!$Y$2:$Y$2000=8)*'Ελλάδα'!$L$2:$L$2000))</f>
      </c>
    </row>
    <row r="92">
      <c r="B92" s="12" t="inlineStr">
        <is>
          <t xml:space="preserve">Σεπ</t>
        </is>
      </c>
      <c r="C92" s="13">
        <f>IF(9&gt;MAX('Ελλάδα'!$Y$2:$Y$2000),NA(),SUMPRODUCT(('Ελλάδα'!$Y$2:$Y$2000=9)*1))</f>
      </c>
      <c r="D92" s="14">
        <f>IF(9&gt;MAX('Ελλάδα'!$Y$2:$Y$2000),NA(),SUMPRODUCT(('Ελλάδα'!$Y$2:$Y$2000=9)*'Ελλάδα'!$Z$2:$Z$2000))</f>
      </c>
      <c r="E92" s="13">
        <f>IF(9&gt;MAX('Ελλάδα'!$Y$2:$Y$2000),NA(),SUMPRODUCT(('Ελλάδα'!$Y$2:$Y$2000=9)*'Ελλάδα'!$I$2:$I$2000))</f>
      </c>
      <c r="F92" s="13">
        <f>IF(9&gt;MAX('Ελλάδα'!$Y$2:$Y$2000),NA(),SUMPRODUCT(('Ελλάδα'!$Y$2:$Y$2000=9)*'Ελλάδα'!$J$2:$J$2000))</f>
      </c>
      <c r="G92" s="13">
        <f>IF(9&gt;MAX('Ελλάδα'!$Y$2:$Y$2000),NA(),SUMPRODUCT(('Ελλάδα'!$Y$2:$Y$2000=9)*'Ελλάδα'!$K$2:$K$2000))</f>
      </c>
      <c r="H92" s="13">
        <f>IF(9&gt;MAX('Ελλάδα'!$Y$2:$Y$2000),NA(),SUMPRODUCT(('Ελλάδα'!$Y$2:$Y$2000=9)*'Ελλάδα'!$L$2:$L$2000))</f>
      </c>
    </row>
    <row r="93">
      <c r="B93" s="12" t="inlineStr">
        <is>
          <t xml:space="preserve">Οκτ</t>
        </is>
      </c>
      <c r="C93" s="13">
        <f>IF(10&gt;MAX('Ελλάδα'!$Y$2:$Y$2000),NA(),SUMPRODUCT(('Ελλάδα'!$Y$2:$Y$2000=10)*1))</f>
      </c>
      <c r="D93" s="14">
        <f>IF(10&gt;MAX('Ελλάδα'!$Y$2:$Y$2000),NA(),SUMPRODUCT(('Ελλάδα'!$Y$2:$Y$2000=10)*'Ελλάδα'!$Z$2:$Z$2000))</f>
      </c>
      <c r="E93" s="13">
        <f>IF(10&gt;MAX('Ελλάδα'!$Y$2:$Y$2000),NA(),SUMPRODUCT(('Ελλάδα'!$Y$2:$Y$2000=10)*'Ελλάδα'!$I$2:$I$2000))</f>
      </c>
      <c r="F93" s="13">
        <f>IF(10&gt;MAX('Ελλάδα'!$Y$2:$Y$2000),NA(),SUMPRODUCT(('Ελλάδα'!$Y$2:$Y$2000=10)*'Ελλάδα'!$J$2:$J$2000))</f>
      </c>
      <c r="G93" s="13">
        <f>IF(10&gt;MAX('Ελλάδα'!$Y$2:$Y$2000),NA(),SUMPRODUCT(('Ελλάδα'!$Y$2:$Y$2000=10)*'Ελλάδα'!$K$2:$K$2000))</f>
      </c>
      <c r="H93" s="13">
        <f>IF(10&gt;MAX('Ελλάδα'!$Y$2:$Y$2000),NA(),SUMPRODUCT(('Ελλάδα'!$Y$2:$Y$2000=10)*'Ελλάδα'!$L$2:$L$2000))</f>
      </c>
    </row>
    <row r="94">
      <c r="B94" s="12" t="inlineStr">
        <is>
          <t xml:space="preserve">Νοέ</t>
        </is>
      </c>
      <c r="C94" s="13">
        <f>IF(11&gt;MAX('Ελλάδα'!$Y$2:$Y$2000),NA(),SUMPRODUCT(('Ελλάδα'!$Y$2:$Y$2000=11)*1))</f>
      </c>
      <c r="D94" s="14">
        <f>IF(11&gt;MAX('Ελλάδα'!$Y$2:$Y$2000),NA(),SUMPRODUCT(('Ελλάδα'!$Y$2:$Y$2000=11)*'Ελλάδα'!$Z$2:$Z$2000))</f>
      </c>
      <c r="E94" s="13">
        <f>IF(11&gt;MAX('Ελλάδα'!$Y$2:$Y$2000),NA(),SUMPRODUCT(('Ελλάδα'!$Y$2:$Y$2000=11)*'Ελλάδα'!$I$2:$I$2000))</f>
      </c>
      <c r="F94" s="13">
        <f>IF(11&gt;MAX('Ελλάδα'!$Y$2:$Y$2000),NA(),SUMPRODUCT(('Ελλάδα'!$Y$2:$Y$2000=11)*'Ελλάδα'!$J$2:$J$2000))</f>
      </c>
      <c r="G94" s="13">
        <f>IF(11&gt;MAX('Ελλάδα'!$Y$2:$Y$2000),NA(),SUMPRODUCT(('Ελλάδα'!$Y$2:$Y$2000=11)*'Ελλάδα'!$K$2:$K$2000))</f>
      </c>
      <c r="H94" s="13">
        <f>IF(11&gt;MAX('Ελλάδα'!$Y$2:$Y$2000),NA(),SUMPRODUCT(('Ελλάδα'!$Y$2:$Y$2000=11)*'Ελλάδα'!$L$2:$L$2000))</f>
      </c>
    </row>
    <row r="95">
      <c r="B95" s="12" t="inlineStr">
        <is>
          <t xml:space="preserve">Δεκ</t>
        </is>
      </c>
      <c r="C95" s="13">
        <f>IF(12&gt;MAX('Ελλάδα'!$Y$2:$Y$2000),NA(),SUMPRODUCT(('Ελλάδα'!$Y$2:$Y$2000=12)*1))</f>
      </c>
      <c r="D95" s="14">
        <f>IF(12&gt;MAX('Ελλάδα'!$Y$2:$Y$2000),NA(),SUMPRODUCT(('Ελλάδα'!$Y$2:$Y$2000=12)*'Ελλάδα'!$Z$2:$Z$2000))</f>
      </c>
      <c r="E95" s="13">
        <f>IF(12&gt;MAX('Ελλάδα'!$Y$2:$Y$2000),NA(),SUMPRODUCT(('Ελλάδα'!$Y$2:$Y$2000=12)*'Ελλάδα'!$I$2:$I$2000))</f>
      </c>
      <c r="F95" s="13">
        <f>IF(12&gt;MAX('Ελλάδα'!$Y$2:$Y$2000),NA(),SUMPRODUCT(('Ελλάδα'!$Y$2:$Y$2000=12)*'Ελλάδα'!$J$2:$J$2000))</f>
      </c>
      <c r="G95" s="13">
        <f>IF(12&gt;MAX('Ελλάδα'!$Y$2:$Y$2000),NA(),SUMPRODUCT(('Ελλάδα'!$Y$2:$Y$2000=12)*'Ελλάδα'!$K$2:$K$2000))</f>
      </c>
      <c r="H95" s="13">
        <f>IF(12&gt;MAX('Ελλάδα'!$Y$2:$Y$2000),NA(),SUMPRODUCT(('Ελλάδα'!$Y$2:$Y$2000=12)*'Ελλάδα'!$L$2:$L$2000))</f>
      </c>
    </row>
    <row r="98">
      <c r="B98" s="11" t="inlineStr">
        <is>
          <t xml:space="preserve">Ημερομηνία</t>
        </is>
      </c>
      <c r="C98" s="11" t="inlineStr">
        <is>
          <t xml:space="preserve">Επεισόδια</t>
        </is>
      </c>
      <c r="D98" s="11" t="inlineStr">
        <is>
          <t xml:space="preserve">Καμμ. (ha)</t>
        </is>
      </c>
      <c r="E98" s="11" t="inlineStr">
        <is>
          <t xml:space="preserve">Πυροσβέστες</t>
        </is>
      </c>
      <c r="F98" s="11" t="inlineStr">
        <is>
          <t xml:space="preserve">Κίνδυνος (μέγ.)</t>
        </is>
      </c>
      <c r="G98" s="11" t="inlineStr">
        <is>
          <t xml:space="preserve">1 Χαμηλή</t>
        </is>
      </c>
      <c r="H98" s="11" t="inlineStr">
        <is>
          <t xml:space="preserve">2 Μέση</t>
        </is>
      </c>
      <c r="I98" s="11" t="inlineStr">
        <is>
          <t xml:space="preserve">3 Υψηλή</t>
        </is>
      </c>
      <c r="J98" s="11" t="inlineStr">
        <is>
          <t xml:space="preserve">4 Πολύ υψηλή</t>
        </is>
      </c>
      <c r="K98" s="11" t="inlineStr">
        <is>
          <t xml:space="preserve">5 Συναγερμός</t>
        </is>
      </c>
      <c r="L98" s="11" t="inlineStr">
        <is>
          <t xml:space="preserve">Χωρίς επίπεδο</t>
        </is>
      </c>
    </row>
    <row r="99">
      <c r="B99" s="2">
        <f>TODAY()-29</f>
      </c>
      <c r="C99" s="13">
        <f>COUNTIFS('Ελλάδα'!$A$2:$A$2000,$B$99)</f>
      </c>
      <c r="D99" s="14">
        <f>SUMIFS('Ελλάδα'!$Z$2:$Z$2000,'Ελλάδα'!$A$2:$A$2000,$B$99)</f>
      </c>
      <c r="E99" s="13">
        <f>SUMIFS('Ελλάδα'!$I$2:$I$2000,'Ελλάδα'!$A$2:$A$2000,$B$99)</f>
      </c>
      <c r="F99" s="13">
        <f>IF(COUNTIFS('Ελλάδα'!$A$2:$A$2000,$B$99)=0,NA(),_xlfn.MAXIFS('Ελλάδα'!$Q$2:$Q$2000,'Ελλάδα'!$A$2:$A$2000,$B$99))</f>
      </c>
      <c r="G99" s="13">
        <f>COUNTIFS('Ελλάδα'!$A$2:$A$2000,$B$99,'Ελλάδα'!$Q$2:$Q$2000,1)</f>
      </c>
      <c r="H99" s="13">
        <f>COUNTIFS('Ελλάδα'!$A$2:$A$2000,$B$99,'Ελλάδα'!$Q$2:$Q$2000,2)</f>
      </c>
      <c r="I99" s="13">
        <f>COUNTIFS('Ελλάδα'!$A$2:$A$2000,$B$99,'Ελλάδα'!$Q$2:$Q$2000,3)</f>
      </c>
      <c r="J99" s="13">
        <f>COUNTIFS('Ελλάδα'!$A$2:$A$2000,$B$99,'Ελλάδα'!$Q$2:$Q$2000,4)</f>
      </c>
      <c r="K99" s="13">
        <f>COUNTIFS('Ελλάδα'!$A$2:$A$2000,$B$99,'Ελλάδα'!$Q$2:$Q$2000,5)</f>
      </c>
      <c r="L99" s="13">
        <f>$C$99-SUM($G$99:$K$99)</f>
      </c>
    </row>
    <row r="100">
      <c r="B100" s="2">
        <f>TODAY()-28</f>
      </c>
      <c r="C100" s="13">
        <f>COUNTIFS('Ελλάδα'!$A$2:$A$2000,$B$100)</f>
      </c>
      <c r="D100" s="14">
        <f>SUMIFS('Ελλάδα'!$Z$2:$Z$2000,'Ελλάδα'!$A$2:$A$2000,$B$100)</f>
      </c>
      <c r="E100" s="13">
        <f>SUMIFS('Ελλάδα'!$I$2:$I$2000,'Ελλάδα'!$A$2:$A$2000,$B$100)</f>
      </c>
      <c r="F100" s="13">
        <f>IF(COUNTIFS('Ελλάδα'!$A$2:$A$2000,$B$100)=0,NA(),_xlfn.MAXIFS('Ελλάδα'!$Q$2:$Q$2000,'Ελλάδα'!$A$2:$A$2000,$B$100))</f>
      </c>
      <c r="G100" s="13">
        <f>COUNTIFS('Ελλάδα'!$A$2:$A$2000,$B$100,'Ελλάδα'!$Q$2:$Q$2000,1)</f>
      </c>
      <c r="H100" s="13">
        <f>COUNTIFS('Ελλάδα'!$A$2:$A$2000,$B$100,'Ελλάδα'!$Q$2:$Q$2000,2)</f>
      </c>
      <c r="I100" s="13">
        <f>COUNTIFS('Ελλάδα'!$A$2:$A$2000,$B$100,'Ελλάδα'!$Q$2:$Q$2000,3)</f>
      </c>
      <c r="J100" s="13">
        <f>COUNTIFS('Ελλάδα'!$A$2:$A$2000,$B$100,'Ελλάδα'!$Q$2:$Q$2000,4)</f>
      </c>
      <c r="K100" s="13">
        <f>COUNTIFS('Ελλάδα'!$A$2:$A$2000,$B$100,'Ελλάδα'!$Q$2:$Q$2000,5)</f>
      </c>
      <c r="L100" s="13">
        <f>$C$100-SUM($G$100:$K$100)</f>
      </c>
    </row>
    <row r="101">
      <c r="B101" s="2">
        <f>TODAY()-27</f>
      </c>
      <c r="C101" s="13">
        <f>COUNTIFS('Ελλάδα'!$A$2:$A$2000,$B$101)</f>
      </c>
      <c r="D101" s="14">
        <f>SUMIFS('Ελλάδα'!$Z$2:$Z$2000,'Ελλάδα'!$A$2:$A$2000,$B$101)</f>
      </c>
      <c r="E101" s="13">
        <f>SUMIFS('Ελλάδα'!$I$2:$I$2000,'Ελλάδα'!$A$2:$A$2000,$B$101)</f>
      </c>
      <c r="F101" s="13">
        <f>IF(COUNTIFS('Ελλάδα'!$A$2:$A$2000,$B$101)=0,NA(),_xlfn.MAXIFS('Ελλάδα'!$Q$2:$Q$2000,'Ελλάδα'!$A$2:$A$2000,$B$101))</f>
      </c>
      <c r="G101" s="13">
        <f>COUNTIFS('Ελλάδα'!$A$2:$A$2000,$B$101,'Ελλάδα'!$Q$2:$Q$2000,1)</f>
      </c>
      <c r="H101" s="13">
        <f>COUNTIFS('Ελλάδα'!$A$2:$A$2000,$B$101,'Ελλάδα'!$Q$2:$Q$2000,2)</f>
      </c>
      <c r="I101" s="13">
        <f>COUNTIFS('Ελλάδα'!$A$2:$A$2000,$B$101,'Ελλάδα'!$Q$2:$Q$2000,3)</f>
      </c>
      <c r="J101" s="13">
        <f>COUNTIFS('Ελλάδα'!$A$2:$A$2000,$B$101,'Ελλάδα'!$Q$2:$Q$2000,4)</f>
      </c>
      <c r="K101" s="13">
        <f>COUNTIFS('Ελλάδα'!$A$2:$A$2000,$B$101,'Ελλάδα'!$Q$2:$Q$2000,5)</f>
      </c>
      <c r="L101" s="13">
        <f>$C$101-SUM($G$101:$K$101)</f>
      </c>
    </row>
    <row r="102">
      <c r="B102" s="2">
        <f>TODAY()-26</f>
      </c>
      <c r="C102" s="13">
        <f>COUNTIFS('Ελλάδα'!$A$2:$A$2000,$B$102)</f>
      </c>
      <c r="D102" s="14">
        <f>SUMIFS('Ελλάδα'!$Z$2:$Z$2000,'Ελλάδα'!$A$2:$A$2000,$B$102)</f>
      </c>
      <c r="E102" s="13">
        <f>SUMIFS('Ελλάδα'!$I$2:$I$2000,'Ελλάδα'!$A$2:$A$2000,$B$102)</f>
      </c>
      <c r="F102" s="13">
        <f>IF(COUNTIFS('Ελλάδα'!$A$2:$A$2000,$B$102)=0,NA(),_xlfn.MAXIFS('Ελλάδα'!$Q$2:$Q$2000,'Ελλάδα'!$A$2:$A$2000,$B$102))</f>
      </c>
      <c r="G102" s="13">
        <f>COUNTIFS('Ελλάδα'!$A$2:$A$2000,$B$102,'Ελλάδα'!$Q$2:$Q$2000,1)</f>
      </c>
      <c r="H102" s="13">
        <f>COUNTIFS('Ελλάδα'!$A$2:$A$2000,$B$102,'Ελλάδα'!$Q$2:$Q$2000,2)</f>
      </c>
      <c r="I102" s="13">
        <f>COUNTIFS('Ελλάδα'!$A$2:$A$2000,$B$102,'Ελλάδα'!$Q$2:$Q$2000,3)</f>
      </c>
      <c r="J102" s="13">
        <f>COUNTIFS('Ελλάδα'!$A$2:$A$2000,$B$102,'Ελλάδα'!$Q$2:$Q$2000,4)</f>
      </c>
      <c r="K102" s="13">
        <f>COUNTIFS('Ελλάδα'!$A$2:$A$2000,$B$102,'Ελλάδα'!$Q$2:$Q$2000,5)</f>
      </c>
      <c r="L102" s="13">
        <f>$C$102-SUM($G$102:$K$102)</f>
      </c>
    </row>
    <row r="103">
      <c r="B103" s="2">
        <f>TODAY()-25</f>
      </c>
      <c r="C103" s="13">
        <f>COUNTIFS('Ελλάδα'!$A$2:$A$2000,$B$103)</f>
      </c>
      <c r="D103" s="14">
        <f>SUMIFS('Ελλάδα'!$Z$2:$Z$2000,'Ελλάδα'!$A$2:$A$2000,$B$103)</f>
      </c>
      <c r="E103" s="13">
        <f>SUMIFS('Ελλάδα'!$I$2:$I$2000,'Ελλάδα'!$A$2:$A$2000,$B$103)</f>
      </c>
      <c r="F103" s="13">
        <f>IF(COUNTIFS('Ελλάδα'!$A$2:$A$2000,$B$103)=0,NA(),_xlfn.MAXIFS('Ελλάδα'!$Q$2:$Q$2000,'Ελλάδα'!$A$2:$A$2000,$B$103))</f>
      </c>
      <c r="G103" s="13">
        <f>COUNTIFS('Ελλάδα'!$A$2:$A$2000,$B$103,'Ελλάδα'!$Q$2:$Q$2000,1)</f>
      </c>
      <c r="H103" s="13">
        <f>COUNTIFS('Ελλάδα'!$A$2:$A$2000,$B$103,'Ελλάδα'!$Q$2:$Q$2000,2)</f>
      </c>
      <c r="I103" s="13">
        <f>COUNTIFS('Ελλάδα'!$A$2:$A$2000,$B$103,'Ελλάδα'!$Q$2:$Q$2000,3)</f>
      </c>
      <c r="J103" s="13">
        <f>COUNTIFS('Ελλάδα'!$A$2:$A$2000,$B$103,'Ελλάδα'!$Q$2:$Q$2000,4)</f>
      </c>
      <c r="K103" s="13">
        <f>COUNTIFS('Ελλάδα'!$A$2:$A$2000,$B$103,'Ελλάδα'!$Q$2:$Q$2000,5)</f>
      </c>
      <c r="L103" s="13">
        <f>$C$103-SUM($G$103:$K$103)</f>
      </c>
    </row>
    <row r="104">
      <c r="B104" s="2">
        <f>TODAY()-24</f>
      </c>
      <c r="C104" s="13">
        <f>COUNTIFS('Ελλάδα'!$A$2:$A$2000,$B$104)</f>
      </c>
      <c r="D104" s="14">
        <f>SUMIFS('Ελλάδα'!$Z$2:$Z$2000,'Ελλάδα'!$A$2:$A$2000,$B$104)</f>
      </c>
      <c r="E104" s="13">
        <f>SUMIFS('Ελλάδα'!$I$2:$I$2000,'Ελλάδα'!$A$2:$A$2000,$B$104)</f>
      </c>
      <c r="F104" s="13">
        <f>IF(COUNTIFS('Ελλάδα'!$A$2:$A$2000,$B$104)=0,NA(),_xlfn.MAXIFS('Ελλάδα'!$Q$2:$Q$2000,'Ελλάδα'!$A$2:$A$2000,$B$104))</f>
      </c>
      <c r="G104" s="13">
        <f>COUNTIFS('Ελλάδα'!$A$2:$A$2000,$B$104,'Ελλάδα'!$Q$2:$Q$2000,1)</f>
      </c>
      <c r="H104" s="13">
        <f>COUNTIFS('Ελλάδα'!$A$2:$A$2000,$B$104,'Ελλάδα'!$Q$2:$Q$2000,2)</f>
      </c>
      <c r="I104" s="13">
        <f>COUNTIFS('Ελλάδα'!$A$2:$A$2000,$B$104,'Ελλάδα'!$Q$2:$Q$2000,3)</f>
      </c>
      <c r="J104" s="13">
        <f>COUNTIFS('Ελλάδα'!$A$2:$A$2000,$B$104,'Ελλάδα'!$Q$2:$Q$2000,4)</f>
      </c>
      <c r="K104" s="13">
        <f>COUNTIFS('Ελλάδα'!$A$2:$A$2000,$B$104,'Ελλάδα'!$Q$2:$Q$2000,5)</f>
      </c>
      <c r="L104" s="13">
        <f>$C$104-SUM($G$104:$K$104)</f>
      </c>
    </row>
    <row r="105">
      <c r="B105" s="2">
        <f>TODAY()-23</f>
      </c>
      <c r="C105" s="13">
        <f>COUNTIFS('Ελλάδα'!$A$2:$A$2000,$B$105)</f>
      </c>
      <c r="D105" s="14">
        <f>SUMIFS('Ελλάδα'!$Z$2:$Z$2000,'Ελλάδα'!$A$2:$A$2000,$B$105)</f>
      </c>
      <c r="E105" s="13">
        <f>SUMIFS('Ελλάδα'!$I$2:$I$2000,'Ελλάδα'!$A$2:$A$2000,$B$105)</f>
      </c>
      <c r="F105" s="13">
        <f>IF(COUNTIFS('Ελλάδα'!$A$2:$A$2000,$B$105)=0,NA(),_xlfn.MAXIFS('Ελλάδα'!$Q$2:$Q$2000,'Ελλάδα'!$A$2:$A$2000,$B$105))</f>
      </c>
      <c r="G105" s="13">
        <f>COUNTIFS('Ελλάδα'!$A$2:$A$2000,$B$105,'Ελλάδα'!$Q$2:$Q$2000,1)</f>
      </c>
      <c r="H105" s="13">
        <f>COUNTIFS('Ελλάδα'!$A$2:$A$2000,$B$105,'Ελλάδα'!$Q$2:$Q$2000,2)</f>
      </c>
      <c r="I105" s="13">
        <f>COUNTIFS('Ελλάδα'!$A$2:$A$2000,$B$105,'Ελλάδα'!$Q$2:$Q$2000,3)</f>
      </c>
      <c r="J105" s="13">
        <f>COUNTIFS('Ελλάδα'!$A$2:$A$2000,$B$105,'Ελλάδα'!$Q$2:$Q$2000,4)</f>
      </c>
      <c r="K105" s="13">
        <f>COUNTIFS('Ελλάδα'!$A$2:$A$2000,$B$105,'Ελλάδα'!$Q$2:$Q$2000,5)</f>
      </c>
      <c r="L105" s="13">
        <f>$C$105-SUM($G$105:$K$105)</f>
      </c>
    </row>
    <row r="106">
      <c r="B106" s="2">
        <f>TODAY()-22</f>
      </c>
      <c r="C106" s="13">
        <f>COUNTIFS('Ελλάδα'!$A$2:$A$2000,$B$106)</f>
      </c>
      <c r="D106" s="14">
        <f>SUMIFS('Ελλάδα'!$Z$2:$Z$2000,'Ελλάδα'!$A$2:$A$2000,$B$106)</f>
      </c>
      <c r="E106" s="13">
        <f>SUMIFS('Ελλάδα'!$I$2:$I$2000,'Ελλάδα'!$A$2:$A$2000,$B$106)</f>
      </c>
      <c r="F106" s="13">
        <f>IF(COUNTIFS('Ελλάδα'!$A$2:$A$2000,$B$106)=0,NA(),_xlfn.MAXIFS('Ελλάδα'!$Q$2:$Q$2000,'Ελλάδα'!$A$2:$A$2000,$B$106))</f>
      </c>
      <c r="G106" s="13">
        <f>COUNTIFS('Ελλάδα'!$A$2:$A$2000,$B$106,'Ελλάδα'!$Q$2:$Q$2000,1)</f>
      </c>
      <c r="H106" s="13">
        <f>COUNTIFS('Ελλάδα'!$A$2:$A$2000,$B$106,'Ελλάδα'!$Q$2:$Q$2000,2)</f>
      </c>
      <c r="I106" s="13">
        <f>COUNTIFS('Ελλάδα'!$A$2:$A$2000,$B$106,'Ελλάδα'!$Q$2:$Q$2000,3)</f>
      </c>
      <c r="J106" s="13">
        <f>COUNTIFS('Ελλάδα'!$A$2:$A$2000,$B$106,'Ελλάδα'!$Q$2:$Q$2000,4)</f>
      </c>
      <c r="K106" s="13">
        <f>COUNTIFS('Ελλάδα'!$A$2:$A$2000,$B$106,'Ελλάδα'!$Q$2:$Q$2000,5)</f>
      </c>
      <c r="L106" s="13">
        <f>$C$106-SUM($G$106:$K$106)</f>
      </c>
    </row>
    <row r="107">
      <c r="B107" s="2">
        <f>TODAY()-21</f>
      </c>
      <c r="C107" s="13">
        <f>COUNTIFS('Ελλάδα'!$A$2:$A$2000,$B$107)</f>
      </c>
      <c r="D107" s="14">
        <f>SUMIFS('Ελλάδα'!$Z$2:$Z$2000,'Ελλάδα'!$A$2:$A$2000,$B$107)</f>
      </c>
      <c r="E107" s="13">
        <f>SUMIFS('Ελλάδα'!$I$2:$I$2000,'Ελλάδα'!$A$2:$A$2000,$B$107)</f>
      </c>
      <c r="F107" s="13">
        <f>IF(COUNTIFS('Ελλάδα'!$A$2:$A$2000,$B$107)=0,NA(),_xlfn.MAXIFS('Ελλάδα'!$Q$2:$Q$2000,'Ελλάδα'!$A$2:$A$2000,$B$107))</f>
      </c>
      <c r="G107" s="13">
        <f>COUNTIFS('Ελλάδα'!$A$2:$A$2000,$B$107,'Ελλάδα'!$Q$2:$Q$2000,1)</f>
      </c>
      <c r="H107" s="13">
        <f>COUNTIFS('Ελλάδα'!$A$2:$A$2000,$B$107,'Ελλάδα'!$Q$2:$Q$2000,2)</f>
      </c>
      <c r="I107" s="13">
        <f>COUNTIFS('Ελλάδα'!$A$2:$A$2000,$B$107,'Ελλάδα'!$Q$2:$Q$2000,3)</f>
      </c>
      <c r="J107" s="13">
        <f>COUNTIFS('Ελλάδα'!$A$2:$A$2000,$B$107,'Ελλάδα'!$Q$2:$Q$2000,4)</f>
      </c>
      <c r="K107" s="13">
        <f>COUNTIFS('Ελλάδα'!$A$2:$A$2000,$B$107,'Ελλάδα'!$Q$2:$Q$2000,5)</f>
      </c>
      <c r="L107" s="13">
        <f>$C$107-SUM($G$107:$K$107)</f>
      </c>
    </row>
    <row r="108">
      <c r="B108" s="2">
        <f>TODAY()-20</f>
      </c>
      <c r="C108" s="13">
        <f>COUNTIFS('Ελλάδα'!$A$2:$A$2000,$B$108)</f>
      </c>
      <c r="D108" s="14">
        <f>SUMIFS('Ελλάδα'!$Z$2:$Z$2000,'Ελλάδα'!$A$2:$A$2000,$B$108)</f>
      </c>
      <c r="E108" s="13">
        <f>SUMIFS('Ελλάδα'!$I$2:$I$2000,'Ελλάδα'!$A$2:$A$2000,$B$108)</f>
      </c>
      <c r="F108" s="13">
        <f>IF(COUNTIFS('Ελλάδα'!$A$2:$A$2000,$B$108)=0,NA(),_xlfn.MAXIFS('Ελλάδα'!$Q$2:$Q$2000,'Ελλάδα'!$A$2:$A$2000,$B$108))</f>
      </c>
      <c r="G108" s="13">
        <f>COUNTIFS('Ελλάδα'!$A$2:$A$2000,$B$108,'Ελλάδα'!$Q$2:$Q$2000,1)</f>
      </c>
      <c r="H108" s="13">
        <f>COUNTIFS('Ελλάδα'!$A$2:$A$2000,$B$108,'Ελλάδα'!$Q$2:$Q$2000,2)</f>
      </c>
      <c r="I108" s="13">
        <f>COUNTIFS('Ελλάδα'!$A$2:$A$2000,$B$108,'Ελλάδα'!$Q$2:$Q$2000,3)</f>
      </c>
      <c r="J108" s="13">
        <f>COUNTIFS('Ελλάδα'!$A$2:$A$2000,$B$108,'Ελλάδα'!$Q$2:$Q$2000,4)</f>
      </c>
      <c r="K108" s="13">
        <f>COUNTIFS('Ελλάδα'!$A$2:$A$2000,$B$108,'Ελλάδα'!$Q$2:$Q$2000,5)</f>
      </c>
      <c r="L108" s="13">
        <f>$C$108-SUM($G$108:$K$108)</f>
      </c>
    </row>
    <row r="109">
      <c r="B109" s="2">
        <f>TODAY()-19</f>
      </c>
      <c r="C109" s="13">
        <f>COUNTIFS('Ελλάδα'!$A$2:$A$2000,$B$109)</f>
      </c>
      <c r="D109" s="14">
        <f>SUMIFS('Ελλάδα'!$Z$2:$Z$2000,'Ελλάδα'!$A$2:$A$2000,$B$109)</f>
      </c>
      <c r="E109" s="13">
        <f>SUMIFS('Ελλάδα'!$I$2:$I$2000,'Ελλάδα'!$A$2:$A$2000,$B$109)</f>
      </c>
      <c r="F109" s="13">
        <f>IF(COUNTIFS('Ελλάδα'!$A$2:$A$2000,$B$109)=0,NA(),_xlfn.MAXIFS('Ελλάδα'!$Q$2:$Q$2000,'Ελλάδα'!$A$2:$A$2000,$B$109))</f>
      </c>
      <c r="G109" s="13">
        <f>COUNTIFS('Ελλάδα'!$A$2:$A$2000,$B$109,'Ελλάδα'!$Q$2:$Q$2000,1)</f>
      </c>
      <c r="H109" s="13">
        <f>COUNTIFS('Ελλάδα'!$A$2:$A$2000,$B$109,'Ελλάδα'!$Q$2:$Q$2000,2)</f>
      </c>
      <c r="I109" s="13">
        <f>COUNTIFS('Ελλάδα'!$A$2:$A$2000,$B$109,'Ελλάδα'!$Q$2:$Q$2000,3)</f>
      </c>
      <c r="J109" s="13">
        <f>COUNTIFS('Ελλάδα'!$A$2:$A$2000,$B$109,'Ελλάδα'!$Q$2:$Q$2000,4)</f>
      </c>
      <c r="K109" s="13">
        <f>COUNTIFS('Ελλάδα'!$A$2:$A$2000,$B$109,'Ελλάδα'!$Q$2:$Q$2000,5)</f>
      </c>
      <c r="L109" s="13">
        <f>$C$109-SUM($G$109:$K$109)</f>
      </c>
    </row>
    <row r="110">
      <c r="B110" s="2">
        <f>TODAY()-18</f>
      </c>
      <c r="C110" s="13">
        <f>COUNTIFS('Ελλάδα'!$A$2:$A$2000,$B$110)</f>
      </c>
      <c r="D110" s="14">
        <f>SUMIFS('Ελλάδα'!$Z$2:$Z$2000,'Ελλάδα'!$A$2:$A$2000,$B$110)</f>
      </c>
      <c r="E110" s="13">
        <f>SUMIFS('Ελλάδα'!$I$2:$I$2000,'Ελλάδα'!$A$2:$A$2000,$B$110)</f>
      </c>
      <c r="F110" s="13">
        <f>IF(COUNTIFS('Ελλάδα'!$A$2:$A$2000,$B$110)=0,NA(),_xlfn.MAXIFS('Ελλάδα'!$Q$2:$Q$2000,'Ελλάδα'!$A$2:$A$2000,$B$110))</f>
      </c>
      <c r="G110" s="13">
        <f>COUNTIFS('Ελλάδα'!$A$2:$A$2000,$B$110,'Ελλάδα'!$Q$2:$Q$2000,1)</f>
      </c>
      <c r="H110" s="13">
        <f>COUNTIFS('Ελλάδα'!$A$2:$A$2000,$B$110,'Ελλάδα'!$Q$2:$Q$2000,2)</f>
      </c>
      <c r="I110" s="13">
        <f>COUNTIFS('Ελλάδα'!$A$2:$A$2000,$B$110,'Ελλάδα'!$Q$2:$Q$2000,3)</f>
      </c>
      <c r="J110" s="13">
        <f>COUNTIFS('Ελλάδα'!$A$2:$A$2000,$B$110,'Ελλάδα'!$Q$2:$Q$2000,4)</f>
      </c>
      <c r="K110" s="13">
        <f>COUNTIFS('Ελλάδα'!$A$2:$A$2000,$B$110,'Ελλάδα'!$Q$2:$Q$2000,5)</f>
      </c>
      <c r="L110" s="13">
        <f>$C$110-SUM($G$110:$K$110)</f>
      </c>
    </row>
    <row r="111">
      <c r="B111" s="2">
        <f>TODAY()-17</f>
      </c>
      <c r="C111" s="13">
        <f>COUNTIFS('Ελλάδα'!$A$2:$A$2000,$B$111)</f>
      </c>
      <c r="D111" s="14">
        <f>SUMIFS('Ελλάδα'!$Z$2:$Z$2000,'Ελλάδα'!$A$2:$A$2000,$B$111)</f>
      </c>
      <c r="E111" s="13">
        <f>SUMIFS('Ελλάδα'!$I$2:$I$2000,'Ελλάδα'!$A$2:$A$2000,$B$111)</f>
      </c>
      <c r="F111" s="13">
        <f>IF(COUNTIFS('Ελλάδα'!$A$2:$A$2000,$B$111)=0,NA(),_xlfn.MAXIFS('Ελλάδα'!$Q$2:$Q$2000,'Ελλάδα'!$A$2:$A$2000,$B$111))</f>
      </c>
      <c r="G111" s="13">
        <f>COUNTIFS('Ελλάδα'!$A$2:$A$2000,$B$111,'Ελλάδα'!$Q$2:$Q$2000,1)</f>
      </c>
      <c r="H111" s="13">
        <f>COUNTIFS('Ελλάδα'!$A$2:$A$2000,$B$111,'Ελλάδα'!$Q$2:$Q$2000,2)</f>
      </c>
      <c r="I111" s="13">
        <f>COUNTIFS('Ελλάδα'!$A$2:$A$2000,$B$111,'Ελλάδα'!$Q$2:$Q$2000,3)</f>
      </c>
      <c r="J111" s="13">
        <f>COUNTIFS('Ελλάδα'!$A$2:$A$2000,$B$111,'Ελλάδα'!$Q$2:$Q$2000,4)</f>
      </c>
      <c r="K111" s="13">
        <f>COUNTIFS('Ελλάδα'!$A$2:$A$2000,$B$111,'Ελλάδα'!$Q$2:$Q$2000,5)</f>
      </c>
      <c r="L111" s="13">
        <f>$C$111-SUM($G$111:$K$111)</f>
      </c>
    </row>
    <row r="112">
      <c r="B112" s="2">
        <f>TODAY()-16</f>
      </c>
      <c r="C112" s="13">
        <f>COUNTIFS('Ελλάδα'!$A$2:$A$2000,$B$112)</f>
      </c>
      <c r="D112" s="14">
        <f>SUMIFS('Ελλάδα'!$Z$2:$Z$2000,'Ελλάδα'!$A$2:$A$2000,$B$112)</f>
      </c>
      <c r="E112" s="13">
        <f>SUMIFS('Ελλάδα'!$I$2:$I$2000,'Ελλάδα'!$A$2:$A$2000,$B$112)</f>
      </c>
      <c r="F112" s="13">
        <f>IF(COUNTIFS('Ελλάδα'!$A$2:$A$2000,$B$112)=0,NA(),_xlfn.MAXIFS('Ελλάδα'!$Q$2:$Q$2000,'Ελλάδα'!$A$2:$A$2000,$B$112))</f>
      </c>
      <c r="G112" s="13">
        <f>COUNTIFS('Ελλάδα'!$A$2:$A$2000,$B$112,'Ελλάδα'!$Q$2:$Q$2000,1)</f>
      </c>
      <c r="H112" s="13">
        <f>COUNTIFS('Ελλάδα'!$A$2:$A$2000,$B$112,'Ελλάδα'!$Q$2:$Q$2000,2)</f>
      </c>
      <c r="I112" s="13">
        <f>COUNTIFS('Ελλάδα'!$A$2:$A$2000,$B$112,'Ελλάδα'!$Q$2:$Q$2000,3)</f>
      </c>
      <c r="J112" s="13">
        <f>COUNTIFS('Ελλάδα'!$A$2:$A$2000,$B$112,'Ελλάδα'!$Q$2:$Q$2000,4)</f>
      </c>
      <c r="K112" s="13">
        <f>COUNTIFS('Ελλάδα'!$A$2:$A$2000,$B$112,'Ελλάδα'!$Q$2:$Q$2000,5)</f>
      </c>
      <c r="L112" s="13">
        <f>$C$112-SUM($G$112:$K$112)</f>
      </c>
    </row>
    <row r="113">
      <c r="B113" s="2">
        <f>TODAY()-15</f>
      </c>
      <c r="C113" s="13">
        <f>COUNTIFS('Ελλάδα'!$A$2:$A$2000,$B$113)</f>
      </c>
      <c r="D113" s="14">
        <f>SUMIFS('Ελλάδα'!$Z$2:$Z$2000,'Ελλάδα'!$A$2:$A$2000,$B$113)</f>
      </c>
      <c r="E113" s="13">
        <f>SUMIFS('Ελλάδα'!$I$2:$I$2000,'Ελλάδα'!$A$2:$A$2000,$B$113)</f>
      </c>
      <c r="F113" s="13">
        <f>IF(COUNTIFS('Ελλάδα'!$A$2:$A$2000,$B$113)=0,NA(),_xlfn.MAXIFS('Ελλάδα'!$Q$2:$Q$2000,'Ελλάδα'!$A$2:$A$2000,$B$113))</f>
      </c>
      <c r="G113" s="13">
        <f>COUNTIFS('Ελλάδα'!$A$2:$A$2000,$B$113,'Ελλάδα'!$Q$2:$Q$2000,1)</f>
      </c>
      <c r="H113" s="13">
        <f>COUNTIFS('Ελλάδα'!$A$2:$A$2000,$B$113,'Ελλάδα'!$Q$2:$Q$2000,2)</f>
      </c>
      <c r="I113" s="13">
        <f>COUNTIFS('Ελλάδα'!$A$2:$A$2000,$B$113,'Ελλάδα'!$Q$2:$Q$2000,3)</f>
      </c>
      <c r="J113" s="13">
        <f>COUNTIFS('Ελλάδα'!$A$2:$A$2000,$B$113,'Ελλάδα'!$Q$2:$Q$2000,4)</f>
      </c>
      <c r="K113" s="13">
        <f>COUNTIFS('Ελλάδα'!$A$2:$A$2000,$B$113,'Ελλάδα'!$Q$2:$Q$2000,5)</f>
      </c>
      <c r="L113" s="13">
        <f>$C$113-SUM($G$113:$K$113)</f>
      </c>
    </row>
    <row r="114">
      <c r="B114" s="2">
        <f>TODAY()-14</f>
      </c>
      <c r="C114" s="13">
        <f>COUNTIFS('Ελλάδα'!$A$2:$A$2000,$B$114)</f>
      </c>
      <c r="D114" s="14">
        <f>SUMIFS('Ελλάδα'!$Z$2:$Z$2000,'Ελλάδα'!$A$2:$A$2000,$B$114)</f>
      </c>
      <c r="E114" s="13">
        <f>SUMIFS('Ελλάδα'!$I$2:$I$2000,'Ελλάδα'!$A$2:$A$2000,$B$114)</f>
      </c>
      <c r="F114" s="13">
        <f>IF(COUNTIFS('Ελλάδα'!$A$2:$A$2000,$B$114)=0,NA(),_xlfn.MAXIFS('Ελλάδα'!$Q$2:$Q$2000,'Ελλάδα'!$A$2:$A$2000,$B$114))</f>
      </c>
      <c r="G114" s="13">
        <f>COUNTIFS('Ελλάδα'!$A$2:$A$2000,$B$114,'Ελλάδα'!$Q$2:$Q$2000,1)</f>
      </c>
      <c r="H114" s="13">
        <f>COUNTIFS('Ελλάδα'!$A$2:$A$2000,$B$114,'Ελλάδα'!$Q$2:$Q$2000,2)</f>
      </c>
      <c r="I114" s="13">
        <f>COUNTIFS('Ελλάδα'!$A$2:$A$2000,$B$114,'Ελλάδα'!$Q$2:$Q$2000,3)</f>
      </c>
      <c r="J114" s="13">
        <f>COUNTIFS('Ελλάδα'!$A$2:$A$2000,$B$114,'Ελλάδα'!$Q$2:$Q$2000,4)</f>
      </c>
      <c r="K114" s="13">
        <f>COUNTIFS('Ελλάδα'!$A$2:$A$2000,$B$114,'Ελλάδα'!$Q$2:$Q$2000,5)</f>
      </c>
      <c r="L114" s="13">
        <f>$C$114-SUM($G$114:$K$114)</f>
      </c>
    </row>
    <row r="115">
      <c r="B115" s="2">
        <f>TODAY()-13</f>
      </c>
      <c r="C115" s="13">
        <f>COUNTIFS('Ελλάδα'!$A$2:$A$2000,$B$115)</f>
      </c>
      <c r="D115" s="14">
        <f>SUMIFS('Ελλάδα'!$Z$2:$Z$2000,'Ελλάδα'!$A$2:$A$2000,$B$115)</f>
      </c>
      <c r="E115" s="13">
        <f>SUMIFS('Ελλάδα'!$I$2:$I$2000,'Ελλάδα'!$A$2:$A$2000,$B$115)</f>
      </c>
      <c r="F115" s="13">
        <f>IF(COUNTIFS('Ελλάδα'!$A$2:$A$2000,$B$115)=0,NA(),_xlfn.MAXIFS('Ελλάδα'!$Q$2:$Q$2000,'Ελλάδα'!$A$2:$A$2000,$B$115))</f>
      </c>
      <c r="G115" s="13">
        <f>COUNTIFS('Ελλάδα'!$A$2:$A$2000,$B$115,'Ελλάδα'!$Q$2:$Q$2000,1)</f>
      </c>
      <c r="H115" s="13">
        <f>COUNTIFS('Ελλάδα'!$A$2:$A$2000,$B$115,'Ελλάδα'!$Q$2:$Q$2000,2)</f>
      </c>
      <c r="I115" s="13">
        <f>COUNTIFS('Ελλάδα'!$A$2:$A$2000,$B$115,'Ελλάδα'!$Q$2:$Q$2000,3)</f>
      </c>
      <c r="J115" s="13">
        <f>COUNTIFS('Ελλάδα'!$A$2:$A$2000,$B$115,'Ελλάδα'!$Q$2:$Q$2000,4)</f>
      </c>
      <c r="K115" s="13">
        <f>COUNTIFS('Ελλάδα'!$A$2:$A$2000,$B$115,'Ελλάδα'!$Q$2:$Q$2000,5)</f>
      </c>
      <c r="L115" s="13">
        <f>$C$115-SUM($G$115:$K$115)</f>
      </c>
    </row>
    <row r="116">
      <c r="B116" s="2">
        <f>TODAY()-12</f>
      </c>
      <c r="C116" s="13">
        <f>COUNTIFS('Ελλάδα'!$A$2:$A$2000,$B$116)</f>
      </c>
      <c r="D116" s="14">
        <f>SUMIFS('Ελλάδα'!$Z$2:$Z$2000,'Ελλάδα'!$A$2:$A$2000,$B$116)</f>
      </c>
      <c r="E116" s="13">
        <f>SUMIFS('Ελλάδα'!$I$2:$I$2000,'Ελλάδα'!$A$2:$A$2000,$B$116)</f>
      </c>
      <c r="F116" s="13">
        <f>IF(COUNTIFS('Ελλάδα'!$A$2:$A$2000,$B$116)=0,NA(),_xlfn.MAXIFS('Ελλάδα'!$Q$2:$Q$2000,'Ελλάδα'!$A$2:$A$2000,$B$116))</f>
      </c>
      <c r="G116" s="13">
        <f>COUNTIFS('Ελλάδα'!$A$2:$A$2000,$B$116,'Ελλάδα'!$Q$2:$Q$2000,1)</f>
      </c>
      <c r="H116" s="13">
        <f>COUNTIFS('Ελλάδα'!$A$2:$A$2000,$B$116,'Ελλάδα'!$Q$2:$Q$2000,2)</f>
      </c>
      <c r="I116" s="13">
        <f>COUNTIFS('Ελλάδα'!$A$2:$A$2000,$B$116,'Ελλάδα'!$Q$2:$Q$2000,3)</f>
      </c>
      <c r="J116" s="13">
        <f>COUNTIFS('Ελλάδα'!$A$2:$A$2000,$B$116,'Ελλάδα'!$Q$2:$Q$2000,4)</f>
      </c>
      <c r="K116" s="13">
        <f>COUNTIFS('Ελλάδα'!$A$2:$A$2000,$B$116,'Ελλάδα'!$Q$2:$Q$2000,5)</f>
      </c>
      <c r="L116" s="13">
        <f>$C$116-SUM($G$116:$K$116)</f>
      </c>
    </row>
    <row r="117">
      <c r="B117" s="2">
        <f>TODAY()-11</f>
      </c>
      <c r="C117" s="13">
        <f>COUNTIFS('Ελλάδα'!$A$2:$A$2000,$B$117)</f>
      </c>
      <c r="D117" s="14">
        <f>SUMIFS('Ελλάδα'!$Z$2:$Z$2000,'Ελλάδα'!$A$2:$A$2000,$B$117)</f>
      </c>
      <c r="E117" s="13">
        <f>SUMIFS('Ελλάδα'!$I$2:$I$2000,'Ελλάδα'!$A$2:$A$2000,$B$117)</f>
      </c>
      <c r="F117" s="13">
        <f>IF(COUNTIFS('Ελλάδα'!$A$2:$A$2000,$B$117)=0,NA(),_xlfn.MAXIFS('Ελλάδα'!$Q$2:$Q$2000,'Ελλάδα'!$A$2:$A$2000,$B$117))</f>
      </c>
      <c r="G117" s="13">
        <f>COUNTIFS('Ελλάδα'!$A$2:$A$2000,$B$117,'Ελλάδα'!$Q$2:$Q$2000,1)</f>
      </c>
      <c r="H117" s="13">
        <f>COUNTIFS('Ελλάδα'!$A$2:$A$2000,$B$117,'Ελλάδα'!$Q$2:$Q$2000,2)</f>
      </c>
      <c r="I117" s="13">
        <f>COUNTIFS('Ελλάδα'!$A$2:$A$2000,$B$117,'Ελλάδα'!$Q$2:$Q$2000,3)</f>
      </c>
      <c r="J117" s="13">
        <f>COUNTIFS('Ελλάδα'!$A$2:$A$2000,$B$117,'Ελλάδα'!$Q$2:$Q$2000,4)</f>
      </c>
      <c r="K117" s="13">
        <f>COUNTIFS('Ελλάδα'!$A$2:$A$2000,$B$117,'Ελλάδα'!$Q$2:$Q$2000,5)</f>
      </c>
      <c r="L117" s="13">
        <f>$C$117-SUM($G$117:$K$117)</f>
      </c>
    </row>
    <row r="118">
      <c r="B118" s="2">
        <f>TODAY()-10</f>
      </c>
      <c r="C118" s="13">
        <f>COUNTIFS('Ελλάδα'!$A$2:$A$2000,$B$118)</f>
      </c>
      <c r="D118" s="14">
        <f>SUMIFS('Ελλάδα'!$Z$2:$Z$2000,'Ελλάδα'!$A$2:$A$2000,$B$118)</f>
      </c>
      <c r="E118" s="13">
        <f>SUMIFS('Ελλάδα'!$I$2:$I$2000,'Ελλάδα'!$A$2:$A$2000,$B$118)</f>
      </c>
      <c r="F118" s="13">
        <f>IF(COUNTIFS('Ελλάδα'!$A$2:$A$2000,$B$118)=0,NA(),_xlfn.MAXIFS('Ελλάδα'!$Q$2:$Q$2000,'Ελλάδα'!$A$2:$A$2000,$B$118))</f>
      </c>
      <c r="G118" s="13">
        <f>COUNTIFS('Ελλάδα'!$A$2:$A$2000,$B$118,'Ελλάδα'!$Q$2:$Q$2000,1)</f>
      </c>
      <c r="H118" s="13">
        <f>COUNTIFS('Ελλάδα'!$A$2:$A$2000,$B$118,'Ελλάδα'!$Q$2:$Q$2000,2)</f>
      </c>
      <c r="I118" s="13">
        <f>COUNTIFS('Ελλάδα'!$A$2:$A$2000,$B$118,'Ελλάδα'!$Q$2:$Q$2000,3)</f>
      </c>
      <c r="J118" s="13">
        <f>COUNTIFS('Ελλάδα'!$A$2:$A$2000,$B$118,'Ελλάδα'!$Q$2:$Q$2000,4)</f>
      </c>
      <c r="K118" s="13">
        <f>COUNTIFS('Ελλάδα'!$A$2:$A$2000,$B$118,'Ελλάδα'!$Q$2:$Q$2000,5)</f>
      </c>
      <c r="L118" s="13">
        <f>$C$118-SUM($G$118:$K$118)</f>
      </c>
    </row>
    <row r="119">
      <c r="B119" s="2">
        <f>TODAY()-9</f>
      </c>
      <c r="C119" s="13">
        <f>COUNTIFS('Ελλάδα'!$A$2:$A$2000,$B$119)</f>
      </c>
      <c r="D119" s="14">
        <f>SUMIFS('Ελλάδα'!$Z$2:$Z$2000,'Ελλάδα'!$A$2:$A$2000,$B$119)</f>
      </c>
      <c r="E119" s="13">
        <f>SUMIFS('Ελλάδα'!$I$2:$I$2000,'Ελλάδα'!$A$2:$A$2000,$B$119)</f>
      </c>
      <c r="F119" s="13">
        <f>IF(COUNTIFS('Ελλάδα'!$A$2:$A$2000,$B$119)=0,NA(),_xlfn.MAXIFS('Ελλάδα'!$Q$2:$Q$2000,'Ελλάδα'!$A$2:$A$2000,$B$119))</f>
      </c>
      <c r="G119" s="13">
        <f>COUNTIFS('Ελλάδα'!$A$2:$A$2000,$B$119,'Ελλάδα'!$Q$2:$Q$2000,1)</f>
      </c>
      <c r="H119" s="13">
        <f>COUNTIFS('Ελλάδα'!$A$2:$A$2000,$B$119,'Ελλάδα'!$Q$2:$Q$2000,2)</f>
      </c>
      <c r="I119" s="13">
        <f>COUNTIFS('Ελλάδα'!$A$2:$A$2000,$B$119,'Ελλάδα'!$Q$2:$Q$2000,3)</f>
      </c>
      <c r="J119" s="13">
        <f>COUNTIFS('Ελλάδα'!$A$2:$A$2000,$B$119,'Ελλάδα'!$Q$2:$Q$2000,4)</f>
      </c>
      <c r="K119" s="13">
        <f>COUNTIFS('Ελλάδα'!$A$2:$A$2000,$B$119,'Ελλάδα'!$Q$2:$Q$2000,5)</f>
      </c>
      <c r="L119" s="13">
        <f>$C$119-SUM($G$119:$K$119)</f>
      </c>
    </row>
    <row r="120">
      <c r="B120" s="2">
        <f>TODAY()-8</f>
      </c>
      <c r="C120" s="13">
        <f>COUNTIFS('Ελλάδα'!$A$2:$A$2000,$B$120)</f>
      </c>
      <c r="D120" s="14">
        <f>SUMIFS('Ελλάδα'!$Z$2:$Z$2000,'Ελλάδα'!$A$2:$A$2000,$B$120)</f>
      </c>
      <c r="E120" s="13">
        <f>SUMIFS('Ελλάδα'!$I$2:$I$2000,'Ελλάδα'!$A$2:$A$2000,$B$120)</f>
      </c>
      <c r="F120" s="13">
        <f>IF(COUNTIFS('Ελλάδα'!$A$2:$A$2000,$B$120)=0,NA(),_xlfn.MAXIFS('Ελλάδα'!$Q$2:$Q$2000,'Ελλάδα'!$A$2:$A$2000,$B$120))</f>
      </c>
      <c r="G120" s="13">
        <f>COUNTIFS('Ελλάδα'!$A$2:$A$2000,$B$120,'Ελλάδα'!$Q$2:$Q$2000,1)</f>
      </c>
      <c r="H120" s="13">
        <f>COUNTIFS('Ελλάδα'!$A$2:$A$2000,$B$120,'Ελλάδα'!$Q$2:$Q$2000,2)</f>
      </c>
      <c r="I120" s="13">
        <f>COUNTIFS('Ελλάδα'!$A$2:$A$2000,$B$120,'Ελλάδα'!$Q$2:$Q$2000,3)</f>
      </c>
      <c r="J120" s="13">
        <f>COUNTIFS('Ελλάδα'!$A$2:$A$2000,$B$120,'Ελλάδα'!$Q$2:$Q$2000,4)</f>
      </c>
      <c r="K120" s="13">
        <f>COUNTIFS('Ελλάδα'!$A$2:$A$2000,$B$120,'Ελλάδα'!$Q$2:$Q$2000,5)</f>
      </c>
      <c r="L120" s="13">
        <f>$C$120-SUM($G$120:$K$120)</f>
      </c>
    </row>
    <row r="121">
      <c r="B121" s="2">
        <f>TODAY()-7</f>
      </c>
      <c r="C121" s="13">
        <f>COUNTIFS('Ελλάδα'!$A$2:$A$2000,$B$121)</f>
      </c>
      <c r="D121" s="14">
        <f>SUMIFS('Ελλάδα'!$Z$2:$Z$2000,'Ελλάδα'!$A$2:$A$2000,$B$121)</f>
      </c>
      <c r="E121" s="13">
        <f>SUMIFS('Ελλάδα'!$I$2:$I$2000,'Ελλάδα'!$A$2:$A$2000,$B$121)</f>
      </c>
      <c r="F121" s="13">
        <f>IF(COUNTIFS('Ελλάδα'!$A$2:$A$2000,$B$121)=0,NA(),_xlfn.MAXIFS('Ελλάδα'!$Q$2:$Q$2000,'Ελλάδα'!$A$2:$A$2000,$B$121))</f>
      </c>
      <c r="G121" s="13">
        <f>COUNTIFS('Ελλάδα'!$A$2:$A$2000,$B$121,'Ελλάδα'!$Q$2:$Q$2000,1)</f>
      </c>
      <c r="H121" s="13">
        <f>COUNTIFS('Ελλάδα'!$A$2:$A$2000,$B$121,'Ελλάδα'!$Q$2:$Q$2000,2)</f>
      </c>
      <c r="I121" s="13">
        <f>COUNTIFS('Ελλάδα'!$A$2:$A$2000,$B$121,'Ελλάδα'!$Q$2:$Q$2000,3)</f>
      </c>
      <c r="J121" s="13">
        <f>COUNTIFS('Ελλάδα'!$A$2:$A$2000,$B$121,'Ελλάδα'!$Q$2:$Q$2000,4)</f>
      </c>
      <c r="K121" s="13">
        <f>COUNTIFS('Ελλάδα'!$A$2:$A$2000,$B$121,'Ελλάδα'!$Q$2:$Q$2000,5)</f>
      </c>
      <c r="L121" s="13">
        <f>$C$121-SUM($G$121:$K$121)</f>
      </c>
    </row>
    <row r="122">
      <c r="B122" s="2">
        <f>TODAY()-6</f>
      </c>
      <c r="C122" s="13">
        <f>COUNTIFS('Ελλάδα'!$A$2:$A$2000,$B$122)</f>
      </c>
      <c r="D122" s="14">
        <f>SUMIFS('Ελλάδα'!$Z$2:$Z$2000,'Ελλάδα'!$A$2:$A$2000,$B$122)</f>
      </c>
      <c r="E122" s="13">
        <f>SUMIFS('Ελλάδα'!$I$2:$I$2000,'Ελλάδα'!$A$2:$A$2000,$B$122)</f>
      </c>
      <c r="F122" s="13">
        <f>IF(COUNTIFS('Ελλάδα'!$A$2:$A$2000,$B$122)=0,NA(),_xlfn.MAXIFS('Ελλάδα'!$Q$2:$Q$2000,'Ελλάδα'!$A$2:$A$2000,$B$122))</f>
      </c>
      <c r="G122" s="13">
        <f>COUNTIFS('Ελλάδα'!$A$2:$A$2000,$B$122,'Ελλάδα'!$Q$2:$Q$2000,1)</f>
      </c>
      <c r="H122" s="13">
        <f>COUNTIFS('Ελλάδα'!$A$2:$A$2000,$B$122,'Ελλάδα'!$Q$2:$Q$2000,2)</f>
      </c>
      <c r="I122" s="13">
        <f>COUNTIFS('Ελλάδα'!$A$2:$A$2000,$B$122,'Ελλάδα'!$Q$2:$Q$2000,3)</f>
      </c>
      <c r="J122" s="13">
        <f>COUNTIFS('Ελλάδα'!$A$2:$A$2000,$B$122,'Ελλάδα'!$Q$2:$Q$2000,4)</f>
      </c>
      <c r="K122" s="13">
        <f>COUNTIFS('Ελλάδα'!$A$2:$A$2000,$B$122,'Ελλάδα'!$Q$2:$Q$2000,5)</f>
      </c>
      <c r="L122" s="13">
        <f>$C$122-SUM($G$122:$K$122)</f>
      </c>
    </row>
    <row r="123">
      <c r="B123" s="2">
        <f>TODAY()-5</f>
      </c>
      <c r="C123" s="13">
        <f>COUNTIFS('Ελλάδα'!$A$2:$A$2000,$B$123)</f>
      </c>
      <c r="D123" s="14">
        <f>SUMIFS('Ελλάδα'!$Z$2:$Z$2000,'Ελλάδα'!$A$2:$A$2000,$B$123)</f>
      </c>
      <c r="E123" s="13">
        <f>SUMIFS('Ελλάδα'!$I$2:$I$2000,'Ελλάδα'!$A$2:$A$2000,$B$123)</f>
      </c>
      <c r="F123" s="13">
        <f>IF(COUNTIFS('Ελλάδα'!$A$2:$A$2000,$B$123)=0,NA(),_xlfn.MAXIFS('Ελλάδα'!$Q$2:$Q$2000,'Ελλάδα'!$A$2:$A$2000,$B$123))</f>
      </c>
      <c r="G123" s="13">
        <f>COUNTIFS('Ελλάδα'!$A$2:$A$2000,$B$123,'Ελλάδα'!$Q$2:$Q$2000,1)</f>
      </c>
      <c r="H123" s="13">
        <f>COUNTIFS('Ελλάδα'!$A$2:$A$2000,$B$123,'Ελλάδα'!$Q$2:$Q$2000,2)</f>
      </c>
      <c r="I123" s="13">
        <f>COUNTIFS('Ελλάδα'!$A$2:$A$2000,$B$123,'Ελλάδα'!$Q$2:$Q$2000,3)</f>
      </c>
      <c r="J123" s="13">
        <f>COUNTIFS('Ελλάδα'!$A$2:$A$2000,$B$123,'Ελλάδα'!$Q$2:$Q$2000,4)</f>
      </c>
      <c r="K123" s="13">
        <f>COUNTIFS('Ελλάδα'!$A$2:$A$2000,$B$123,'Ελλάδα'!$Q$2:$Q$2000,5)</f>
      </c>
      <c r="L123" s="13">
        <f>$C$123-SUM($G$123:$K$123)</f>
      </c>
    </row>
    <row r="124">
      <c r="B124" s="2">
        <f>TODAY()-4</f>
      </c>
      <c r="C124" s="13">
        <f>COUNTIFS('Ελλάδα'!$A$2:$A$2000,$B$124)</f>
      </c>
      <c r="D124" s="14">
        <f>SUMIFS('Ελλάδα'!$Z$2:$Z$2000,'Ελλάδα'!$A$2:$A$2000,$B$124)</f>
      </c>
      <c r="E124" s="13">
        <f>SUMIFS('Ελλάδα'!$I$2:$I$2000,'Ελλάδα'!$A$2:$A$2000,$B$124)</f>
      </c>
      <c r="F124" s="13">
        <f>IF(COUNTIFS('Ελλάδα'!$A$2:$A$2000,$B$124)=0,NA(),_xlfn.MAXIFS('Ελλάδα'!$Q$2:$Q$2000,'Ελλάδα'!$A$2:$A$2000,$B$124))</f>
      </c>
      <c r="G124" s="13">
        <f>COUNTIFS('Ελλάδα'!$A$2:$A$2000,$B$124,'Ελλάδα'!$Q$2:$Q$2000,1)</f>
      </c>
      <c r="H124" s="13">
        <f>COUNTIFS('Ελλάδα'!$A$2:$A$2000,$B$124,'Ελλάδα'!$Q$2:$Q$2000,2)</f>
      </c>
      <c r="I124" s="13">
        <f>COUNTIFS('Ελλάδα'!$A$2:$A$2000,$B$124,'Ελλάδα'!$Q$2:$Q$2000,3)</f>
      </c>
      <c r="J124" s="13">
        <f>COUNTIFS('Ελλάδα'!$A$2:$A$2000,$B$124,'Ελλάδα'!$Q$2:$Q$2000,4)</f>
      </c>
      <c r="K124" s="13">
        <f>COUNTIFS('Ελλάδα'!$A$2:$A$2000,$B$124,'Ελλάδα'!$Q$2:$Q$2000,5)</f>
      </c>
      <c r="L124" s="13">
        <f>$C$124-SUM($G$124:$K$124)</f>
      </c>
    </row>
    <row r="125">
      <c r="B125" s="2">
        <f>TODAY()-3</f>
      </c>
      <c r="C125" s="13">
        <f>COUNTIFS('Ελλάδα'!$A$2:$A$2000,$B$125)</f>
      </c>
      <c r="D125" s="14">
        <f>SUMIFS('Ελλάδα'!$Z$2:$Z$2000,'Ελλάδα'!$A$2:$A$2000,$B$125)</f>
      </c>
      <c r="E125" s="13">
        <f>SUMIFS('Ελλάδα'!$I$2:$I$2000,'Ελλάδα'!$A$2:$A$2000,$B$125)</f>
      </c>
      <c r="F125" s="13">
        <f>IF(COUNTIFS('Ελλάδα'!$A$2:$A$2000,$B$125)=0,NA(),_xlfn.MAXIFS('Ελλάδα'!$Q$2:$Q$2000,'Ελλάδα'!$A$2:$A$2000,$B$125))</f>
      </c>
      <c r="G125" s="13">
        <f>COUNTIFS('Ελλάδα'!$A$2:$A$2000,$B$125,'Ελλάδα'!$Q$2:$Q$2000,1)</f>
      </c>
      <c r="H125" s="13">
        <f>COUNTIFS('Ελλάδα'!$A$2:$A$2000,$B$125,'Ελλάδα'!$Q$2:$Q$2000,2)</f>
      </c>
      <c r="I125" s="13">
        <f>COUNTIFS('Ελλάδα'!$A$2:$A$2000,$B$125,'Ελλάδα'!$Q$2:$Q$2000,3)</f>
      </c>
      <c r="J125" s="13">
        <f>COUNTIFS('Ελλάδα'!$A$2:$A$2000,$B$125,'Ελλάδα'!$Q$2:$Q$2000,4)</f>
      </c>
      <c r="K125" s="13">
        <f>COUNTIFS('Ελλάδα'!$A$2:$A$2000,$B$125,'Ελλάδα'!$Q$2:$Q$2000,5)</f>
      </c>
      <c r="L125" s="13">
        <f>$C$125-SUM($G$125:$K$125)</f>
      </c>
    </row>
    <row r="126">
      <c r="B126" s="2">
        <f>TODAY()-2</f>
      </c>
      <c r="C126" s="13">
        <f>COUNTIFS('Ελλάδα'!$A$2:$A$2000,$B$126)</f>
      </c>
      <c r="D126" s="14">
        <f>SUMIFS('Ελλάδα'!$Z$2:$Z$2000,'Ελλάδα'!$A$2:$A$2000,$B$126)</f>
      </c>
      <c r="E126" s="13">
        <f>SUMIFS('Ελλάδα'!$I$2:$I$2000,'Ελλάδα'!$A$2:$A$2000,$B$126)</f>
      </c>
      <c r="F126" s="13">
        <f>IF(COUNTIFS('Ελλάδα'!$A$2:$A$2000,$B$126)=0,NA(),_xlfn.MAXIFS('Ελλάδα'!$Q$2:$Q$2000,'Ελλάδα'!$A$2:$A$2000,$B$126))</f>
      </c>
      <c r="G126" s="13">
        <f>COUNTIFS('Ελλάδα'!$A$2:$A$2000,$B$126,'Ελλάδα'!$Q$2:$Q$2000,1)</f>
      </c>
      <c r="H126" s="13">
        <f>COUNTIFS('Ελλάδα'!$A$2:$A$2000,$B$126,'Ελλάδα'!$Q$2:$Q$2000,2)</f>
      </c>
      <c r="I126" s="13">
        <f>COUNTIFS('Ελλάδα'!$A$2:$A$2000,$B$126,'Ελλάδα'!$Q$2:$Q$2000,3)</f>
      </c>
      <c r="J126" s="13">
        <f>COUNTIFS('Ελλάδα'!$A$2:$A$2000,$B$126,'Ελλάδα'!$Q$2:$Q$2000,4)</f>
      </c>
      <c r="K126" s="13">
        <f>COUNTIFS('Ελλάδα'!$A$2:$A$2000,$B$126,'Ελλάδα'!$Q$2:$Q$2000,5)</f>
      </c>
      <c r="L126" s="13">
        <f>$C$126-SUM($G$126:$K$126)</f>
      </c>
    </row>
    <row r="127">
      <c r="B127" s="2">
        <f>TODAY()-1</f>
      </c>
      <c r="C127" s="13">
        <f>COUNTIFS('Ελλάδα'!$A$2:$A$2000,$B$127)</f>
      </c>
      <c r="D127" s="14">
        <f>SUMIFS('Ελλάδα'!$Z$2:$Z$2000,'Ελλάδα'!$A$2:$A$2000,$B$127)</f>
      </c>
      <c r="E127" s="13">
        <f>SUMIFS('Ελλάδα'!$I$2:$I$2000,'Ελλάδα'!$A$2:$A$2000,$B$127)</f>
      </c>
      <c r="F127" s="13">
        <f>IF(COUNTIFS('Ελλάδα'!$A$2:$A$2000,$B$127)=0,NA(),_xlfn.MAXIFS('Ελλάδα'!$Q$2:$Q$2000,'Ελλάδα'!$A$2:$A$2000,$B$127))</f>
      </c>
      <c r="G127" s="13">
        <f>COUNTIFS('Ελλάδα'!$A$2:$A$2000,$B$127,'Ελλάδα'!$Q$2:$Q$2000,1)</f>
      </c>
      <c r="H127" s="13">
        <f>COUNTIFS('Ελλάδα'!$A$2:$A$2000,$B$127,'Ελλάδα'!$Q$2:$Q$2000,2)</f>
      </c>
      <c r="I127" s="13">
        <f>COUNTIFS('Ελλάδα'!$A$2:$A$2000,$B$127,'Ελλάδα'!$Q$2:$Q$2000,3)</f>
      </c>
      <c r="J127" s="13">
        <f>COUNTIFS('Ελλάδα'!$A$2:$A$2000,$B$127,'Ελλάδα'!$Q$2:$Q$2000,4)</f>
      </c>
      <c r="K127" s="13">
        <f>COUNTIFS('Ελλάδα'!$A$2:$A$2000,$B$127,'Ελλάδα'!$Q$2:$Q$2000,5)</f>
      </c>
      <c r="L127" s="13">
        <f>$C$127-SUM($G$127:$K$127)</f>
      </c>
    </row>
    <row r="128">
      <c r="B128" s="2">
        <f>TODAY()</f>
      </c>
      <c r="C128" s="13">
        <f>COUNTIFS('Ελλάδα'!$A$2:$A$2000,$B$128)</f>
      </c>
      <c r="D128" s="14">
        <f>SUMIFS('Ελλάδα'!$Z$2:$Z$2000,'Ελλάδα'!$A$2:$A$2000,$B$128)</f>
      </c>
      <c r="E128" s="13">
        <f>SUMIFS('Ελλάδα'!$I$2:$I$2000,'Ελλάδα'!$A$2:$A$2000,$B$128)</f>
      </c>
      <c r="F128" s="13">
        <f>IF(COUNTIFS('Ελλάδα'!$A$2:$A$2000,$B$128)=0,NA(),_xlfn.MAXIFS('Ελλάδα'!$Q$2:$Q$2000,'Ελλάδα'!$A$2:$A$2000,$B$128))</f>
      </c>
      <c r="G128" s="13">
        <f>COUNTIFS('Ελλάδα'!$A$2:$A$2000,$B$128,'Ελλάδα'!$Q$2:$Q$2000,1)</f>
      </c>
      <c r="H128" s="13">
        <f>COUNTIFS('Ελλάδα'!$A$2:$A$2000,$B$128,'Ελλάδα'!$Q$2:$Q$2000,2)</f>
      </c>
      <c r="I128" s="13">
        <f>COUNTIFS('Ελλάδα'!$A$2:$A$2000,$B$128,'Ελλάδα'!$Q$2:$Q$2000,3)</f>
      </c>
      <c r="J128" s="13">
        <f>COUNTIFS('Ελλάδα'!$A$2:$A$2000,$B$128,'Ελλάδα'!$Q$2:$Q$2000,4)</f>
      </c>
      <c r="K128" s="13">
        <f>COUNTIFS('Ελλάδα'!$A$2:$A$2000,$B$128,'Ελλάδα'!$Q$2:$Q$2000,5)</f>
      </c>
      <c r="L128" s="13">
        <f>$C$128-SUM($G$128:$K$128)</f>
      </c>
    </row>
    <row r="131">
      <c r="B131" s="11" t="inlineStr">
        <is>
          <t xml:space="preserve">Περιφέρεια</t>
        </is>
      </c>
      <c r="C131" s="11" t="inlineStr">
        <is>
          <t xml:space="preserve">Επεισόδια</t>
        </is>
      </c>
      <c r="D131" s="11" t="inlineStr">
        <is>
          <t xml:space="preserve">Καμμ. έκταση (ha)</t>
        </is>
      </c>
    </row>
    <row r="132">
      <c r="B132" s="12" t="inlineStr">
        <is>
          <t xml:space="preserve">Αττική</t>
        </is>
      </c>
      <c r="C132" s="13">
        <f>COUNTIF('Ελλάδα'!$F$2:$F$2000,"*Αττικ*")</f>
      </c>
      <c r="D132" s="14">
        <f>SUMIFS('Ελλάδα'!$Z$2:$Z$2000,'Ελλάδα'!$F$2:$F$2000,"*Αττικ*")</f>
      </c>
    </row>
    <row r="133">
      <c r="B133" s="12" t="inlineStr">
        <is>
          <t xml:space="preserve">Κεντρική Μακεδονία</t>
        </is>
      </c>
      <c r="C133" s="13">
        <f>COUNTIF('Ελλάδα'!$F$2:$F$2000,"*εντρικ*Μακεδον*")</f>
      </c>
      <c r="D133" s="14">
        <f>SUMIFS('Ελλάδα'!$Z$2:$Z$2000,'Ελλάδα'!$F$2:$F$2000,"*εντρικ*Μακεδον*")</f>
      </c>
    </row>
    <row r="134">
      <c r="B134" s="12" t="inlineStr">
        <is>
          <t xml:space="preserve">Δυτική Μακεδονία</t>
        </is>
      </c>
      <c r="C134" s="13">
        <f>COUNTIF('Ελλάδα'!$F$2:$F$2000,"*υτικ*Μακεδον*")</f>
      </c>
      <c r="D134" s="14">
        <f>SUMIFS('Ελλάδα'!$Z$2:$Z$2000,'Ελλάδα'!$F$2:$F$2000,"*υτικ*Μακεδον*")</f>
      </c>
    </row>
    <row r="135">
      <c r="B135" s="12" t="inlineStr">
        <is>
          <t xml:space="preserve">Θεσσαλία</t>
        </is>
      </c>
      <c r="C135" s="13">
        <f>COUNTIF('Ελλάδα'!$F$2:$F$2000,"*Θεσσαλ*")</f>
      </c>
      <c r="D135" s="14">
        <f>SUMIFS('Ελλάδα'!$Z$2:$Z$2000,'Ελλάδα'!$F$2:$F$2000,"*Θεσσαλ*")</f>
      </c>
    </row>
    <row r="136">
      <c r="B136" s="12" t="inlineStr">
        <is>
          <t xml:space="preserve">Δυτική Ελλάδα</t>
        </is>
      </c>
      <c r="C136" s="13">
        <f>COUNTIF('Ελλάδα'!$F$2:$F$2000,"*υτικ*λλάδ*")</f>
      </c>
      <c r="D136" s="14">
        <f>SUMIFS('Ελλάδα'!$Z$2:$Z$2000,'Ελλάδα'!$F$2:$F$2000,"*υτικ*λλάδ*")</f>
      </c>
    </row>
    <row r="137">
      <c r="B137" s="12" t="inlineStr">
        <is>
          <t xml:space="preserve">Στερεά Ελλάδα</t>
        </is>
      </c>
      <c r="C137" s="13">
        <f>COUNTIF('Ελλάδα'!$F$2:$F$2000,"*τερε*λλάδ*")</f>
      </c>
      <c r="D137" s="14">
        <f>SUMIFS('Ελλάδα'!$Z$2:$Z$2000,'Ελλάδα'!$F$2:$F$2000,"*τερε*λλάδ*")</f>
      </c>
    </row>
    <row r="138">
      <c r="B138" s="12" t="inlineStr">
        <is>
          <t xml:space="preserve">Πελοπόννησος</t>
        </is>
      </c>
      <c r="C138" s="13">
        <f>COUNTIF('Ελλάδα'!$F$2:$F$2000,"*ελοπ*")</f>
      </c>
      <c r="D138" s="14">
        <f>SUMIFS('Ελλάδα'!$Z$2:$Z$2000,'Ελλάδα'!$F$2:$F$2000,"*ελοπ*")</f>
      </c>
    </row>
    <row r="139">
      <c r="B139" s="12" t="inlineStr">
        <is>
          <t xml:space="preserve">Ήπειρος</t>
        </is>
      </c>
      <c r="C139" s="13">
        <f>COUNTIF('Ελλάδα'!$F$2:$F$2000,"*πειρ*")+COUNTIF('Ελλάδα'!$F$2:$F$2000,"*πείρ*")</f>
      </c>
      <c r="D139" s="14">
        <f>SUMIFS('Ελλάδα'!$Z$2:$Z$2000,'Ελλάδα'!$F$2:$F$2000,"*πειρ*")+SUMIFS('Ελλάδα'!$Z$2:$Z$2000,'Ελλάδα'!$F$2:$F$2000,"*πείρ*")</f>
      </c>
    </row>
    <row r="140">
      <c r="B140" s="12" t="inlineStr">
        <is>
          <t xml:space="preserve">Ιόνια Νησιά</t>
        </is>
      </c>
      <c r="C140" s="13">
        <f>COUNTIF('Ελλάδα'!$F$2:$F$2000,"*Ιόνι*")+COUNTIF('Ελλάδα'!$F$2:$F$2000,"*Ιονί*")</f>
      </c>
      <c r="D140" s="14">
        <f>SUMIFS('Ελλάδα'!$Z$2:$Z$2000,'Ελλάδα'!$F$2:$F$2000,"*Ιόνι*")+SUMIFS('Ελλάδα'!$Z$2:$Z$2000,'Ελλάδα'!$F$2:$F$2000,"*Ιονί*")</f>
      </c>
    </row>
    <row r="141">
      <c r="B141" s="12" t="inlineStr">
        <is>
          <t xml:space="preserve">Βόρειο Αιγαίο</t>
        </is>
      </c>
      <c r="C141" s="13">
        <f>COUNTIF('Ελλάδα'!$F$2:$F$2000,"*Βόρ*Αιγα*")+COUNTIF('Ελλάδα'!$F$2:$F$2000,"*Βορ*Αιγα*")</f>
      </c>
      <c r="D141" s="14">
        <f>SUMIFS('Ελλάδα'!$Z$2:$Z$2000,'Ελλάδα'!$F$2:$F$2000,"*Βόρ*Αιγα*")+SUMIFS('Ελλάδα'!$Z$2:$Z$2000,'Ελλάδα'!$F$2:$F$2000,"*Βορ*Αιγα*")</f>
      </c>
    </row>
    <row r="142">
      <c r="B142" s="12" t="inlineStr">
        <is>
          <t xml:space="preserve">Νότιο Αιγαίο</t>
        </is>
      </c>
      <c r="C142" s="13">
        <f>COUNTIF('Ελλάδα'!$F$2:$F$2000,"*Νότ*Αιγα*")+COUNTIF('Ελλάδα'!$F$2:$F$2000,"*Νοτ*Αιγα*")</f>
      </c>
      <c r="D142" s="14">
        <f>SUMIFS('Ελλάδα'!$Z$2:$Z$2000,'Ελλάδα'!$F$2:$F$2000,"*Νότ*Αιγα*")+SUMIFS('Ελλάδα'!$Z$2:$Z$2000,'Ελλάδα'!$F$2:$F$2000,"*Νοτ*Αιγα*")</f>
      </c>
    </row>
    <row r="143">
      <c r="B143" s="12" t="inlineStr">
        <is>
          <t xml:space="preserve">Κρήτη</t>
        </is>
      </c>
      <c r="C143" s="13">
        <f>COUNTIF('Ελλάδα'!$F$2:$F$2000,"*Κρήτ*")</f>
      </c>
      <c r="D143" s="14">
        <f>SUMIFS('Ελλάδα'!$Z$2:$Z$2000,'Ελλάδα'!$F$2:$F$2000,"*Κρήτ*")</f>
      </c>
    </row>
    <row r="144">
      <c r="B144" s="12" t="inlineStr">
        <is>
          <t xml:space="preserve">Αν. Μακεδονία &amp; Θράκη</t>
        </is>
      </c>
      <c r="C144" s="13">
        <f>COUNTIF('Ελλάδα'!$F$2:$F$2000,"*Θράκ*")</f>
      </c>
      <c r="D144" s="14">
        <f>SUMIFS('Ελλάδα'!$Z$2:$Z$2000,'Ελλάδα'!$F$2:$F$2000,"*Θράκ*")</f>
      </c>
    </row>
    <row r="145">
      <c r="B145" s="12" t="inlineStr">
        <is>
          <t xml:space="preserve">Σύνολο ταξινομημένων</t>
        </is>
      </c>
      <c r="C145" s="13">
        <f>SUM($C$132:$C$144)</f>
      </c>
      <c r="D145" s="14">
        <f>SUM($D$132:$D$144)</f>
      </c>
    </row>
    <row r="146">
      <c r="B146" s="12" t="inlineStr">
        <is>
          <t xml:space="preserve">Αταξινόμητα (έλεγχος)</t>
        </is>
      </c>
      <c r="C146" s="13">
        <f>COUNT('Ελλάδα'!$A$2:$A$2000)-$C$145</f>
      </c>
    </row>
    <row r="147">
      <c r="B147" s="11" t="inlineStr">
        <is>
          <t xml:space="preserve">Κατάσταση</t>
        </is>
      </c>
      <c r="C147" s="11" t="inlineStr">
        <is>
          <t xml:space="preserve">Πλήθος</t>
        </is>
      </c>
    </row>
    <row r="148">
      <c r="B148" s="12" t="inlineStr">
        <is>
          <t xml:space="preserve">Σε εξέλιξη</t>
        </is>
      </c>
      <c r="C148" s="13">
        <f>COUNTIF('Ελλάδα'!$S$2:$S$2000,"*εξέλιξ*")</f>
      </c>
    </row>
    <row r="149">
      <c r="B149" s="12" t="inlineStr">
        <is>
          <t xml:space="preserve">Υπό έλεγχο</t>
        </is>
      </c>
      <c r="C149" s="13">
        <f>COUNTIF('Ελλάδα'!$S$2:$S$2000,"*έλεγχ*")</f>
      </c>
    </row>
    <row r="150">
      <c r="B150" s="12" t="inlineStr">
        <is>
          <t xml:space="preserve">Οριοθετήθηκε</t>
        </is>
      </c>
      <c r="C150" s="13">
        <f>COUNTIF('Ελλάδα'!$S$2:$S$2000,"*οριοθ*")</f>
      </c>
    </row>
    <row r="151">
      <c r="B151" s="12" t="inlineStr">
        <is>
          <t xml:space="preserve">Κατασβέστηκε</t>
        </is>
      </c>
      <c r="C151" s="13">
        <f>COUNTIF('Ελλάδα'!$S$2:$S$2000,"*σβέ*")</f>
      </c>
    </row>
    <row r="152">
      <c r="B152" s="12" t="inlineStr">
        <is>
          <t xml:space="preserve">Σε ύφεση</t>
        </is>
      </c>
      <c r="C152" s="13">
        <f>COUNTIF('Ελλάδα'!$S$2:$S$2000,"*ύφεσ*")</f>
      </c>
    </row>
    <row r="153">
      <c r="B153" s="12" t="inlineStr">
        <is>
          <t xml:space="preserve">Άγνωστη/λοιπά</t>
        </is>
      </c>
      <c r="C153" s="13">
        <f>COUNT('Ελλάδα'!$A$2:$A$2000)-SUM($C$148:$C$152)</f>
      </c>
    </row>
  </sheetData>
  <mergeCells count="4">
    <mergeCell ref="A1:N1"/>
    <mergeCell ref="A2:N2"/>
    <mergeCell ref="A4:N4"/>
    <mergeCell ref="A9:N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Ελλάδα</vt:lpstr>
      <vt:lpstr>Ευρώπη</vt:lpstr>
      <vt:lpstr>Στατιστικά</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2026-09-23T19:13:11Z</dcterms:created>
  <dcterms:modified xsi:type="dcterms:W3CDTF">2026-09-23T19:13:11Z</dcterms:modified>
</cp:coreProperties>
</file>